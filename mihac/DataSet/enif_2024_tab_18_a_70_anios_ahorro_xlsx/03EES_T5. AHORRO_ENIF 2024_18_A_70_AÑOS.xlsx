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DEA85A3C-C968-446A-9063-42366FA7E344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6">'[1]Cuadro 1'!#REF!</definedName>
    <definedName name="Ir_a_inicio" localSheetId="0">'[1]Cuadro 1'!#REF!</definedName>
    <definedName name="Ir_a_inicio">'[1]Cuadro 1'!#REF!</definedName>
    <definedName name="Libro1" localSheetId="6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<sst xmlns="http://schemas.openxmlformats.org/spreadsheetml/2006/main" count="781" uniqueCount="216">
  <si>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</si>
  <si>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</si>
  <si>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</si>
  <si>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</si>
  <si>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</si>
  <si>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</si>
  <si>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</si>
  <si>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</si>
  <si>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</si>
  <si>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</si>
  <si>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</si>
  <si>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</si>
  <si>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</si>
  <si>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</si>
  <si>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</si>
  <si>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</si>
  <si>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</si>
  <si>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</si>
  <si>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</si>
  <si>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</si>
  <si>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</si>
  <si>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</si>
  <si>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</si>
  <si>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</si>
  <si>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</si>
  <si>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</si>
  <si>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</si>
  <si>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</si>
  <si>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</si>
  <si>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</si>
  <si>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</si>
  <si>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</si>
  <si>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</si>
  <si>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</si>
  <si>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</si>
  <si>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</si>
  <si>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</si>
  <si>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</si>
  <si>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</si>
  <si>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</si>
  <si>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</si>
  <si>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</si>
  <si>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</si>
  <si>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</si>
  <si>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</si>
  <si>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</si>
  <si>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</si>
  <si>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</si>
  <si>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</si>
  <si>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</si>
  <si>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</si>
  <si>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</si>
  <si>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</si>
  <si>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</si>
  <si>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</si>
  <si>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</si>
  <si>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</si>
  <si>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</si>
  <si>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</si>
  <si>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</si>
  <si>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</si>
  <si>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</si>
  <si>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</si>
  <si>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</si>
  <si>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</si>
  <si>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</si>
  <si>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</si>
  <si>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</si>
  <si>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</si>
  <si>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</si>
  <si>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</si>
  <si>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</si>
  <si>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</si>
  <si>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</si>
  <si>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</si>
  <si>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</si>
  <si>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</si>
  <si>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</si>
  <si>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</si>
  <si>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</si>
  <si>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</si>
  <si>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</si>
  <si>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</si>
  <si>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</si>
  <si>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</si>
  <si>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</si>
  <si>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</si>
  <si>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</si>
  <si>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</si>
  <si>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</si>
  <si>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</si>
  <si>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</si>
  <si>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</si>
  <si>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</si>
  <si>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</si>
  <si>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</si>
  <si>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</si>
  <si>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</si>
  <si>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</si>
  <si>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</si>
  <si>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</si>
  <si>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</si>
  <si>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</si>
  <si>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</si>
  <si>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</si>
  <si>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</si>
  <si>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</si>
  <si>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</si>
  <si>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</si>
  <si>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</si>
  <si>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</si>
  <si>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</si>
  <si>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</si>
  <si>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</si>
  <si>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</si>
  <si>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</si>
  <si>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</si>
  <si>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</si>
  <si>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</si>
  <si>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</si>
  <si>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</si>
  <si>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</si>
  <si>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</si>
  <si>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</si>
  <si>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</si>
  <si>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</si>
  <si>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</si>
  <si>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</si>
  <si>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</si>
  <si>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</si>
  <si>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</si>
  <si>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</si>
  <si>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</si>
  <si>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</si>
  <si>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</si>
  <si>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</si>
  <si>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</si>
  <si>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</si>
  <si>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</si>
  <si>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</si>
  <si>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</si>
  <si>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</si>
  <si>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</si>
  <si>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</si>
  <si>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</si>
  <si>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</si>
  <si>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</si>
  <si>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</si>
  <si>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</si>
  <si>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</si>
  <si>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</si>
  <si>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</si>
  <si>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</si>
  <si>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</si>
  <si>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</si>
  <si>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</si>
  <si>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</si>
  <si>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</si>
  <si>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</si>
  <si>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</si>
  <si>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</si>
  <si>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</si>
  <si>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</si>
  <si>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</si>
  <si>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</si>
  <si>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</si>
  <si>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</si>
  <si>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</si>
  <si>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</si>
  <si>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</si>
  <si>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</si>
  <si>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</si>
  <si>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</si>
  <si>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</si>
  <si>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</si>
  <si>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</si>
  <si>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</si>
  <si>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</si>
  <si>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</si>
  <si>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</si>
  <si>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</si>
  <si>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</si>
  <si>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</si>
  <si>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</si>
  <si>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</si>
  <si>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</si>
  <si>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</si>
  <si>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</si>
  <si>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</si>
  <si>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</si>
  <si>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</si>
  <si>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</si>
  <si>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</si>
  <si>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</si>
  <si>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</si>
  <si>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</si>
  <si>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</si>
  <si>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</si>
  <si>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</si>
  <si>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</si>
  <si>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</si>
  <si>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</si>
  <si>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</si>
  <si>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</si>
  <si>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</si>
  <si>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Error estándar.</t>
  </si>
  <si>
    <t>Usuaria</t>
  </si>
  <si>
    <t>No usuaria</t>
  </si>
  <si>
    <t>Nunca usuaria</t>
  </si>
  <si>
    <t>Tamaño de localidad, condición de usuaria
de cuenta y tipo de no usuaria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</si>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</sst>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##,###,###,##0"/>
    <numFmt numFmtId="166" formatCode="#,##0.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24">
    <xf numFmtId="0" fontId="0" fillId="0" borderId="0" xfId="0"/>
    <xf numFmtId="0" fontId="19" fillId="0" borderId="0" xfId="0" applyFont="1"/>
    <xf numFmtId="0" fontId="20" fillId="0" borderId="0" xfId="0" applyFont="1"/>
    <xf numFmtId="0" fontId="16" fillId="2" borderId="0" xfId="9" applyFont="1" applyFill="1" applyAlignment="1">
      <alignment horizontal="right" vertical="center"/>
    </xf>
    <xf numFmtId="0" fontId="10" fillId="0" borderId="0" xfId="0" applyFont="1"/>
    <xf numFmtId="0" fontId="0" fillId="0" borderId="0" xfId="0" applyAlignment="1">
      <alignment horizontal="left" vertical="center"/>
    </xf>
    <xf numFmtId="0" fontId="28" fillId="0" borderId="0" xfId="0" applyFont="1"/>
    <xf numFmtId="0" fontId="16" fillId="0" borderId="0" xfId="12" applyFont="1"/>
    <xf numFmtId="165" fontId="0" fillId="0" borderId="0" xfId="0" applyNumberFormat="1"/>
    <xf numFmtId="0" fontId="43" fillId="2" borderId="0" xfId="0" applyFont="1" applyFill="1"/>
    <xf numFmtId="0" fontId="1" fillId="0" borderId="0" xfId="8"/>
    <xf numFmtId="166" fontId="16" fillId="0" borderId="0" xfId="8" applyNumberFormat="1" applyFont="1"/>
    <xf numFmtId="166" fontId="36" fillId="0" borderId="0" xfId="8" applyNumberFormat="1" applyFont="1"/>
    <xf numFmtId="166" fontId="1" fillId="0" borderId="0" xfId="8" applyNumberFormat="1"/>
    <xf numFmtId="166" fontId="16" fillId="0" borderId="0" xfId="12" applyNumberFormat="1" applyFont="1"/>
    <xf numFmtId="166" fontId="39" fillId="0" borderId="0" xfId="12" applyNumberFormat="1" applyFont="1" applyAlignment="1">
      <alignment horizontal="center" vertical="center"/>
    </xf>
    <xf numFmtId="166" fontId="38" fillId="0" borderId="0" xfId="12" applyNumberFormat="1" applyFont="1" applyAlignment="1">
      <alignment vertical="center"/>
    </xf>
    <xf numFmtId="166" fontId="38" fillId="0" borderId="0" xfId="12" applyNumberFormat="1" applyFont="1" applyAlignment="1">
      <alignment horizontal="center" vertical="center"/>
    </xf>
    <xf numFmtId="166" fontId="34" fillId="0" borderId="0" xfId="12" applyNumberFormat="1" applyFont="1" applyAlignment="1">
      <alignment vertical="center"/>
    </xf>
    <xf numFmtId="166" fontId="21" fillId="0" borderId="0" xfId="12" applyNumberFormat="1" applyFont="1"/>
    <xf numFmtId="166" fontId="35" fillId="0" borderId="0" xfId="12" applyNumberFormat="1" applyFont="1"/>
    <xf numFmtId="166" fontId="36" fillId="0" borderId="0" xfId="12" quotePrefix="1" applyNumberFormat="1" applyFont="1"/>
    <xf numFmtId="166" fontId="37" fillId="0" borderId="0" xfId="12" quotePrefix="1" applyNumberFormat="1" applyFont="1"/>
    <xf numFmtId="166" fontId="34" fillId="4" borderId="17" xfId="12" applyNumberFormat="1" applyFont="1" applyFill="1" applyBorder="1" applyAlignment="1">
      <alignment horizontal="center" vertical="center"/>
    </xf>
    <xf numFmtId="166" fontId="34" fillId="4" borderId="16" xfId="12" applyNumberFormat="1" applyFont="1" applyFill="1" applyBorder="1" applyAlignment="1">
      <alignment horizontal="center" vertical="center"/>
    </xf>
    <xf numFmtId="166" fontId="42" fillId="0" borderId="12" xfId="6" applyNumberFormat="1" applyFont="1" applyBorder="1" applyAlignment="1" applyProtection="1">
      <alignment horizontal="center" vertical="center"/>
    </xf>
    <xf numFmtId="166" fontId="8" fillId="0" borderId="0" xfId="0" applyNumberFormat="1" applyFont="1" applyAlignment="1">
      <alignment horizontal="right" vertical="center" wrapText="1"/>
    </xf>
    <xf numFmtId="166" fontId="41" fillId="0" borderId="12" xfId="6" applyNumberFormat="1" applyFont="1" applyBorder="1" applyAlignment="1" applyProtection="1">
      <alignment horizontal="center" vertical="center"/>
    </xf>
    <xf numFmtId="166" fontId="41" fillId="0" borderId="26" xfId="6" applyNumberFormat="1" applyFont="1" applyBorder="1" applyAlignment="1" applyProtection="1">
      <alignment horizontal="center" vertical="center"/>
    </xf>
    <xf numFmtId="166" fontId="42" fillId="0" borderId="7" xfId="6" applyNumberFormat="1" applyFont="1" applyBorder="1" applyAlignment="1" applyProtection="1">
      <alignment horizontal="center" vertical="center"/>
    </xf>
    <xf numFmtId="166" fontId="19" fillId="0" borderId="0" xfId="0" applyNumberFormat="1" applyFont="1"/>
    <xf numFmtId="166" fontId="19" fillId="0" borderId="0" xfId="0" applyNumberFormat="1" applyFont="1" applyAlignment="1">
      <alignment horizontal="left" vertical="center"/>
    </xf>
    <xf numFmtId="166" fontId="20" fillId="0" borderId="0" xfId="0" applyNumberFormat="1" applyFont="1"/>
    <xf numFmtId="166" fontId="19" fillId="0" borderId="0" xfId="0" applyNumberFormat="1" applyFont="1" applyAlignment="1">
      <alignment vertical="top"/>
    </xf>
    <xf numFmtId="166" fontId="21" fillId="0" borderId="0" xfId="0" applyNumberFormat="1" applyFont="1"/>
    <xf numFmtId="166" fontId="20" fillId="0" borderId="0" xfId="0" applyNumberFormat="1" applyFont="1" applyAlignment="1">
      <alignment vertical="top"/>
    </xf>
    <xf numFmtId="166" fontId="29" fillId="2" borderId="0" xfId="2" applyNumberFormat="1" applyFont="1" applyFill="1" applyAlignment="1">
      <alignment horizontal="left" vertical="center"/>
    </xf>
    <xf numFmtId="166" fontId="14" fillId="2" borderId="0" xfId="0" applyNumberFormat="1" applyFont="1" applyFill="1" applyAlignment="1" applyProtection="1">
      <alignment vertical="top" readingOrder="1"/>
      <protection locked="0"/>
    </xf>
    <xf numFmtId="166" fontId="22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top"/>
    </xf>
    <xf numFmtId="166" fontId="21" fillId="0" borderId="0" xfId="0" applyNumberFormat="1" applyFont="1" applyAlignment="1">
      <alignment horizontal="right"/>
    </xf>
    <xf numFmtId="166" fontId="0" fillId="0" borderId="0" xfId="0" applyNumberFormat="1"/>
    <xf numFmtId="166" fontId="9" fillId="2" borderId="27" xfId="0" applyNumberFormat="1" applyFont="1" applyFill="1" applyBorder="1" applyAlignment="1" applyProtection="1">
      <alignment vertical="center" wrapText="1" readingOrder="1"/>
      <protection locked="0"/>
    </xf>
    <xf numFmtId="166" fontId="8" fillId="0" borderId="27" xfId="0" applyNumberFormat="1" applyFont="1" applyBorder="1" applyAlignment="1">
      <alignment horizontal="right" vertical="center" wrapText="1"/>
    </xf>
    <xf numFmtId="166" fontId="9" fillId="2" borderId="0" xfId="0" applyNumberFormat="1" applyFont="1" applyFill="1" applyAlignment="1" applyProtection="1">
      <alignment vertical="center" wrapText="1" readingOrder="1"/>
      <protection locked="0"/>
    </xf>
    <xf numFmtId="166" fontId="16" fillId="2" borderId="0" xfId="9" applyNumberFormat="1" applyFont="1" applyFill="1" applyAlignment="1">
      <alignment horizontal="right" vertical="center"/>
    </xf>
    <xf numFmtId="166" fontId="8" fillId="2" borderId="0" xfId="4" applyNumberFormat="1" applyFont="1" applyFill="1" applyAlignment="1">
      <alignment horizontal="left" vertical="center" wrapText="1"/>
    </xf>
    <xf numFmtId="166" fontId="11" fillId="2" borderId="0" xfId="0" applyNumberFormat="1" applyFont="1" applyFill="1" applyAlignment="1">
      <alignment horizontal="right" vertical="center"/>
    </xf>
    <xf numFmtId="166" fontId="4" fillId="2" borderId="0" xfId="9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166" fontId="17" fillId="2" borderId="0" xfId="9" applyNumberFormat="1" applyFont="1" applyFill="1" applyAlignment="1">
      <alignment horizontal="right" vertical="center"/>
    </xf>
    <xf numFmtId="166" fontId="8" fillId="2" borderId="2" xfId="4" applyNumberFormat="1" applyFont="1" applyFill="1" applyBorder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/>
    </xf>
    <xf numFmtId="166" fontId="8" fillId="0" borderId="4" xfId="0" applyNumberFormat="1" applyFont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/>
    </xf>
    <xf numFmtId="166" fontId="4" fillId="2" borderId="0" xfId="2" applyNumberFormat="1" applyFont="1" applyFill="1" applyAlignment="1">
      <alignment horizontal="left"/>
    </xf>
    <xf numFmtId="166" fontId="26" fillId="0" borderId="0" xfId="0" applyNumberFormat="1" applyFont="1" applyAlignment="1">
      <alignment horizontal="right"/>
    </xf>
    <xf numFmtId="166" fontId="28" fillId="0" borderId="0" xfId="0" applyNumberFormat="1" applyFont="1"/>
    <xf numFmtId="166" fontId="4" fillId="2" borderId="0" xfId="2" applyNumberFormat="1" applyFont="1" applyFill="1" applyAlignment="1">
      <alignment horizontal="left" vertical="center"/>
    </xf>
    <xf numFmtId="166" fontId="4" fillId="0" borderId="0" xfId="3" applyNumberFormat="1" applyFont="1" applyAlignment="1">
      <alignment horizontal="right" vertical="center"/>
    </xf>
    <xf numFmtId="166" fontId="24" fillId="0" borderId="0" xfId="33" applyNumberFormat="1" applyFont="1" applyFill="1" applyAlignment="1">
      <alignment horizontal="right" vertical="center" readingOrder="1"/>
    </xf>
    <xf numFmtId="166" fontId="9" fillId="0" borderId="0" xfId="33" applyNumberFormat="1" applyFont="1" applyFill="1" applyAlignment="1" applyProtection="1">
      <alignment horizontal="right" vertical="center"/>
    </xf>
    <xf numFmtId="166" fontId="24" fillId="2" borderId="0" xfId="6" applyNumberFormat="1" applyFont="1" applyFill="1" applyAlignment="1">
      <alignment horizontal="right" vertical="center" readingOrder="1"/>
    </xf>
    <xf numFmtId="166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vertical="center" wrapText="1" indent="2"/>
    </xf>
    <xf numFmtId="166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wrapText="1" indent="1"/>
    </xf>
    <xf numFmtId="166" fontId="25" fillId="0" borderId="0" xfId="33" applyNumberFormat="1" applyFont="1" applyFill="1" applyAlignment="1">
      <alignment horizontal="right" vertical="center" readingOrder="1"/>
    </xf>
    <xf numFmtId="166" fontId="11" fillId="0" borderId="0" xfId="33" applyNumberFormat="1" applyFont="1" applyFill="1" applyAlignment="1" applyProtection="1">
      <alignment horizontal="right" vertical="center"/>
    </xf>
    <xf numFmtId="166" fontId="2" fillId="2" borderId="0" xfId="2" applyNumberFormat="1" applyFont="1" applyFill="1" applyAlignment="1">
      <alignment horizontal="left" vertical="center" wrapText="1" indent="3"/>
    </xf>
    <xf numFmtId="166" fontId="25" fillId="2" borderId="0" xfId="6" applyNumberFormat="1" applyFont="1" applyFill="1" applyAlignment="1">
      <alignment horizontal="right" vertical="center" readingOrder="1"/>
    </xf>
    <xf numFmtId="166" fontId="2" fillId="2" borderId="0" xfId="2" applyNumberFormat="1" applyFont="1" applyFill="1" applyAlignment="1">
      <alignment horizontal="left" wrapText="1" indent="1"/>
    </xf>
    <xf numFmtId="166" fontId="4" fillId="0" borderId="0" xfId="2" applyNumberFormat="1" applyFont="1"/>
    <xf numFmtId="166" fontId="4" fillId="2" borderId="0" xfId="1" applyNumberFormat="1" applyFont="1" applyFill="1" applyBorder="1" applyAlignment="1">
      <alignment horizontal="left" vertical="center" indent="1"/>
    </xf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6" fontId="16" fillId="2" borderId="0" xfId="0" applyNumberFormat="1" applyFont="1" applyFill="1"/>
    <xf numFmtId="166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7" fillId="0" borderId="2" xfId="2" applyNumberFormat="1" applyFont="1" applyBorder="1"/>
    <xf numFmtId="166" fontId="6" fillId="0" borderId="2" xfId="2" applyNumberFormat="1" applyFont="1" applyBorder="1"/>
    <xf numFmtId="166" fontId="0" fillId="0" borderId="2" xfId="0" applyNumberFormat="1" applyBorder="1"/>
    <xf numFmtId="166" fontId="7" fillId="0" borderId="0" xfId="2" applyNumberFormat="1" applyFont="1"/>
    <xf numFmtId="166" fontId="6" fillId="0" borderId="0" xfId="2" applyNumberFormat="1" applyFont="1"/>
    <xf numFmtId="166" fontId="11" fillId="0" borderId="0" xfId="10" applyNumberFormat="1" applyFont="1"/>
    <xf numFmtId="166" fontId="24" fillId="0" borderId="0" xfId="0" applyNumberFormat="1" applyFont="1" applyAlignment="1">
      <alignment horizontal="left" vertical="center"/>
    </xf>
    <xf numFmtId="166" fontId="43" fillId="2" borderId="0" xfId="0" applyNumberFormat="1" applyFont="1" applyFill="1"/>
    <xf numFmtId="166" fontId="22" fillId="2" borderId="0" xfId="4" applyNumberFormat="1" applyFont="1" applyFill="1" applyAlignment="1">
      <alignment horizontal="left" vertical="center"/>
    </xf>
    <xf numFmtId="166" fontId="8" fillId="2" borderId="0" xfId="4" applyNumberFormat="1" applyFont="1" applyFill="1" applyAlignment="1">
      <alignment horizontal="left"/>
    </xf>
    <xf numFmtId="166" fontId="8" fillId="0" borderId="0" xfId="4" applyNumberFormat="1" applyFont="1" applyAlignment="1">
      <alignment horizontal="left" vertical="center"/>
    </xf>
    <xf numFmtId="166" fontId="4" fillId="0" borderId="0" xfId="5" applyNumberFormat="1" applyFont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indent="2"/>
    </xf>
    <xf numFmtId="166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indent="1"/>
    </xf>
    <xf numFmtId="166" fontId="10" fillId="2" borderId="0" xfId="4" applyNumberFormat="1" applyFont="1" applyFill="1" applyAlignment="1">
      <alignment horizontal="left" vertical="center" indent="3"/>
    </xf>
    <xf numFmtId="166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0" borderId="0" xfId="0" applyNumberFormat="1" applyFont="1"/>
    <xf numFmtId="166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0" borderId="0" xfId="3" applyNumberFormat="1" applyFont="1" applyAlignment="1">
      <alignment horizontal="right" vertical="center"/>
    </xf>
    <xf numFmtId="166" fontId="10" fillId="0" borderId="0" xfId="0" applyNumberFormat="1" applyFont="1"/>
    <xf numFmtId="166" fontId="4" fillId="2" borderId="0" xfId="14" applyNumberFormat="1" applyFont="1" applyFill="1" applyBorder="1" applyAlignment="1">
      <alignment horizontal="left" vertical="center" indent="1"/>
    </xf>
    <xf numFmtId="166" fontId="4" fillId="2" borderId="0" xfId="14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/>
    </xf>
    <xf numFmtId="166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1" xfId="4" applyNumberFormat="1" applyFont="1" applyBorder="1" applyAlignment="1">
      <alignment horizontal="left"/>
    </xf>
    <xf numFmtId="166" fontId="8" fillId="2" borderId="1" xfId="4" applyNumberFormat="1" applyFont="1" applyFill="1" applyBorder="1" applyAlignment="1">
      <alignment horizontal="left"/>
    </xf>
    <xf numFmtId="166" fontId="11" fillId="0" borderId="0" xfId="4" applyNumberFormat="1" applyFont="1" applyAlignment="1">
      <alignment horizontal="left" vertical="center"/>
    </xf>
    <xf numFmtId="166" fontId="12" fillId="0" borderId="0" xfId="4" applyNumberFormat="1" applyFont="1" applyAlignment="1">
      <alignment wrapText="1"/>
    </xf>
    <xf numFmtId="166" fontId="4" fillId="2" borderId="0" xfId="4" applyNumberFormat="1" applyFont="1" applyFill="1" applyAlignment="1">
      <alignment horizontal="right" vertical="center" wrapText="1"/>
    </xf>
    <xf numFmtId="166" fontId="8" fillId="2" borderId="0" xfId="4" applyNumberFormat="1" applyFont="1" applyFill="1" applyAlignment="1">
      <alignment horizontal="left" vertical="center"/>
    </xf>
    <xf numFmtId="166" fontId="10" fillId="2" borderId="0" xfId="4" applyNumberFormat="1" applyFont="1" applyFill="1" applyAlignment="1">
      <alignment horizontal="left" vertical="center" wrapText="1" indent="2"/>
    </xf>
    <xf numFmtId="166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10" fillId="0" borderId="0" xfId="4" applyNumberFormat="1" applyFont="1" applyAlignment="1">
      <alignment horizontal="left" vertical="center" wrapText="1" indent="2"/>
    </xf>
    <xf numFmtId="166" fontId="8" fillId="2" borderId="0" xfId="4" applyNumberFormat="1" applyFont="1" applyFill="1" applyAlignment="1">
      <alignment horizontal="left" wrapText="1"/>
    </xf>
    <xf numFmtId="166" fontId="8" fillId="0" borderId="0" xfId="4" applyNumberFormat="1" applyFont="1"/>
    <xf numFmtId="166" fontId="2" fillId="2" borderId="0" xfId="3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vertical="center"/>
    </xf>
    <xf numFmtId="166" fontId="4" fillId="2" borderId="0" xfId="29" applyNumberFormat="1" applyFont="1" applyFill="1" applyBorder="1" applyAlignment="1">
      <alignment horizontal="left" vertical="center" indent="1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2" xfId="4" applyNumberFormat="1" applyFont="1" applyFill="1" applyBorder="1" applyAlignment="1">
      <alignment horizontal="right" vertical="center" wrapText="1"/>
    </xf>
    <xf numFmtId="166" fontId="4" fillId="0" borderId="2" xfId="4" applyNumberFormat="1" applyFont="1" applyBorder="1" applyAlignment="1">
      <alignment horizontal="right" vertical="center" wrapText="1"/>
    </xf>
    <xf numFmtId="166" fontId="4" fillId="0" borderId="0" xfId="4" applyNumberFormat="1" applyFont="1" applyAlignment="1">
      <alignment horizontal="right" vertical="center" wrapText="1"/>
    </xf>
    <xf numFmtId="166" fontId="10" fillId="0" borderId="0" xfId="4" applyNumberFormat="1" applyFont="1" applyAlignment="1">
      <alignment horizontal="left" vertical="center"/>
    </xf>
    <xf numFmtId="166" fontId="8" fillId="2" borderId="0" xfId="3" applyNumberFormat="1" applyFont="1" applyFill="1" applyAlignment="1">
      <alignment horizontal="left"/>
    </xf>
    <xf numFmtId="166" fontId="8" fillId="0" borderId="0" xfId="3" applyNumberFormat="1" applyFont="1" applyAlignment="1">
      <alignment horizontal="left" vertical="center"/>
    </xf>
    <xf numFmtId="166" fontId="10" fillId="0" borderId="0" xfId="3" applyNumberFormat="1" applyFont="1" applyAlignment="1">
      <alignment horizontal="left" vertical="center" indent="2"/>
    </xf>
    <xf numFmtId="166" fontId="2" fillId="0" borderId="0" xfId="3" applyNumberFormat="1" applyFont="1" applyAlignment="1">
      <alignment horizontal="left" indent="2"/>
    </xf>
    <xf numFmtId="166" fontId="10" fillId="0" borderId="0" xfId="3" applyNumberFormat="1" applyFont="1"/>
    <xf numFmtId="166" fontId="10" fillId="0" borderId="0" xfId="3" applyNumberFormat="1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 indent="1"/>
    </xf>
    <xf numFmtId="166" fontId="4" fillId="2" borderId="0" xfId="17" applyNumberFormat="1" applyFont="1" applyFill="1" applyBorder="1" applyAlignment="1">
      <alignment horizontal="left" vertical="center"/>
    </xf>
    <xf numFmtId="166" fontId="0" fillId="2" borderId="0" xfId="0" applyNumberFormat="1" applyFill="1" applyAlignment="1">
      <alignment vertical="center"/>
    </xf>
    <xf numFmtId="166" fontId="8" fillId="0" borderId="2" xfId="3" applyNumberFormat="1" applyFont="1" applyBorder="1" applyAlignment="1">
      <alignment horizontal="left"/>
    </xf>
    <xf numFmtId="166" fontId="2" fillId="0" borderId="2" xfId="3" applyNumberFormat="1" applyFont="1" applyBorder="1" applyAlignment="1">
      <alignment horizontal="right" vertical="center"/>
    </xf>
    <xf numFmtId="166" fontId="10" fillId="0" borderId="2" xfId="0" applyNumberFormat="1" applyFont="1" applyBorder="1"/>
    <xf numFmtId="166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0" xfId="3" applyNumberFormat="1" applyFont="1" applyAlignment="1">
      <alignment horizontal="left"/>
    </xf>
    <xf numFmtId="166" fontId="29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 vertical="center" wrapText="1"/>
    </xf>
    <xf numFmtId="166" fontId="4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/>
    </xf>
    <xf numFmtId="166" fontId="4" fillId="2" borderId="0" xfId="4" applyNumberFormat="1" applyFont="1" applyFill="1" applyAlignment="1">
      <alignment horizontal="left" vertical="center" indent="3"/>
    </xf>
    <xf numFmtId="166" fontId="2" fillId="2" borderId="0" xfId="4" applyNumberFormat="1" applyFont="1" applyFill="1" applyAlignment="1">
      <alignment horizontal="left" vertical="center" wrapText="1" indent="4"/>
    </xf>
    <xf numFmtId="166" fontId="0" fillId="0" borderId="0" xfId="0" applyNumberFormat="1" applyAlignment="1">
      <alignment horizontal="left" vertical="center"/>
    </xf>
    <xf numFmtId="166" fontId="9" fillId="2" borderId="3" xfId="0" applyNumberFormat="1" applyFont="1" applyFill="1" applyBorder="1" applyAlignment="1" applyProtection="1">
      <alignment horizontal="left" vertical="center" wrapText="1"/>
      <protection locked="0"/>
    </xf>
    <xf numFmtId="166" fontId="0" fillId="0" borderId="0" xfId="0" applyNumberFormat="1" applyAlignment="1">
      <alignment horizontal="right"/>
    </xf>
    <xf numFmtId="166" fontId="4" fillId="2" borderId="0" xfId="3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166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wrapText="1" indent="1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0" xfId="18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6" fontId="4" fillId="2" borderId="2" xfId="18" applyNumberFormat="1" applyFont="1" applyFill="1" applyBorder="1" applyAlignment="1">
      <alignment horizontal="left" vertical="center"/>
    </xf>
    <xf numFmtId="166" fontId="6" fillId="2" borderId="2" xfId="4" applyNumberFormat="1" applyFont="1" applyFill="1" applyBorder="1"/>
    <xf numFmtId="166" fontId="6" fillId="0" borderId="2" xfId="4" applyNumberFormat="1" applyFont="1" applyBorder="1"/>
    <xf numFmtId="166" fontId="6" fillId="2" borderId="0" xfId="4" applyNumberFormat="1" applyFont="1" applyFill="1"/>
    <xf numFmtId="166" fontId="6" fillId="0" borderId="0" xfId="4" applyNumberFormat="1" applyFont="1"/>
    <xf numFmtId="166" fontId="8" fillId="2" borderId="0" xfId="4" applyNumberFormat="1" applyFont="1" applyFill="1" applyAlignment="1">
      <alignment horizontal="right"/>
    </xf>
    <xf numFmtId="166" fontId="4" fillId="0" borderId="0" xfId="4" applyNumberFormat="1" applyFont="1" applyAlignment="1">
      <alignment horizontal="right"/>
    </xf>
    <xf numFmtId="166" fontId="4" fillId="0" borderId="0" xfId="4" applyNumberFormat="1" applyFont="1" applyAlignment="1">
      <alignment horizontal="left" vertical="center" indent="2"/>
    </xf>
    <xf numFmtId="166" fontId="4" fillId="0" borderId="0" xfId="4" applyNumberFormat="1" applyFont="1" applyAlignment="1">
      <alignment horizontal="left" vertical="center" indent="1"/>
    </xf>
    <xf numFmtId="166" fontId="2" fillId="2" borderId="0" xfId="4" applyNumberFormat="1" applyFont="1" applyFill="1" applyAlignment="1">
      <alignment horizontal="left" vertical="center" wrapText="1" indent="3"/>
    </xf>
    <xf numFmtId="166" fontId="2" fillId="2" borderId="0" xfId="4" applyNumberFormat="1" applyFont="1" applyFill="1" applyAlignment="1">
      <alignment horizontal="left" vertical="center" wrapText="1" indent="2"/>
    </xf>
    <xf numFmtId="166" fontId="4" fillId="2" borderId="0" xfId="20" applyNumberFormat="1" applyFont="1" applyFill="1" applyBorder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right"/>
    </xf>
    <xf numFmtId="166" fontId="8" fillId="0" borderId="2" xfId="4" applyNumberFormat="1" applyFont="1" applyBorder="1" applyAlignment="1">
      <alignment horizontal="right"/>
    </xf>
    <xf numFmtId="166" fontId="8" fillId="2" borderId="1" xfId="4" applyNumberFormat="1" applyFont="1" applyFill="1" applyBorder="1" applyAlignment="1">
      <alignment horizontal="left" vertical="center"/>
    </xf>
    <xf numFmtId="166" fontId="8" fillId="2" borderId="1" xfId="4" applyNumberFormat="1" applyFont="1" applyFill="1" applyBorder="1" applyAlignment="1">
      <alignment horizontal="right"/>
    </xf>
    <xf numFmtId="166" fontId="8" fillId="0" borderId="1" xfId="4" applyNumberFormat="1" applyFont="1" applyBorder="1" applyAlignment="1">
      <alignment horizontal="right"/>
    </xf>
    <xf numFmtId="166" fontId="11" fillId="2" borderId="0" xfId="4" applyNumberFormat="1" applyFont="1" applyFill="1" applyAlignment="1">
      <alignment horizontal="left" vertical="center"/>
    </xf>
    <xf numFmtId="166" fontId="12" fillId="2" borderId="0" xfId="4" applyNumberFormat="1" applyFont="1" applyFill="1" applyAlignment="1">
      <alignment vertical="center"/>
    </xf>
    <xf numFmtId="166" fontId="12" fillId="0" borderId="0" xfId="4" applyNumberFormat="1" applyFont="1" applyAlignment="1">
      <alignment vertical="center"/>
    </xf>
    <xf numFmtId="166" fontId="29" fillId="0" borderId="0" xfId="4" applyNumberFormat="1" applyFont="1" applyAlignment="1">
      <alignment vertical="center"/>
    </xf>
    <xf numFmtId="166" fontId="10" fillId="2" borderId="0" xfId="4" applyNumberFormat="1" applyFont="1" applyFill="1" applyAlignment="1">
      <alignment horizontal="left" vertical="center" wrapText="1" indent="1"/>
    </xf>
    <xf numFmtId="166" fontId="2" fillId="0" borderId="0" xfId="4" applyNumberFormat="1" applyFont="1" applyAlignment="1">
      <alignment horizontal="left" vertical="center" wrapText="1" indent="1"/>
    </xf>
    <xf numFmtId="166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 wrapText="1" indent="1"/>
    </xf>
    <xf numFmtId="166" fontId="2" fillId="0" borderId="0" xfId="3" applyNumberFormat="1" applyFont="1" applyAlignment="1">
      <alignment horizontal="left" indent="1"/>
    </xf>
    <xf numFmtId="166" fontId="8" fillId="0" borderId="2" xfId="4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vertical="center"/>
    </xf>
    <xf numFmtId="166" fontId="8" fillId="0" borderId="0" xfId="4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  <xf numFmtId="166" fontId="12" fillId="0" borderId="0" xfId="4" applyNumberFormat="1" applyFont="1" applyAlignment="1">
      <alignment vertical="center" wrapText="1"/>
    </xf>
    <xf numFmtId="166" fontId="22" fillId="0" borderId="0" xfId="4" applyNumberFormat="1" applyFont="1" applyAlignment="1">
      <alignment vertical="center" wrapText="1"/>
    </xf>
    <xf numFmtId="166" fontId="2" fillId="0" borderId="0" xfId="4" applyNumberFormat="1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1" applyNumberFormat="1" applyFont="1" applyFill="1" applyBorder="1" applyAlignment="1">
      <alignment horizontal="left" vertical="center"/>
    </xf>
    <xf numFmtId="166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/>
    </xf>
    <xf numFmtId="166" fontId="11" fillId="2" borderId="0" xfId="4" applyNumberFormat="1" applyFont="1" applyFill="1" applyAlignment="1">
      <alignment vertical="top"/>
    </xf>
    <xf numFmtId="166" fontId="11" fillId="0" borderId="0" xfId="4" applyNumberFormat="1" applyFont="1" applyAlignment="1">
      <alignment vertical="top"/>
    </xf>
    <xf numFmtId="166" fontId="26" fillId="0" borderId="0" xfId="0" applyNumberFormat="1" applyFont="1"/>
    <xf numFmtId="166" fontId="10" fillId="0" borderId="0" xfId="4" applyNumberFormat="1" applyFont="1" applyAlignment="1">
      <alignment vertical="center" wrapText="1"/>
    </xf>
    <xf numFmtId="166" fontId="10" fillId="2" borderId="0" xfId="3" applyNumberFormat="1" applyFont="1" applyFill="1" applyAlignment="1">
      <alignment vertical="center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/>
    </xf>
    <xf numFmtId="166" fontId="4" fillId="2" borderId="0" xfId="7" applyNumberFormat="1" applyFont="1" applyFill="1" applyAlignment="1">
      <alignment horizontal="left"/>
    </xf>
    <xf numFmtId="166" fontId="4" fillId="2" borderId="0" xfId="7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wrapText="1" indent="1"/>
    </xf>
    <xf numFmtId="166" fontId="2" fillId="2" borderId="0" xfId="7" applyNumberFormat="1" applyFont="1" applyFill="1" applyAlignment="1">
      <alignment horizontal="left" vertical="center" indent="3"/>
    </xf>
    <xf numFmtId="166" fontId="2" fillId="2" borderId="0" xfId="7" applyNumberFormat="1" applyFont="1" applyFill="1" applyAlignment="1">
      <alignment horizontal="left" vertical="center" wrapText="1" indent="3"/>
    </xf>
    <xf numFmtId="166" fontId="2" fillId="2" borderId="0" xfId="7" applyNumberFormat="1" applyFont="1" applyFill="1" applyAlignment="1">
      <alignment horizontal="left" wrapText="1" indent="3"/>
    </xf>
    <xf numFmtId="166" fontId="2" fillId="2" borderId="0" xfId="7" applyNumberFormat="1" applyFont="1" applyFill="1" applyAlignment="1">
      <alignment vertical="center"/>
    </xf>
    <xf numFmtId="166" fontId="4" fillId="2" borderId="0" xfId="23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/>
    </xf>
    <xf numFmtId="166" fontId="7" fillId="2" borderId="2" xfId="7" applyNumberFormat="1" applyFont="1" applyFill="1" applyBorder="1"/>
    <xf numFmtId="166" fontId="6" fillId="0" borderId="2" xfId="7" applyNumberFormat="1" applyFont="1" applyBorder="1"/>
    <xf numFmtId="166" fontId="7" fillId="2" borderId="0" xfId="7" applyNumberFormat="1" applyFont="1" applyFill="1"/>
    <xf numFmtId="166" fontId="6" fillId="0" borderId="0" xfId="7" applyNumberFormat="1" applyFont="1"/>
    <xf numFmtId="166" fontId="2" fillId="2" borderId="0" xfId="2" applyNumberFormat="1" applyFont="1" applyFill="1"/>
    <xf numFmtId="166" fontId="6" fillId="0" borderId="0" xfId="7" applyNumberFormat="1" applyFont="1" applyAlignment="1">
      <alignment horizontal="left" vertical="center"/>
    </xf>
    <xf numFmtId="166" fontId="8" fillId="0" borderId="0" xfId="4" applyNumberFormat="1" applyFont="1" applyAlignment="1">
      <alignment vertical="center"/>
    </xf>
    <xf numFmtId="166" fontId="10" fillId="0" borderId="0" xfId="4" applyNumberFormat="1" applyFont="1" applyAlignment="1">
      <alignment horizontal="right" vertical="center"/>
    </xf>
    <xf numFmtId="166" fontId="8" fillId="2" borderId="0" xfId="4" applyNumberFormat="1" applyFont="1" applyFill="1" applyAlignment="1">
      <alignment vertical="center"/>
    </xf>
    <xf numFmtId="166" fontId="1" fillId="0" borderId="2" xfId="4" applyNumberFormat="1" applyBorder="1" applyAlignment="1">
      <alignment vertical="center"/>
    </xf>
    <xf numFmtId="166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6" fontId="1" fillId="0" borderId="0" xfId="4" applyNumberFormat="1" applyAlignment="1">
      <alignment vertical="center"/>
    </xf>
    <xf numFmtId="166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6" fontId="11" fillId="0" borderId="0" xfId="4" applyNumberFormat="1" applyFont="1" applyAlignment="1" applyProtection="1">
      <alignment horizontal="right" vertical="center" wrapText="1" readingOrder="1"/>
      <protection locked="0"/>
    </xf>
    <xf numFmtId="166" fontId="10" fillId="2" borderId="0" xfId="4" applyNumberFormat="1" applyFont="1" applyFill="1" applyAlignment="1">
      <alignment horizontal="left" vertical="center"/>
    </xf>
    <xf numFmtId="166" fontId="10" fillId="0" borderId="0" xfId="4" applyNumberFormat="1" applyFont="1" applyAlignment="1">
      <alignment vertical="center"/>
    </xf>
    <xf numFmtId="166" fontId="8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wrapText="1" indent="2"/>
    </xf>
    <xf numFmtId="166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wrapText="1" indent="3"/>
    </xf>
    <xf numFmtId="166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 indent="1"/>
    </xf>
    <xf numFmtId="166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/>
    </xf>
    <xf numFmtId="166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166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17" fillId="0" borderId="2" xfId="4" applyNumberFormat="1" applyFont="1" applyBorder="1"/>
    <xf numFmtId="166" fontId="4" fillId="2" borderId="0" xfId="30" applyNumberFormat="1" applyFont="1" applyFill="1" applyAlignment="1">
      <alignment horizontal="left" vertical="center" wrapText="1" indent="2"/>
    </xf>
    <xf numFmtId="166" fontId="11" fillId="0" borderId="0" xfId="0" applyNumberFormat="1" applyFont="1" applyAlignment="1" applyProtection="1">
      <alignment horizontal="right" vertical="center" wrapText="1" readingOrder="1"/>
      <protection locked="0"/>
    </xf>
    <xf numFmtId="166" fontId="17" fillId="0" borderId="0" xfId="4" applyNumberFormat="1" applyFont="1"/>
    <xf numFmtId="166" fontId="2" fillId="0" borderId="0" xfId="4" applyNumberFormat="1" applyFont="1" applyAlignment="1">
      <alignment horizontal="left" vertical="center"/>
    </xf>
    <xf numFmtId="166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11" fillId="0" borderId="0" xfId="0" applyNumberFormat="1" applyFont="1" applyAlignment="1" applyProtection="1">
      <alignment horizontal="left" vertical="center" wrapText="1" readingOrder="1"/>
      <protection locked="0"/>
    </xf>
    <xf numFmtId="166" fontId="17" fillId="0" borderId="0" xfId="4" applyNumberFormat="1" applyFont="1" applyAlignment="1">
      <alignment horizontal="left" vertical="center"/>
    </xf>
    <xf numFmtId="166" fontId="22" fillId="0" borderId="0" xfId="4" applyNumberFormat="1" applyFont="1" applyAlignment="1">
      <alignment vertical="center"/>
    </xf>
    <xf numFmtId="166" fontId="28" fillId="2" borderId="0" xfId="0" applyNumberFormat="1" applyFont="1" applyFill="1"/>
    <xf numFmtId="166" fontId="0" fillId="2" borderId="0" xfId="0" applyNumberFormat="1" applyFill="1"/>
    <xf numFmtId="166" fontId="4" fillId="2" borderId="0" xfId="25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/>
    </xf>
    <xf numFmtId="166" fontId="8" fillId="0" borderId="0" xfId="4" applyNumberFormat="1" applyFont="1" applyAlignment="1">
      <alignment horizontal="left"/>
    </xf>
    <xf numFmtId="166" fontId="7" fillId="2" borderId="0" xfId="4" applyNumberFormat="1" applyFont="1" applyFill="1" applyAlignment="1">
      <alignment horizontal="left" vertical="center"/>
    </xf>
    <xf numFmtId="166" fontId="7" fillId="0" borderId="0" xfId="4" applyNumberFormat="1" applyFont="1" applyAlignment="1">
      <alignment horizontal="left" vertical="center"/>
    </xf>
    <xf numFmtId="166" fontId="4" fillId="0" borderId="0" xfId="7" applyNumberFormat="1" applyFont="1" applyAlignment="1">
      <alignment horizontal="center" vertical="center"/>
    </xf>
    <xf numFmtId="166" fontId="4" fillId="0" borderId="0" xfId="7" applyNumberFormat="1" applyFont="1" applyAlignment="1">
      <alignment horizontal="right" vertical="center" indent="1"/>
    </xf>
    <xf numFmtId="166" fontId="4" fillId="0" borderId="0" xfId="7" applyNumberFormat="1" applyFont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indent="2"/>
    </xf>
    <xf numFmtId="166" fontId="4" fillId="2" borderId="0" xfId="2" applyNumberFormat="1" applyFont="1" applyFill="1" applyAlignment="1">
      <alignment horizontal="left" vertical="center" indent="1"/>
    </xf>
    <xf numFmtId="166" fontId="2" fillId="2" borderId="0" xfId="2" applyNumberFormat="1" applyFont="1" applyFill="1" applyAlignment="1">
      <alignment horizontal="left" vertical="center" indent="3"/>
    </xf>
    <xf numFmtId="166" fontId="28" fillId="2" borderId="0" xfId="0" applyNumberFormat="1" applyFont="1" applyFill="1" applyAlignment="1">
      <alignment horizontal="right" vertical="center"/>
    </xf>
    <xf numFmtId="166" fontId="4" fillId="2" borderId="0" xfId="26" applyNumberFormat="1" applyFont="1" applyFill="1" applyBorder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166" fontId="2" fillId="0" borderId="2" xfId="7" applyNumberFormat="1" applyFont="1" applyBorder="1"/>
    <xf numFmtId="166" fontId="2" fillId="0" borderId="0" xfId="7" applyNumberFormat="1" applyFont="1"/>
    <xf numFmtId="166" fontId="2" fillId="0" borderId="0" xfId="7" applyNumberFormat="1" applyFont="1" applyAlignment="1">
      <alignment horizontal="left" vertical="center"/>
    </xf>
    <xf numFmtId="166" fontId="7" fillId="0" borderId="0" xfId="7" applyNumberFormat="1" applyFont="1" applyAlignment="1">
      <alignment horizontal="left"/>
    </xf>
    <xf numFmtId="166" fontId="6" fillId="0" borderId="0" xfId="7" applyNumberFormat="1" applyFont="1" applyAlignment="1">
      <alignment horizontal="left"/>
    </xf>
    <xf numFmtId="166" fontId="10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vertical="center" indent="2"/>
    </xf>
    <xf numFmtId="166" fontId="2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 indent="1"/>
    </xf>
    <xf numFmtId="166" fontId="4" fillId="2" borderId="0" xfId="27" applyNumberFormat="1" applyFont="1" applyFill="1" applyBorder="1" applyAlignment="1">
      <alignment horizontal="left" vertical="center"/>
    </xf>
    <xf numFmtId="166" fontId="2" fillId="2" borderId="0" xfId="4" applyNumberFormat="1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166" fontId="4" fillId="2" borderId="0" xfId="28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2" fillId="0" borderId="0" xfId="4" applyNumberFormat="1" applyFont="1"/>
    <xf numFmtId="166" fontId="10" fillId="0" borderId="0" xfId="0" applyNumberFormat="1" applyFont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 indent="2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0" fontId="29" fillId="2" borderId="0" xfId="4" applyFont="1" applyFill="1" applyAlignment="1">
      <alignment horizontal="left" vertical="center"/>
    </xf>
    <xf numFmtId="166" fontId="13" fillId="0" borderId="0" xfId="6" applyNumberFormat="1" applyFill="1" applyAlignment="1">
      <alignment horizontal="right" vertical="center"/>
    </xf>
    <xf numFmtId="0" fontId="47" fillId="6" borderId="0" xfId="0" applyFont="1" applyFill="1" applyAlignment="1">
      <alignment vertical="center"/>
    </xf>
    <xf numFmtId="166" fontId="16" fillId="0" borderId="20" xfId="12" applyNumberFormat="1" applyFont="1" applyBorder="1" applyAlignment="1">
      <alignment horizontal="left" vertical="center" wrapText="1" indent="1"/>
    </xf>
    <xf numFmtId="166" fontId="16" fillId="0" borderId="19" xfId="12" applyNumberFormat="1" applyFont="1" applyBorder="1" applyAlignment="1">
      <alignment horizontal="left" vertical="center" wrapText="1" indent="1"/>
    </xf>
    <xf numFmtId="166" fontId="16" fillId="0" borderId="18" xfId="12" applyNumberFormat="1" applyFont="1" applyBorder="1" applyAlignment="1">
      <alignment horizontal="left" vertical="center" wrapText="1" indent="1"/>
    </xf>
    <xf numFmtId="166" fontId="32" fillId="0" borderId="14" xfId="13" applyNumberFormat="1" applyFont="1" applyFill="1" applyBorder="1" applyAlignment="1">
      <alignment horizontal="center" vertical="center" wrapText="1"/>
    </xf>
    <xf numFmtId="166" fontId="32" fillId="0" borderId="13" xfId="13" applyNumberFormat="1" applyFont="1" applyFill="1" applyBorder="1" applyAlignment="1">
      <alignment horizontal="center" vertical="center" wrapText="1"/>
    </xf>
    <xf numFmtId="166" fontId="32" fillId="0" borderId="8" xfId="13" applyNumberFormat="1" applyFont="1" applyFill="1" applyBorder="1" applyAlignment="1">
      <alignment horizontal="center" vertical="center" wrapText="1"/>
    </xf>
    <xf numFmtId="166" fontId="16" fillId="0" borderId="22" xfId="12" applyNumberFormat="1" applyFont="1" applyBorder="1" applyAlignment="1">
      <alignment horizontal="left" vertical="center" wrapText="1" indent="1"/>
    </xf>
    <xf numFmtId="166" fontId="16" fillId="0" borderId="21" xfId="12" applyNumberFormat="1" applyFont="1" applyBorder="1" applyAlignment="1">
      <alignment horizontal="left" vertical="center" wrapText="1" indent="1"/>
    </xf>
    <xf numFmtId="166" fontId="16" fillId="0" borderId="11" xfId="12" applyNumberFormat="1" applyFont="1" applyBorder="1" applyAlignment="1">
      <alignment horizontal="left" vertical="center" wrapText="1" indent="1"/>
    </xf>
    <xf numFmtId="166" fontId="16" fillId="0" borderId="10" xfId="12" applyNumberFormat="1" applyFont="1" applyBorder="1" applyAlignment="1">
      <alignment horizontal="left" vertical="center" wrapText="1" indent="1"/>
    </xf>
    <xf numFmtId="166" fontId="16" fillId="0" borderId="9" xfId="12" applyNumberFormat="1" applyFont="1" applyBorder="1" applyAlignment="1">
      <alignment horizontal="left" vertical="center" wrapText="1" indent="1"/>
    </xf>
    <xf numFmtId="166" fontId="16" fillId="0" borderId="25" xfId="12" applyNumberFormat="1" applyFont="1" applyBorder="1" applyAlignment="1">
      <alignment horizontal="left" vertical="center" wrapText="1" indent="1"/>
    </xf>
    <xf numFmtId="166" fontId="16" fillId="0" borderId="24" xfId="12" applyNumberFormat="1" applyFont="1" applyBorder="1" applyAlignment="1">
      <alignment horizontal="left" vertical="center" wrapText="1" indent="1"/>
    </xf>
    <xf numFmtId="166" fontId="16" fillId="0" borderId="23" xfId="12" applyNumberFormat="1" applyFont="1" applyBorder="1" applyAlignment="1">
      <alignment horizontal="left" vertical="center" wrapText="1" indent="1"/>
    </xf>
    <xf numFmtId="166" fontId="40" fillId="0" borderId="0" xfId="8" applyNumberFormat="1" applyFont="1" applyAlignment="1">
      <alignment horizontal="center" vertical="center"/>
    </xf>
    <xf numFmtId="166" fontId="39" fillId="0" borderId="0" xfId="8" applyNumberFormat="1" applyFont="1" applyAlignment="1">
      <alignment horizontal="center" vertical="center"/>
    </xf>
    <xf numFmtId="166" fontId="45" fillId="5" borderId="0" xfId="34" applyNumberFormat="1" applyFont="1" applyFill="1" applyAlignment="1">
      <alignment horizontal="center" vertical="center"/>
    </xf>
    <xf numFmtId="166" fontId="36" fillId="0" borderId="0" xfId="34" applyNumberFormat="1" applyFont="1" applyAlignment="1">
      <alignment horizontal="center" vertical="center"/>
    </xf>
    <xf numFmtId="166" fontId="36" fillId="0" borderId="0" xfId="12" applyNumberFormat="1" applyFont="1" applyAlignment="1">
      <alignment horizontal="right"/>
    </xf>
    <xf numFmtId="166" fontId="34" fillId="4" borderId="16" xfId="12" applyNumberFormat="1" applyFont="1" applyFill="1" applyBorder="1" applyAlignment="1">
      <alignment horizontal="center" vertical="center"/>
    </xf>
    <xf numFmtId="166" fontId="34" fillId="4" borderId="15" xfId="12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6" fontId="8" fillId="2" borderId="27" xfId="4" applyNumberFormat="1" applyFont="1" applyFill="1" applyBorder="1" applyAlignment="1">
      <alignment horizontal="left" vertical="center" wrapText="1"/>
    </xf>
    <xf numFmtId="166" fontId="8" fillId="2" borderId="0" xfId="4" applyNumberFormat="1" applyFont="1" applyFill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 vertical="center" wrapText="1"/>
    </xf>
    <xf numFmtId="166" fontId="2" fillId="0" borderId="0" xfId="3" applyNumberFormat="1" applyFont="1" applyAlignment="1">
      <alignment horizontal="left" vertical="center" wrapText="1"/>
    </xf>
    <xf numFmtId="166" fontId="2" fillId="2" borderId="0" xfId="4" applyNumberFormat="1" applyFont="1" applyFill="1" applyAlignment="1">
      <alignment horizontal="left" vertical="center" wrapText="1"/>
    </xf>
    <xf numFmtId="166" fontId="29" fillId="0" borderId="0" xfId="4" applyNumberFormat="1" applyFont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29" fillId="2" borderId="0" xfId="7" applyNumberFormat="1" applyFont="1" applyFill="1" applyAlignment="1">
      <alignment horizontal="left" vertical="center" wrapText="1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166" fontId="29" fillId="2" borderId="0" xfId="4" applyNumberFormat="1" applyFont="1" applyFill="1" applyAlignment="1">
      <alignment horizontal="left" vertical="center" wrapText="1"/>
    </xf>
    <xf numFmtId="166" fontId="29" fillId="0" borderId="0" xfId="7" applyNumberFormat="1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7" customWidth="1"/>
    <col min="2" max="2" width="20.28515625" style="7" customWidth="1"/>
    <col min="3" max="3" width="17.42578125" style="7" customWidth="1"/>
    <col min="4" max="14" width="11.42578125" style="7"/>
    <col min="15" max="15" width="1.5703125" style="7" customWidth="1"/>
    <col min="16" max="16384" width="11.42578125" style="7"/>
  </cols>
  <sheetData>
    <row r="1" spans="1:20" s="10" customFormat="1" ht="20.100000000000001" customHeight="1" x14ac:dyDescent="0.25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10" customFormat="1" ht="20.100000000000001" customHeight="1" x14ac:dyDescent="0.25">
      <c r="A2" s="13"/>
      <c r="B2" s="300" t="s">
        <v>163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13"/>
      <c r="P2" s="13"/>
      <c r="Q2" s="13"/>
      <c r="R2" s="13"/>
      <c r="S2" s="13"/>
      <c r="T2" s="13"/>
    </row>
    <row r="3" spans="1:20" s="10" customFormat="1" ht="20.100000000000001" customHeight="1" x14ac:dyDescent="0.25">
      <c r="A3" s="13"/>
      <c r="B3" s="301" t="s">
        <v>111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13"/>
      <c r="P3" s="13"/>
      <c r="Q3" s="13"/>
      <c r="R3" s="13"/>
      <c r="S3" s="13"/>
      <c r="T3" s="13"/>
    </row>
    <row r="4" spans="1:20" ht="6.95" customHeight="1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</row>
    <row r="5" spans="1:20" ht="20.100000000000001" customHeight="1" x14ac:dyDescent="0.2">
      <c r="A5" s="302" t="s">
        <v>205</v>
      </c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16"/>
      <c r="P5" s="14"/>
      <c r="Q5" s="14"/>
      <c r="R5" s="14"/>
      <c r="S5" s="14"/>
      <c r="T5" s="14"/>
    </row>
    <row r="6" spans="1:20" ht="6.95" customHeight="1" x14ac:dyDescent="0.2">
      <c r="A6" s="17"/>
      <c r="B6" s="16" t="s">
        <v>110</v>
      </c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4"/>
      <c r="Q6" s="14"/>
      <c r="R6" s="14"/>
      <c r="S6" s="14"/>
      <c r="T6" s="19"/>
    </row>
    <row r="7" spans="1:20" ht="20.100000000000001" customHeight="1" x14ac:dyDescent="0.2">
      <c r="A7" s="17"/>
      <c r="B7" s="303" t="s">
        <v>110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17"/>
      <c r="P7" s="14"/>
      <c r="Q7" s="14"/>
      <c r="R7" s="14"/>
      <c r="S7" s="14"/>
      <c r="T7" s="14"/>
    </row>
    <row r="8" spans="1:20" ht="20.100000000000001" customHeight="1" x14ac:dyDescent="0.2">
      <c r="A8" s="20"/>
      <c r="B8" s="21" t="s">
        <v>212</v>
      </c>
      <c r="C8" s="22"/>
      <c r="D8" s="20"/>
      <c r="E8" s="20"/>
      <c r="F8" s="20"/>
      <c r="G8" s="20"/>
      <c r="H8" s="20"/>
      <c r="I8" s="20"/>
      <c r="J8" s="20"/>
      <c r="K8" s="20"/>
      <c r="L8" s="20"/>
      <c r="M8" s="304" t="str">
        <f>CONCATENATE("Total de tabulados: ", COUNTIF(C11:C27,"&lt;&gt;"))</f>
        <v>Total de tabulados: 17</v>
      </c>
      <c r="N8" s="304"/>
      <c r="O8" s="20"/>
      <c r="P8" s="14"/>
      <c r="Q8" s="14"/>
      <c r="R8" s="14"/>
      <c r="S8" s="14"/>
      <c r="T8" s="14"/>
    </row>
    <row r="9" spans="1:20" ht="6.95" customHeight="1" thickBo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8.75" customHeight="1" thickBot="1" x14ac:dyDescent="0.25">
      <c r="A10" s="14"/>
      <c r="B10" s="23" t="s">
        <v>109</v>
      </c>
      <c r="C10" s="24" t="s">
        <v>108</v>
      </c>
      <c r="D10" s="305" t="s">
        <v>107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6"/>
      <c r="O10" s="14"/>
      <c r="P10" s="14"/>
      <c r="Q10" s="14"/>
      <c r="R10" s="14"/>
      <c r="S10" s="14"/>
      <c r="T10" s="14"/>
    </row>
    <row r="11" spans="1:20" ht="39.950000000000003" customHeight="1" x14ac:dyDescent="0.2">
      <c r="A11" s="14"/>
      <c r="B11" s="289" t="s">
        <v>106</v>
      </c>
      <c r="C11" s="25" t="s">
        <v>92</v>
      </c>
      <c r="D11" s="294" t="s">
        <v>164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6"/>
      <c r="O11" s="26"/>
      <c r="P11" s="26"/>
      <c r="Q11" s="26"/>
      <c r="R11" s="26"/>
      <c r="S11" s="26"/>
      <c r="T11" s="26"/>
    </row>
    <row r="12" spans="1:20" ht="39.950000000000003" customHeight="1" x14ac:dyDescent="0.2">
      <c r="A12" s="14"/>
      <c r="B12" s="290"/>
      <c r="C12" s="25" t="s">
        <v>91</v>
      </c>
      <c r="D12" s="294" t="s">
        <v>164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6"/>
      <c r="O12" s="26"/>
      <c r="P12" s="26"/>
      <c r="Q12" s="26"/>
      <c r="R12" s="26"/>
      <c r="S12" s="26"/>
      <c r="T12" s="26"/>
    </row>
    <row r="13" spans="1:20" ht="39.950000000000003" customHeight="1" x14ac:dyDescent="0.2">
      <c r="A13" s="14"/>
      <c r="B13" s="290"/>
      <c r="C13" s="25" t="s">
        <v>90</v>
      </c>
      <c r="D13" s="294" t="s">
        <v>165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6"/>
      <c r="O13" s="26"/>
      <c r="P13" s="26"/>
      <c r="Q13" s="26"/>
      <c r="R13" s="26"/>
      <c r="S13" s="26"/>
      <c r="T13" s="26"/>
    </row>
    <row r="14" spans="1:20" ht="39.950000000000003" customHeight="1" x14ac:dyDescent="0.2">
      <c r="A14" s="14"/>
      <c r="B14" s="290"/>
      <c r="C14" s="25" t="s">
        <v>89</v>
      </c>
      <c r="D14" s="294" t="s">
        <v>175</v>
      </c>
      <c r="E14" s="295"/>
      <c r="F14" s="295"/>
      <c r="G14" s="295"/>
      <c r="H14" s="295"/>
      <c r="I14" s="295"/>
      <c r="J14" s="295"/>
      <c r="K14" s="295"/>
      <c r="L14" s="295"/>
      <c r="M14" s="295"/>
      <c r="N14" s="296"/>
      <c r="O14" s="26"/>
      <c r="P14" s="26"/>
      <c r="Q14" s="26"/>
      <c r="R14" s="26"/>
      <c r="S14" s="26"/>
      <c r="T14" s="26"/>
    </row>
    <row r="15" spans="1:20" ht="39.950000000000003" customHeight="1" x14ac:dyDescent="0.2">
      <c r="A15" s="14"/>
      <c r="B15" s="290"/>
      <c r="C15" s="27" t="s">
        <v>88</v>
      </c>
      <c r="D15" s="294" t="s">
        <v>181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6"/>
      <c r="O15" s="26"/>
      <c r="P15" s="26"/>
      <c r="Q15" s="26"/>
      <c r="R15" s="26"/>
      <c r="S15" s="26"/>
      <c r="T15" s="26"/>
    </row>
    <row r="16" spans="1:20" ht="39.950000000000003" customHeight="1" x14ac:dyDescent="0.2">
      <c r="A16" s="14"/>
      <c r="B16" s="290"/>
      <c r="C16" s="27" t="s">
        <v>87</v>
      </c>
      <c r="D16" s="294" t="s">
        <v>180</v>
      </c>
      <c r="E16" s="295"/>
      <c r="F16" s="295"/>
      <c r="G16" s="295"/>
      <c r="H16" s="295"/>
      <c r="I16" s="295"/>
      <c r="J16" s="295"/>
      <c r="K16" s="295"/>
      <c r="L16" s="295"/>
      <c r="M16" s="295"/>
      <c r="N16" s="296"/>
      <c r="O16" s="26"/>
      <c r="P16" s="26"/>
      <c r="Q16" s="26"/>
      <c r="R16" s="26"/>
      <c r="S16" s="26"/>
      <c r="T16" s="26"/>
    </row>
    <row r="17" spans="1:20" ht="39.950000000000003" customHeight="1" x14ac:dyDescent="0.2">
      <c r="A17" s="14"/>
      <c r="B17" s="290"/>
      <c r="C17" s="27" t="s">
        <v>86</v>
      </c>
      <c r="D17" s="294" t="s">
        <v>103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6"/>
      <c r="O17" s="26"/>
      <c r="P17" s="26"/>
      <c r="Q17" s="26"/>
      <c r="R17" s="26"/>
      <c r="S17" s="26"/>
      <c r="T17" s="26"/>
    </row>
    <row r="18" spans="1:20" ht="39.950000000000003" customHeight="1" x14ac:dyDescent="0.2">
      <c r="A18" s="14"/>
      <c r="B18" s="290"/>
      <c r="C18" s="27" t="s">
        <v>85</v>
      </c>
      <c r="D18" s="294" t="s">
        <v>188</v>
      </c>
      <c r="E18" s="295"/>
      <c r="F18" s="295"/>
      <c r="G18" s="295"/>
      <c r="H18" s="295"/>
      <c r="I18" s="295"/>
      <c r="J18" s="295"/>
      <c r="K18" s="295"/>
      <c r="L18" s="295"/>
      <c r="M18" s="295"/>
      <c r="N18" s="296"/>
      <c r="O18" s="26"/>
      <c r="P18" s="26"/>
      <c r="Q18" s="26"/>
      <c r="R18" s="26"/>
      <c r="S18" s="26"/>
      <c r="T18" s="26"/>
    </row>
    <row r="19" spans="1:20" ht="39.950000000000003" customHeight="1" x14ac:dyDescent="0.2">
      <c r="A19" s="14"/>
      <c r="B19" s="290"/>
      <c r="C19" s="27" t="s">
        <v>84</v>
      </c>
      <c r="D19" s="294" t="s">
        <v>187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6"/>
      <c r="O19" s="26"/>
      <c r="P19" s="26"/>
      <c r="Q19" s="26"/>
      <c r="R19" s="26"/>
      <c r="S19" s="26"/>
      <c r="T19" s="26"/>
    </row>
    <row r="20" spans="1:20" ht="39.950000000000003" customHeight="1" x14ac:dyDescent="0.2">
      <c r="A20" s="14"/>
      <c r="B20" s="290"/>
      <c r="C20" s="27" t="s">
        <v>83</v>
      </c>
      <c r="D20" s="294" t="s">
        <v>189</v>
      </c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6"/>
      <c r="P20" s="26"/>
      <c r="Q20" s="26"/>
      <c r="R20" s="26"/>
      <c r="S20" s="26"/>
      <c r="T20" s="26"/>
    </row>
    <row r="21" spans="1:20" ht="39.950000000000003" customHeight="1" x14ac:dyDescent="0.2">
      <c r="A21" s="14"/>
      <c r="B21" s="290"/>
      <c r="C21" s="27" t="s">
        <v>82</v>
      </c>
      <c r="D21" s="294" t="s">
        <v>190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26"/>
      <c r="P21" s="26"/>
      <c r="Q21" s="26"/>
      <c r="R21" s="26"/>
      <c r="S21" s="26"/>
      <c r="T21" s="26"/>
    </row>
    <row r="22" spans="1:20" ht="39.950000000000003" customHeight="1" x14ac:dyDescent="0.2">
      <c r="A22" s="14"/>
      <c r="B22" s="290"/>
      <c r="C22" s="27" t="s">
        <v>81</v>
      </c>
      <c r="D22" s="294" t="s">
        <v>191</v>
      </c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26"/>
      <c r="P22" s="26"/>
      <c r="Q22" s="26"/>
      <c r="R22" s="26"/>
      <c r="S22" s="26"/>
      <c r="T22" s="26"/>
    </row>
    <row r="23" spans="1:20" ht="39.950000000000003" customHeight="1" x14ac:dyDescent="0.2">
      <c r="A23" s="14"/>
      <c r="B23" s="290"/>
      <c r="C23" s="27" t="s">
        <v>80</v>
      </c>
      <c r="D23" s="294" t="s">
        <v>192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26"/>
      <c r="P23" s="26"/>
      <c r="Q23" s="26"/>
      <c r="R23" s="26"/>
      <c r="S23" s="26"/>
      <c r="T23" s="26"/>
    </row>
    <row r="24" spans="1:20" ht="39.950000000000003" customHeight="1" x14ac:dyDescent="0.2">
      <c r="A24" s="14"/>
      <c r="B24" s="290"/>
      <c r="C24" s="27" t="s">
        <v>79</v>
      </c>
      <c r="D24" s="294" t="s">
        <v>193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26"/>
      <c r="P24" s="26"/>
      <c r="Q24" s="26"/>
      <c r="R24" s="26"/>
      <c r="S24" s="26"/>
      <c r="T24" s="26"/>
    </row>
    <row r="25" spans="1:20" ht="39.950000000000003" customHeight="1" x14ac:dyDescent="0.2">
      <c r="A25" s="14"/>
      <c r="B25" s="290"/>
      <c r="C25" s="28" t="s">
        <v>78</v>
      </c>
      <c r="D25" s="297" t="s">
        <v>168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26"/>
      <c r="P25" s="26"/>
      <c r="Q25" s="26"/>
      <c r="R25" s="26"/>
      <c r="S25" s="26"/>
      <c r="T25" s="26"/>
    </row>
    <row r="26" spans="1:20" ht="39.950000000000003" customHeight="1" x14ac:dyDescent="0.2">
      <c r="A26" s="14"/>
      <c r="B26" s="290"/>
      <c r="C26" s="25" t="s">
        <v>77</v>
      </c>
      <c r="D26" s="292" t="s">
        <v>167</v>
      </c>
      <c r="E26" s="292"/>
      <c r="F26" s="292"/>
      <c r="G26" s="292"/>
      <c r="H26" s="292"/>
      <c r="I26" s="292"/>
      <c r="J26" s="292"/>
      <c r="K26" s="292"/>
      <c r="L26" s="292"/>
      <c r="M26" s="292"/>
      <c r="N26" s="293"/>
      <c r="O26" s="26"/>
      <c r="P26" s="26"/>
      <c r="Q26" s="26"/>
      <c r="R26" s="26"/>
      <c r="S26" s="26"/>
      <c r="T26" s="26"/>
    </row>
    <row r="27" spans="1:20" ht="39.950000000000003" customHeight="1" thickBot="1" x14ac:dyDescent="0.25">
      <c r="A27" s="14"/>
      <c r="B27" s="291"/>
      <c r="C27" s="29" t="s">
        <v>138</v>
      </c>
      <c r="D27" s="286" t="s">
        <v>166</v>
      </c>
      <c r="E27" s="287"/>
      <c r="F27" s="287"/>
      <c r="G27" s="287"/>
      <c r="H27" s="287"/>
      <c r="I27" s="287"/>
      <c r="J27" s="287"/>
      <c r="K27" s="287"/>
      <c r="L27" s="287"/>
      <c r="M27" s="287"/>
      <c r="N27" s="288"/>
      <c r="O27" s="26"/>
      <c r="P27" s="26"/>
      <c r="Q27" s="26"/>
      <c r="R27" s="26"/>
      <c r="S27" s="26"/>
      <c r="T27" s="26"/>
    </row>
    <row r="28" spans="1:20" ht="14.2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4.2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4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4.2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4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4.2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4.2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4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</sheetData>
  <mergeCells count="24">
    <mergeCell ref="D16:N16"/>
    <mergeCell ref="D18:N18"/>
    <mergeCell ref="B2:N2"/>
    <mergeCell ref="B3:N3"/>
    <mergeCell ref="A5:N5"/>
    <mergeCell ref="B7:N7"/>
    <mergeCell ref="M8:N8"/>
    <mergeCell ref="D10:N10"/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A1:W4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4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4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4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36" t="s">
        <v>164</v>
      </c>
      <c r="C5" s="37"/>
      <c r="D5" s="38"/>
      <c r="E5" s="34"/>
      <c r="F5" s="39"/>
      <c r="G5" s="38"/>
      <c r="H5" s="34"/>
      <c r="I5" s="32"/>
      <c r="J5" s="32"/>
      <c r="K5" s="40" t="s">
        <v>92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4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55"/>
      <c r="C10" s="55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58" t="s">
        <v>1</v>
      </c>
      <c r="C11" s="59"/>
      <c r="D11" s="60">
        <v>940724.76979118201</v>
      </c>
      <c r="E11" s="61">
        <v>0</v>
      </c>
      <c r="F11" s="62"/>
      <c r="G11" s="60">
        <v>790274.85617909802</v>
      </c>
      <c r="H11" s="61">
        <v>0</v>
      </c>
      <c r="I11" s="57"/>
      <c r="J11" s="60">
        <v>719306.42915879702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58"/>
      <c r="C12" s="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119</v>
      </c>
      <c r="C13" s="65"/>
      <c r="D13" s="60">
        <v>863354.02824082004</v>
      </c>
      <c r="E13" s="61">
        <v>0.64670603947410599</v>
      </c>
      <c r="F13" s="62"/>
      <c r="G13" s="60">
        <v>684832.95716931496</v>
      </c>
      <c r="H13" s="61">
        <v>0.86504825752401304</v>
      </c>
      <c r="I13" s="57"/>
      <c r="J13" s="60">
        <v>615905.00238815497</v>
      </c>
      <c r="K13" s="61">
        <v>0.96024572124360197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66"/>
      <c r="C14" s="65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120</v>
      </c>
      <c r="C15" s="63"/>
      <c r="D15" s="67">
        <v>742744.46124960203</v>
      </c>
      <c r="E15" s="68">
        <v>0.942718065384478</v>
      </c>
      <c r="F15" s="70"/>
      <c r="G15" s="67">
        <v>576530.19280619395</v>
      </c>
      <c r="H15" s="68">
        <v>1.1715867407332901</v>
      </c>
      <c r="I15" s="41"/>
      <c r="J15" s="67">
        <v>459161.20551839902</v>
      </c>
      <c r="K15" s="68">
        <v>1.23834193376042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69" t="s">
        <v>121</v>
      </c>
      <c r="C16" s="63"/>
      <c r="D16" s="67">
        <v>330867.75748914003</v>
      </c>
      <c r="E16" s="68">
        <v>0.54881488015228996</v>
      </c>
      <c r="F16" s="70"/>
      <c r="G16" s="67">
        <v>213207.31364479999</v>
      </c>
      <c r="H16" s="68">
        <v>0.66593297895334103</v>
      </c>
      <c r="I16" s="41"/>
      <c r="J16" s="67">
        <v>237189.53367115799</v>
      </c>
      <c r="K16" s="68">
        <v>0.82784082980936302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69" t="s">
        <v>143</v>
      </c>
      <c r="C17" s="63"/>
      <c r="D17" s="67">
        <v>539114.93782181898</v>
      </c>
      <c r="E17" s="68">
        <v>0.82690725232578099</v>
      </c>
      <c r="F17" s="70"/>
      <c r="G17" s="67">
        <v>352852.00285856798</v>
      </c>
      <c r="H17" s="68">
        <v>1.0311924240852699</v>
      </c>
      <c r="I17" s="41"/>
      <c r="J17" s="67">
        <v>384076.87972426898</v>
      </c>
      <c r="K17" s="68">
        <v>1.1613314172231901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66"/>
      <c r="C18" s="65"/>
      <c r="D18" s="67"/>
      <c r="E18" s="68"/>
      <c r="F18" s="70"/>
      <c r="G18" s="67"/>
      <c r="H18" s="68"/>
      <c r="I18" s="41"/>
      <c r="J18" s="67"/>
      <c r="K18" s="68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s="6" customFormat="1" ht="15" customHeight="1" x14ac:dyDescent="0.25">
      <c r="A19" s="57"/>
      <c r="B19" s="64" t="s">
        <v>122</v>
      </c>
      <c r="C19" s="63"/>
      <c r="D19" s="60">
        <v>626711.84989501606</v>
      </c>
      <c r="E19" s="61">
        <v>0.64670603947410599</v>
      </c>
      <c r="F19" s="62"/>
      <c r="G19" s="60">
        <v>464177.47404097201</v>
      </c>
      <c r="H19" s="61">
        <v>0.86504825752401304</v>
      </c>
      <c r="I19" s="57"/>
      <c r="J19" s="60">
        <v>453373.44695511198</v>
      </c>
      <c r="K19" s="61">
        <v>0.96024572124360197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6.95" customHeight="1" x14ac:dyDescent="0.25">
      <c r="A20" s="41"/>
      <c r="B20" s="71"/>
      <c r="C20" s="72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s="6" customFormat="1" ht="15" customHeight="1" x14ac:dyDescent="0.25">
      <c r="A21" s="57"/>
      <c r="B21" s="73" t="s">
        <v>2</v>
      </c>
      <c r="C21" s="63"/>
      <c r="D21" s="60">
        <v>1202696.45731675</v>
      </c>
      <c r="E21" s="61">
        <v>0</v>
      </c>
      <c r="F21" s="62"/>
      <c r="G21" s="60">
        <v>732477.33212123101</v>
      </c>
      <c r="H21" s="61">
        <v>0</v>
      </c>
      <c r="I21" s="57"/>
      <c r="J21" s="60">
        <v>655788.85438650905</v>
      </c>
      <c r="K21" s="61">
        <v>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6.95" customHeight="1" x14ac:dyDescent="0.25">
      <c r="A22" s="41"/>
      <c r="B22" s="74"/>
      <c r="C22" s="63"/>
      <c r="D22" s="41"/>
      <c r="E22" s="41"/>
      <c r="F22" s="6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64" t="s">
        <v>119</v>
      </c>
      <c r="C23" s="65"/>
      <c r="D23" s="60">
        <v>862999.59092462901</v>
      </c>
      <c r="E23" s="61">
        <v>1.2095106611817299</v>
      </c>
      <c r="F23" s="62"/>
      <c r="G23" s="60">
        <v>550463.61919054994</v>
      </c>
      <c r="H23" s="61">
        <v>1.55200640782276</v>
      </c>
      <c r="I23" s="57"/>
      <c r="J23" s="60">
        <v>495421.04101004999</v>
      </c>
      <c r="K23" s="61">
        <v>1.7981516940857301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66"/>
      <c r="C24" s="6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69" t="s">
        <v>120</v>
      </c>
      <c r="C25" s="63"/>
      <c r="D25" s="67">
        <v>631029.35044767905</v>
      </c>
      <c r="E25" s="68">
        <v>1.8221298714455401</v>
      </c>
      <c r="F25" s="70"/>
      <c r="G25" s="67">
        <v>453494.95271129499</v>
      </c>
      <c r="H25" s="68">
        <v>2.2910578482954298</v>
      </c>
      <c r="I25" s="41"/>
      <c r="J25" s="67">
        <v>348348.75007587601</v>
      </c>
      <c r="K25" s="68">
        <v>2.2687422285778398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69" t="s">
        <v>121</v>
      </c>
      <c r="C26" s="63"/>
      <c r="D26" s="67">
        <v>184748.56994363101</v>
      </c>
      <c r="E26" s="68">
        <v>0.93197124790056696</v>
      </c>
      <c r="F26" s="70"/>
      <c r="G26" s="67">
        <v>102256.27460648899</v>
      </c>
      <c r="H26" s="68">
        <v>0.98622557472152494</v>
      </c>
      <c r="I26" s="41"/>
      <c r="J26" s="67">
        <v>124227.885610136</v>
      </c>
      <c r="K26" s="68">
        <v>1.3956126519168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69" t="s">
        <v>143</v>
      </c>
      <c r="C27" s="63"/>
      <c r="D27" s="67">
        <v>359024.50374931301</v>
      </c>
      <c r="E27" s="68">
        <v>1.4176399826487001</v>
      </c>
      <c r="F27" s="70"/>
      <c r="G27" s="67">
        <v>223955.40039176401</v>
      </c>
      <c r="H27" s="68">
        <v>1.83152994855062</v>
      </c>
      <c r="I27" s="41"/>
      <c r="J27" s="67">
        <v>231610.477786462</v>
      </c>
      <c r="K27" s="68">
        <v>2.0804322220856601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66"/>
      <c r="C28" s="65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64" t="s">
        <v>122</v>
      </c>
      <c r="C29" s="63"/>
      <c r="D29" s="60">
        <v>550035.15925267804</v>
      </c>
      <c r="E29" s="61">
        <v>1.2095106611817299</v>
      </c>
      <c r="F29" s="62"/>
      <c r="G29" s="60">
        <v>347933.76560189499</v>
      </c>
      <c r="H29" s="61">
        <v>1.55200640782276</v>
      </c>
      <c r="I29" s="57"/>
      <c r="J29" s="60">
        <v>329004.46918020101</v>
      </c>
      <c r="K29" s="61">
        <v>1.7981516940857301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75"/>
      <c r="C30" s="63"/>
      <c r="D30" s="76"/>
      <c r="E30" s="76"/>
      <c r="F30" s="77"/>
      <c r="G30" s="76"/>
      <c r="H30" s="76"/>
      <c r="I30" s="76"/>
      <c r="J30" s="76"/>
      <c r="K30" s="7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s="6" customFormat="1" ht="15" customHeight="1" x14ac:dyDescent="0.25">
      <c r="A31" s="57"/>
      <c r="B31" s="73" t="s">
        <v>3</v>
      </c>
      <c r="C31" s="63"/>
      <c r="D31" s="60">
        <v>1215345.35573305</v>
      </c>
      <c r="E31" s="61">
        <v>0</v>
      </c>
      <c r="F31" s="62"/>
      <c r="G31" s="60">
        <v>853166.62916364695</v>
      </c>
      <c r="H31" s="61">
        <v>0</v>
      </c>
      <c r="I31" s="57"/>
      <c r="J31" s="60">
        <v>704303.09797417896</v>
      </c>
      <c r="K31" s="61">
        <v>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6.95" customHeight="1" x14ac:dyDescent="0.25">
      <c r="A32" s="41"/>
      <c r="B32" s="74"/>
      <c r="C32" s="63"/>
      <c r="D32" s="41"/>
      <c r="E32" s="41"/>
      <c r="F32" s="63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6" customFormat="1" ht="15" customHeight="1" x14ac:dyDescent="0.25">
      <c r="A33" s="57"/>
      <c r="B33" s="64" t="s">
        <v>119</v>
      </c>
      <c r="C33" s="65"/>
      <c r="D33" s="60">
        <v>987397.65831302095</v>
      </c>
      <c r="E33" s="61">
        <v>0.78364772943761696</v>
      </c>
      <c r="F33" s="62"/>
      <c r="G33" s="60">
        <v>696567.39108397195</v>
      </c>
      <c r="H33" s="61">
        <v>1.08752236675558</v>
      </c>
      <c r="I33" s="57"/>
      <c r="J33" s="60">
        <v>565215.55082043796</v>
      </c>
      <c r="K33" s="61">
        <v>1.1249692043806601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6.95" customHeight="1" x14ac:dyDescent="0.25">
      <c r="A34" s="41"/>
      <c r="B34" s="66"/>
      <c r="C34" s="65"/>
      <c r="D34" s="67"/>
      <c r="E34" s="68"/>
      <c r="F34" s="62"/>
      <c r="G34" s="67"/>
      <c r="H34" s="68"/>
      <c r="I34" s="57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69" t="s">
        <v>120</v>
      </c>
      <c r="C35" s="63"/>
      <c r="D35" s="67">
        <v>712963.17763676005</v>
      </c>
      <c r="E35" s="68">
        <v>1.08862459640267</v>
      </c>
      <c r="F35" s="70"/>
      <c r="G35" s="67">
        <v>507973.32645021402</v>
      </c>
      <c r="H35" s="68">
        <v>1.3308301252446</v>
      </c>
      <c r="I35" s="41"/>
      <c r="J35" s="67">
        <v>386746.49247609801</v>
      </c>
      <c r="K35" s="68">
        <v>1.4480370635719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69" t="s">
        <v>121</v>
      </c>
      <c r="C36" s="63"/>
      <c r="D36" s="67">
        <v>286697.496481915</v>
      </c>
      <c r="E36" s="68">
        <v>0.68580015013767404</v>
      </c>
      <c r="F36" s="70"/>
      <c r="G36" s="67">
        <v>191111.83455643</v>
      </c>
      <c r="H36" s="68">
        <v>0.88190411893337906</v>
      </c>
      <c r="I36" s="41"/>
      <c r="J36" s="67">
        <v>206604.44522489101</v>
      </c>
      <c r="K36" s="68">
        <v>1.0125107266086699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69" t="s">
        <v>143</v>
      </c>
      <c r="C37" s="63"/>
      <c r="D37" s="67">
        <v>497692.03944443498</v>
      </c>
      <c r="E37" s="68">
        <v>1.0144659796205799</v>
      </c>
      <c r="F37" s="70"/>
      <c r="G37" s="67">
        <v>317439.53414057801</v>
      </c>
      <c r="H37" s="68">
        <v>1.22204375894325</v>
      </c>
      <c r="I37" s="41"/>
      <c r="J37" s="67">
        <v>331530.31841554202</v>
      </c>
      <c r="K37" s="68">
        <v>1.39555780033446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66"/>
      <c r="C38" s="65"/>
      <c r="D38" s="67"/>
      <c r="E38" s="68"/>
      <c r="F38" s="70"/>
      <c r="G38" s="67"/>
      <c r="H38" s="68"/>
      <c r="I38" s="41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122</v>
      </c>
      <c r="C39" s="63"/>
      <c r="D39" s="60">
        <v>553637.24953935295</v>
      </c>
      <c r="E39" s="61">
        <v>0.78364772943761696</v>
      </c>
      <c r="F39" s="62"/>
      <c r="G39" s="60">
        <v>403357.34477095603</v>
      </c>
      <c r="H39" s="61">
        <v>1.08752236675558</v>
      </c>
      <c r="I39" s="57"/>
      <c r="J39" s="60">
        <v>373624.609963717</v>
      </c>
      <c r="K39" s="61">
        <v>1.1249692043806601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78"/>
      <c r="C40" s="79"/>
      <c r="D40" s="80"/>
      <c r="E40" s="80"/>
      <c r="F40" s="79"/>
      <c r="G40" s="80"/>
      <c r="H40" s="80"/>
      <c r="I40" s="80"/>
      <c r="J40" s="80"/>
      <c r="K40" s="8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6.95" customHeight="1" x14ac:dyDescent="0.25">
      <c r="A41" s="41"/>
      <c r="B41" s="81"/>
      <c r="C41" s="82"/>
      <c r="D41" s="41"/>
      <c r="E41" s="41"/>
      <c r="F41" s="82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307" t="s">
        <v>145</v>
      </c>
      <c r="C42" s="307"/>
      <c r="D42" s="307"/>
      <c r="E42" s="307"/>
      <c r="F42" s="307"/>
      <c r="G42" s="30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9" customFormat="1" x14ac:dyDescent="0.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005D-C218-48C5-B723-9D2D202E8962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105</v>
      </c>
      <c r="C5" s="37"/>
      <c r="D5" s="37"/>
      <c r="E5" s="39"/>
      <c r="F5" s="39"/>
      <c r="G5" s="38"/>
      <c r="H5" s="34"/>
      <c r="I5" s="32"/>
      <c r="J5" s="32"/>
      <c r="K5" s="40" t="s">
        <v>91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2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172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88" t="s">
        <v>4</v>
      </c>
      <c r="C11" s="89"/>
      <c r="D11" s="60">
        <v>940724.76979118201</v>
      </c>
      <c r="E11" s="61">
        <v>0</v>
      </c>
      <c r="F11" s="62"/>
      <c r="G11" s="60">
        <v>790274.85617909802</v>
      </c>
      <c r="H11" s="61">
        <v>0</v>
      </c>
      <c r="I11" s="57"/>
      <c r="J11" s="60">
        <v>719306.42915879702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88"/>
      <c r="C12" s="87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90" t="s">
        <v>5</v>
      </c>
      <c r="C13" s="91"/>
      <c r="D13" s="60">
        <v>826523.64133818599</v>
      </c>
      <c r="E13" s="61">
        <v>0.67600553408430797</v>
      </c>
      <c r="F13" s="62"/>
      <c r="G13" s="60">
        <v>651878.54598454095</v>
      </c>
      <c r="H13" s="61">
        <v>0.89495116465868996</v>
      </c>
      <c r="I13" s="57"/>
      <c r="J13" s="60">
        <v>581119.55033019697</v>
      </c>
      <c r="K13" s="61">
        <v>1.01462157172363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93" t="s">
        <v>6</v>
      </c>
      <c r="C15" s="94"/>
      <c r="D15" s="67">
        <v>254847.030106872</v>
      </c>
      <c r="E15" s="68">
        <v>0.48250787857899302</v>
      </c>
      <c r="F15" s="70"/>
      <c r="G15" s="67">
        <v>188138.971849277</v>
      </c>
      <c r="H15" s="68">
        <v>0.66204814959562797</v>
      </c>
      <c r="I15" s="41"/>
      <c r="J15" s="67">
        <v>172162.81542003201</v>
      </c>
      <c r="K15" s="68">
        <v>0.71297411956401102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93" t="s">
        <v>7</v>
      </c>
      <c r="C16" s="95"/>
      <c r="D16" s="67">
        <v>327647.41739429499</v>
      </c>
      <c r="E16" s="68">
        <v>0.62075460353342005</v>
      </c>
      <c r="F16" s="70"/>
      <c r="G16" s="67">
        <v>210439.411883083</v>
      </c>
      <c r="H16" s="68">
        <v>0.74508243115213402</v>
      </c>
      <c r="I16" s="41"/>
      <c r="J16" s="67">
        <v>218709.769060416</v>
      </c>
      <c r="K16" s="68">
        <v>0.86956813247543796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93" t="s">
        <v>8</v>
      </c>
      <c r="C17" s="95"/>
      <c r="D17" s="67">
        <v>433432.675083699</v>
      </c>
      <c r="E17" s="68">
        <v>0.77815400043673</v>
      </c>
      <c r="F17" s="70"/>
      <c r="G17" s="67">
        <v>268309.74392806902</v>
      </c>
      <c r="H17" s="68">
        <v>0.90681596159450195</v>
      </c>
      <c r="I17" s="41"/>
      <c r="J17" s="67">
        <v>322609.71084482002</v>
      </c>
      <c r="K17" s="68">
        <v>1.2064429804871899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93" t="s">
        <v>93</v>
      </c>
      <c r="C18" s="95"/>
      <c r="D18" s="67">
        <v>362707.19376583397</v>
      </c>
      <c r="E18" s="68">
        <v>0.64122594807258404</v>
      </c>
      <c r="F18" s="70"/>
      <c r="G18" s="67">
        <v>261625.882305712</v>
      </c>
      <c r="H18" s="68">
        <v>0.89311545200003895</v>
      </c>
      <c r="I18" s="41"/>
      <c r="J18" s="67">
        <v>231462.00484600701</v>
      </c>
      <c r="K18" s="68">
        <v>0.87031715327680803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93" t="s">
        <v>9</v>
      </c>
      <c r="C19" s="95"/>
      <c r="D19" s="67">
        <v>509706.92348542402</v>
      </c>
      <c r="E19" s="68">
        <v>0.88369330748074204</v>
      </c>
      <c r="F19" s="70"/>
      <c r="G19" s="67">
        <v>383161.82810832298</v>
      </c>
      <c r="H19" s="68">
        <v>1.20352112077483</v>
      </c>
      <c r="I19" s="41"/>
      <c r="J19" s="67">
        <v>334877.47234936099</v>
      </c>
      <c r="K19" s="68">
        <v>1.2809315697033199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93" t="s">
        <v>10</v>
      </c>
      <c r="C20" s="95"/>
      <c r="D20" s="67">
        <v>738095.39335856505</v>
      </c>
      <c r="E20" s="68">
        <v>0.84615282383587898</v>
      </c>
      <c r="F20" s="70"/>
      <c r="G20" s="67">
        <v>595856.20941541903</v>
      </c>
      <c r="H20" s="68">
        <v>1.23681169167195</v>
      </c>
      <c r="I20" s="41"/>
      <c r="J20" s="67">
        <v>527702.628185426</v>
      </c>
      <c r="K20" s="68">
        <v>1.1712374659103399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92"/>
      <c r="C21" s="91"/>
      <c r="D21" s="59"/>
      <c r="E21" s="96"/>
      <c r="F21" s="63"/>
      <c r="G21" s="59"/>
      <c r="H21" s="96"/>
      <c r="I21" s="96"/>
      <c r="J21" s="59"/>
      <c r="K21" s="9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90" t="s">
        <v>11</v>
      </c>
      <c r="C22" s="95"/>
      <c r="D22" s="60">
        <v>684455.116140745</v>
      </c>
      <c r="E22" s="61">
        <v>0.67600553408430797</v>
      </c>
      <c r="F22" s="62"/>
      <c r="G22" s="60">
        <v>503550.52758856502</v>
      </c>
      <c r="H22" s="61">
        <v>0.89495116465868996</v>
      </c>
      <c r="I22" s="57"/>
      <c r="J22" s="60">
        <v>508568.11390035501</v>
      </c>
      <c r="K22" s="61">
        <v>1.01462157172363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92"/>
      <c r="C23" s="97"/>
      <c r="D23" s="98"/>
      <c r="E23" s="99"/>
      <c r="F23" s="77"/>
      <c r="G23" s="98"/>
      <c r="H23" s="99"/>
      <c r="I23" s="99"/>
      <c r="J23" s="98"/>
      <c r="K23" s="9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100" t="s">
        <v>2</v>
      </c>
      <c r="C24" s="97"/>
      <c r="D24" s="60">
        <v>1202696.45731675</v>
      </c>
      <c r="E24" s="61">
        <v>0</v>
      </c>
      <c r="F24" s="62"/>
      <c r="G24" s="60">
        <v>732477.33212123101</v>
      </c>
      <c r="H24" s="61">
        <v>0</v>
      </c>
      <c r="I24" s="57"/>
      <c r="J24" s="60">
        <v>655788.85438650905</v>
      </c>
      <c r="K24" s="61">
        <v>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101"/>
      <c r="C25" s="97"/>
      <c r="D25" s="41"/>
      <c r="E25" s="41"/>
      <c r="F25" s="6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90" t="s">
        <v>5</v>
      </c>
      <c r="C26" s="91"/>
      <c r="D26" s="60">
        <v>809292.52424027398</v>
      </c>
      <c r="E26" s="61">
        <v>1.2829512083648</v>
      </c>
      <c r="F26" s="62"/>
      <c r="G26" s="60">
        <v>531039.01256013499</v>
      </c>
      <c r="H26" s="61">
        <v>1.62227775285542</v>
      </c>
      <c r="I26" s="57"/>
      <c r="J26" s="60">
        <v>464828.53275380901</v>
      </c>
      <c r="K26" s="61">
        <v>1.9154324832209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92"/>
      <c r="C27" s="91"/>
      <c r="D27" s="67"/>
      <c r="E27" s="68"/>
      <c r="F27" s="62"/>
      <c r="G27" s="67"/>
      <c r="H27" s="68"/>
      <c r="I27" s="57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93" t="s">
        <v>6</v>
      </c>
      <c r="C28" s="95"/>
      <c r="D28" s="67">
        <v>177050.42852577101</v>
      </c>
      <c r="E28" s="68">
        <v>0.91791766668175401</v>
      </c>
      <c r="F28" s="70"/>
      <c r="G28" s="67">
        <v>121123.358021377</v>
      </c>
      <c r="H28" s="68">
        <v>1.20516021418276</v>
      </c>
      <c r="I28" s="41"/>
      <c r="J28" s="67">
        <v>120641.602757303</v>
      </c>
      <c r="K28" s="68">
        <v>1.49567018855425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93" t="s">
        <v>7</v>
      </c>
      <c r="C29" s="95"/>
      <c r="D29" s="67">
        <v>280449.07316688698</v>
      </c>
      <c r="E29" s="68">
        <v>1.48813385359601</v>
      </c>
      <c r="F29" s="70"/>
      <c r="G29" s="67">
        <v>152668.426252081</v>
      </c>
      <c r="H29" s="68">
        <v>1.54303098940231</v>
      </c>
      <c r="I29" s="41"/>
      <c r="J29" s="67">
        <v>178134.05060985399</v>
      </c>
      <c r="K29" s="68">
        <v>1.9677051774712799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93" t="s">
        <v>8</v>
      </c>
      <c r="C30" s="95"/>
      <c r="D30" s="67">
        <v>292682.466314291</v>
      </c>
      <c r="E30" s="68">
        <v>1.3614153369345801</v>
      </c>
      <c r="F30" s="70"/>
      <c r="G30" s="67">
        <v>158929.118286226</v>
      </c>
      <c r="H30" s="68">
        <v>1.33269717434084</v>
      </c>
      <c r="I30" s="41"/>
      <c r="J30" s="67">
        <v>198418.92914240199</v>
      </c>
      <c r="K30" s="68">
        <v>2.1523117033086101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93" t="s">
        <v>93</v>
      </c>
      <c r="C31" s="95"/>
      <c r="D31" s="67">
        <v>249725.40439801299</v>
      </c>
      <c r="E31" s="68">
        <v>1.1532797255484399</v>
      </c>
      <c r="F31" s="70"/>
      <c r="G31" s="67">
        <v>154008.18356051599</v>
      </c>
      <c r="H31" s="68">
        <v>1.49298161203014</v>
      </c>
      <c r="I31" s="41"/>
      <c r="J31" s="67">
        <v>159305.075746641</v>
      </c>
      <c r="K31" s="68">
        <v>1.62513413848587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93" t="s">
        <v>9</v>
      </c>
      <c r="C32" s="95"/>
      <c r="D32" s="67">
        <v>397673.413790841</v>
      </c>
      <c r="E32" s="68">
        <v>1.5565315294072799</v>
      </c>
      <c r="F32" s="70"/>
      <c r="G32" s="67">
        <v>276667.004848935</v>
      </c>
      <c r="H32" s="68">
        <v>1.97437115497172</v>
      </c>
      <c r="I32" s="41"/>
      <c r="J32" s="67">
        <v>220060.3824385</v>
      </c>
      <c r="K32" s="68">
        <v>2.30939539979016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93" t="s">
        <v>10</v>
      </c>
      <c r="C33" s="95"/>
      <c r="D33" s="67">
        <v>654506.42906358303</v>
      </c>
      <c r="E33" s="68">
        <v>1.5497301965471899</v>
      </c>
      <c r="F33" s="70"/>
      <c r="G33" s="67">
        <v>449029.583138849</v>
      </c>
      <c r="H33" s="68">
        <v>2.1103126724163199</v>
      </c>
      <c r="I33" s="41"/>
      <c r="J33" s="67">
        <v>407509.98228546401</v>
      </c>
      <c r="K33" s="68">
        <v>2.1222148293643501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92"/>
      <c r="C34" s="91"/>
      <c r="D34" s="59"/>
      <c r="E34" s="96"/>
      <c r="F34" s="63"/>
      <c r="G34" s="59"/>
      <c r="H34" s="96"/>
      <c r="I34" s="96"/>
      <c r="J34" s="59"/>
      <c r="K34" s="9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90" t="s">
        <v>11</v>
      </c>
      <c r="C35" s="95"/>
      <c r="D35" s="60">
        <v>620451.38499330496</v>
      </c>
      <c r="E35" s="61">
        <v>1.2829512083648</v>
      </c>
      <c r="F35" s="62"/>
      <c r="G35" s="60">
        <v>376448.46468685102</v>
      </c>
      <c r="H35" s="61">
        <v>1.62227775285542</v>
      </c>
      <c r="I35" s="57"/>
      <c r="J35" s="60">
        <v>373011.20164201898</v>
      </c>
      <c r="K35" s="61">
        <v>1.9154324832209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92"/>
      <c r="C36" s="97"/>
      <c r="D36" s="98"/>
      <c r="E36" s="99"/>
      <c r="F36" s="77"/>
      <c r="G36" s="98"/>
      <c r="H36" s="99"/>
      <c r="I36" s="99"/>
      <c r="J36" s="98"/>
      <c r="K36" s="9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100" t="s">
        <v>3</v>
      </c>
      <c r="C37" s="97"/>
      <c r="D37" s="60">
        <v>1215345.35573305</v>
      </c>
      <c r="E37" s="61">
        <v>0</v>
      </c>
      <c r="F37" s="62"/>
      <c r="G37" s="60">
        <v>853166.62916364695</v>
      </c>
      <c r="H37" s="61">
        <v>0</v>
      </c>
      <c r="I37" s="57"/>
      <c r="J37" s="60">
        <v>704303.09797417896</v>
      </c>
      <c r="K37" s="61">
        <v>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101"/>
      <c r="C38" s="97"/>
      <c r="D38" s="41"/>
      <c r="E38" s="41"/>
      <c r="F38" s="63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90" t="s">
        <v>5</v>
      </c>
      <c r="C39" s="91"/>
      <c r="D39" s="60">
        <v>921720.15860830504</v>
      </c>
      <c r="E39" s="61">
        <v>0.82431911213690801</v>
      </c>
      <c r="F39" s="62"/>
      <c r="G39" s="60">
        <v>655233.29496134399</v>
      </c>
      <c r="H39" s="61">
        <v>1.14938488049222</v>
      </c>
      <c r="I39" s="57"/>
      <c r="J39" s="60">
        <v>518324.45652326703</v>
      </c>
      <c r="K39" s="61">
        <v>1.1899206286425901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92"/>
      <c r="C40" s="91"/>
      <c r="D40" s="67"/>
      <c r="E40" s="68"/>
      <c r="F40" s="62"/>
      <c r="G40" s="67"/>
      <c r="H40" s="68"/>
      <c r="I40" s="57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93" t="s">
        <v>6</v>
      </c>
      <c r="C41" s="95"/>
      <c r="D41" s="67">
        <v>214534.62344020701</v>
      </c>
      <c r="E41" s="68">
        <v>0.57012638784718195</v>
      </c>
      <c r="F41" s="70"/>
      <c r="G41" s="67">
        <v>149962.0363142</v>
      </c>
      <c r="H41" s="68">
        <v>0.76293733761667404</v>
      </c>
      <c r="I41" s="41"/>
      <c r="J41" s="67">
        <v>136817.603209964</v>
      </c>
      <c r="K41" s="68">
        <v>0.80485023348076701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93" t="s">
        <v>7</v>
      </c>
      <c r="C42" s="95"/>
      <c r="D42" s="67">
        <v>218724.38369325901</v>
      </c>
      <c r="E42" s="68">
        <v>0.58224821375390101</v>
      </c>
      <c r="F42" s="70"/>
      <c r="G42" s="67">
        <v>154310.202046658</v>
      </c>
      <c r="H42" s="68">
        <v>0.81308314251209501</v>
      </c>
      <c r="I42" s="41"/>
      <c r="J42" s="67">
        <v>149054.955944708</v>
      </c>
      <c r="K42" s="68">
        <v>0.85784884116133397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93" t="s">
        <v>8</v>
      </c>
      <c r="C43" s="95"/>
      <c r="D43" s="67">
        <v>361962.73268418998</v>
      </c>
      <c r="E43" s="68">
        <v>0.95971147145976299</v>
      </c>
      <c r="F43" s="70"/>
      <c r="G43" s="67">
        <v>231999.02009303699</v>
      </c>
      <c r="H43" s="68">
        <v>1.19956626642578</v>
      </c>
      <c r="I43" s="41"/>
      <c r="J43" s="67">
        <v>267838.73388738401</v>
      </c>
      <c r="K43" s="68">
        <v>1.4919714791885701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93" t="s">
        <v>93</v>
      </c>
      <c r="C44" s="95"/>
      <c r="D44" s="67">
        <v>302148.21571679797</v>
      </c>
      <c r="E44" s="68">
        <v>0.76877319892506102</v>
      </c>
      <c r="F44" s="70"/>
      <c r="G44" s="67">
        <v>222242.72497197599</v>
      </c>
      <c r="H44" s="68">
        <v>1.10774820305573</v>
      </c>
      <c r="I44" s="41"/>
      <c r="J44" s="67">
        <v>188952.63932302699</v>
      </c>
      <c r="K44" s="68">
        <v>1.0551075354105699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93" t="s">
        <v>9</v>
      </c>
      <c r="C45" s="95"/>
      <c r="D45" s="67">
        <v>496314.313208037</v>
      </c>
      <c r="E45" s="68">
        <v>1.08546400843802</v>
      </c>
      <c r="F45" s="70"/>
      <c r="G45" s="67">
        <v>347958.27973147499</v>
      </c>
      <c r="H45" s="68">
        <v>1.5385743755421</v>
      </c>
      <c r="I45" s="41"/>
      <c r="J45" s="67">
        <v>295210.79620608798</v>
      </c>
      <c r="K45" s="68">
        <v>1.5178035570149899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93" t="s">
        <v>10</v>
      </c>
      <c r="C46" s="95"/>
      <c r="D46" s="67">
        <v>736995.91823632398</v>
      </c>
      <c r="E46" s="68">
        <v>1.0268034428770401</v>
      </c>
      <c r="F46" s="70"/>
      <c r="G46" s="67">
        <v>543230.12206933997</v>
      </c>
      <c r="H46" s="68">
        <v>1.5294891394532</v>
      </c>
      <c r="I46" s="41"/>
      <c r="J46" s="67">
        <v>438455.594321515</v>
      </c>
      <c r="K46" s="68">
        <v>1.40812916873353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92"/>
      <c r="C47" s="91"/>
      <c r="D47" s="59"/>
      <c r="E47" s="96"/>
      <c r="F47" s="63"/>
      <c r="G47" s="59"/>
      <c r="H47" s="96"/>
      <c r="I47" s="96"/>
      <c r="J47" s="59"/>
      <c r="K47" s="96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90" t="s">
        <v>11</v>
      </c>
      <c r="C48" s="95"/>
      <c r="D48" s="60">
        <v>621909.766069278</v>
      </c>
      <c r="E48" s="61">
        <v>0.82431911213690801</v>
      </c>
      <c r="F48" s="62"/>
      <c r="G48" s="60">
        <v>451218.03077750898</v>
      </c>
      <c r="H48" s="61">
        <v>1.14938488049222</v>
      </c>
      <c r="I48" s="57"/>
      <c r="J48" s="60">
        <v>431547.688797882</v>
      </c>
      <c r="K48" s="61">
        <v>1.1899206286425901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102"/>
      <c r="C49" s="52"/>
      <c r="D49" s="80"/>
      <c r="E49" s="80"/>
      <c r="F49" s="103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104"/>
      <c r="C50" s="105"/>
      <c r="D50" s="87"/>
      <c r="E50" s="87"/>
      <c r="F50" s="87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106" t="s">
        <v>96</v>
      </c>
      <c r="C51" s="107"/>
      <c r="D51" s="107"/>
      <c r="E51" s="107"/>
      <c r="F51" s="107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307" t="s">
        <v>145</v>
      </c>
      <c r="C52" s="307"/>
      <c r="D52" s="307"/>
      <c r="E52" s="307"/>
      <c r="F52" s="307"/>
      <c r="G52" s="30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s="9" customFormat="1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</sheetData>
  <mergeCells count="6">
    <mergeCell ref="B52:G52"/>
    <mergeCell ref="B7:B9"/>
    <mergeCell ref="D7:E8"/>
    <mergeCell ref="G7:K7"/>
    <mergeCell ref="G8:H8"/>
    <mergeCell ref="J8:K8"/>
  </mergeCells>
  <hyperlinks>
    <hyperlink ref="K1" location="ÍNDICE!A1" tooltip="Ir a ÍNDICE" display="ÍNDICE" xr:uid="{F8D00439-61F2-4C7E-BF20-820154DE5540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CA7-FFA4-498A-85EC-8991B60C246F}">
  <dimension ref="A1:W4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173</v>
      </c>
      <c r="C5" s="37"/>
      <c r="D5" s="39"/>
      <c r="E5" s="39"/>
      <c r="F5" s="39"/>
      <c r="G5" s="38"/>
      <c r="H5" s="34"/>
      <c r="I5" s="32"/>
      <c r="J5" s="32"/>
      <c r="K5" s="40" t="s">
        <v>90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13</v>
      </c>
      <c r="C7" s="42"/>
      <c r="D7" s="308" t="s">
        <v>176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46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826523.64133818599</v>
      </c>
      <c r="E11" s="61">
        <v>0</v>
      </c>
      <c r="F11" s="62"/>
      <c r="G11" s="60">
        <v>651878.54598454095</v>
      </c>
      <c r="H11" s="61">
        <v>0</v>
      </c>
      <c r="I11" s="57"/>
      <c r="J11" s="60">
        <v>581119.55033019697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14</v>
      </c>
      <c r="C13" s="111"/>
      <c r="D13" s="67">
        <v>557575.12210213696</v>
      </c>
      <c r="E13" s="68">
        <v>0.96069192256907698</v>
      </c>
      <c r="F13" s="70"/>
      <c r="G13" s="67">
        <v>371373.08127689699</v>
      </c>
      <c r="H13" s="68">
        <v>1.2062015698864801</v>
      </c>
      <c r="I13" s="41"/>
      <c r="J13" s="67">
        <v>411030.99543645099</v>
      </c>
      <c r="K13" s="68">
        <v>1.3853323469143699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15</v>
      </c>
      <c r="C14" s="95"/>
      <c r="D14" s="67">
        <v>486407.09044600598</v>
      </c>
      <c r="E14" s="68">
        <v>0.83534754319710602</v>
      </c>
      <c r="F14" s="70"/>
      <c r="G14" s="67">
        <v>375411.71717272099</v>
      </c>
      <c r="H14" s="68">
        <v>1.14534817481956</v>
      </c>
      <c r="I14" s="41"/>
      <c r="J14" s="67">
        <v>317369.73094613798</v>
      </c>
      <c r="K14" s="68">
        <v>1.1950375820849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12" t="s">
        <v>16</v>
      </c>
      <c r="C15" s="95"/>
      <c r="D15" s="67">
        <v>464368.71529784799</v>
      </c>
      <c r="E15" s="68">
        <v>0.83002086841102996</v>
      </c>
      <c r="F15" s="70"/>
      <c r="G15" s="67">
        <v>297594.65265390201</v>
      </c>
      <c r="H15" s="68">
        <v>0.99594816993385704</v>
      </c>
      <c r="I15" s="41"/>
      <c r="J15" s="67">
        <v>349772.54385315703</v>
      </c>
      <c r="K15" s="68">
        <v>1.28875807105412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2" t="s">
        <v>17</v>
      </c>
      <c r="C16" s="95"/>
      <c r="D16" s="67">
        <v>328126.79177990399</v>
      </c>
      <c r="E16" s="68">
        <v>0.62438814320429403</v>
      </c>
      <c r="F16" s="70"/>
      <c r="G16" s="67">
        <v>249888.73693000199</v>
      </c>
      <c r="H16" s="68">
        <v>0.89757838532230705</v>
      </c>
      <c r="I16" s="41"/>
      <c r="J16" s="67">
        <v>209860.125144285</v>
      </c>
      <c r="K16" s="68">
        <v>0.854665414242326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2" t="s">
        <v>18</v>
      </c>
      <c r="C17" s="95"/>
      <c r="D17" s="67">
        <v>359056.94192664698</v>
      </c>
      <c r="E17" s="68">
        <v>0.650624466853848</v>
      </c>
      <c r="F17" s="70"/>
      <c r="G17" s="67">
        <v>289193.59672079497</v>
      </c>
      <c r="H17" s="68">
        <v>0.90762869403107604</v>
      </c>
      <c r="I17" s="41"/>
      <c r="J17" s="67">
        <v>200255.66956569901</v>
      </c>
      <c r="K17" s="68">
        <v>0.83315866669257999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19</v>
      </c>
      <c r="C18" s="95"/>
      <c r="D18" s="67">
        <v>227627.12420245601</v>
      </c>
      <c r="E18" s="68">
        <v>0.451590687834381</v>
      </c>
      <c r="F18" s="70"/>
      <c r="G18" s="67">
        <v>183459.387656643</v>
      </c>
      <c r="H18" s="68">
        <v>0.65123264086339205</v>
      </c>
      <c r="I18" s="41"/>
      <c r="J18" s="67">
        <v>137272.097820458</v>
      </c>
      <c r="K18" s="68">
        <v>0.59133904653314395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272054.83960124699</v>
      </c>
      <c r="E19" s="68">
        <v>0.51863714869418998</v>
      </c>
      <c r="F19" s="70"/>
      <c r="G19" s="67">
        <v>167723.62866448399</v>
      </c>
      <c r="H19" s="68">
        <v>0.60795815878488402</v>
      </c>
      <c r="I19" s="41"/>
      <c r="J19" s="67">
        <v>194662.261785254</v>
      </c>
      <c r="K19" s="68">
        <v>0.78214215144537602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21</v>
      </c>
      <c r="C20" s="95"/>
      <c r="D20" s="67">
        <v>114887.714361187</v>
      </c>
      <c r="E20" s="68">
        <v>0.228528020767992</v>
      </c>
      <c r="F20" s="70"/>
      <c r="G20" s="67">
        <v>91323.222357553997</v>
      </c>
      <c r="H20" s="68">
        <v>0.33545795481504198</v>
      </c>
      <c r="I20" s="41"/>
      <c r="J20" s="67">
        <v>71796.635399776205</v>
      </c>
      <c r="K20" s="68">
        <v>0.30854827277359997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86956.616390097595</v>
      </c>
      <c r="E21" s="68">
        <v>0.17064806899424201</v>
      </c>
      <c r="F21" s="70"/>
      <c r="G21" s="67">
        <v>71268.033703603898</v>
      </c>
      <c r="H21" s="68">
        <v>0.26011595706538698</v>
      </c>
      <c r="I21" s="41"/>
      <c r="J21" s="67">
        <v>50100.742832557597</v>
      </c>
      <c r="K21" s="68">
        <v>0.21544848764669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13"/>
      <c r="C22" s="114"/>
      <c r="D22" s="115"/>
      <c r="E22" s="116"/>
      <c r="F22" s="77"/>
      <c r="G22" s="115"/>
      <c r="H22" s="116"/>
      <c r="I22" s="116"/>
      <c r="J22" s="115"/>
      <c r="K22" s="1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7" t="s">
        <v>2</v>
      </c>
      <c r="C23" s="95"/>
      <c r="D23" s="60">
        <v>809292.52424027398</v>
      </c>
      <c r="E23" s="61">
        <v>0</v>
      </c>
      <c r="F23" s="62"/>
      <c r="G23" s="60">
        <v>531039.01256013499</v>
      </c>
      <c r="H23" s="61">
        <v>0</v>
      </c>
      <c r="I23" s="57"/>
      <c r="J23" s="60">
        <v>464828.53275380901</v>
      </c>
      <c r="K23" s="61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18"/>
      <c r="C24" s="9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14</v>
      </c>
      <c r="C25" s="111"/>
      <c r="D25" s="67">
        <v>426703.46094100497</v>
      </c>
      <c r="E25" s="68">
        <v>1.98304945983216</v>
      </c>
      <c r="F25" s="70"/>
      <c r="G25" s="67">
        <v>259249.929723712</v>
      </c>
      <c r="H25" s="68">
        <v>2.3450626706749</v>
      </c>
      <c r="I25" s="41"/>
      <c r="J25" s="67">
        <v>278447.34368615597</v>
      </c>
      <c r="K25" s="68">
        <v>2.6316915597285702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15</v>
      </c>
      <c r="C26" s="95"/>
      <c r="D26" s="67">
        <v>376645.75394039199</v>
      </c>
      <c r="E26" s="68">
        <v>1.61413869662551</v>
      </c>
      <c r="F26" s="70"/>
      <c r="G26" s="67">
        <v>247013.18243864799</v>
      </c>
      <c r="H26" s="68">
        <v>1.94823143706775</v>
      </c>
      <c r="I26" s="41"/>
      <c r="J26" s="67">
        <v>224370.139648788</v>
      </c>
      <c r="K26" s="68">
        <v>2.3392391296108501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12" t="s">
        <v>16</v>
      </c>
      <c r="C27" s="95"/>
      <c r="D27" s="67">
        <v>294444.50941643002</v>
      </c>
      <c r="E27" s="68">
        <v>1.4142125494430899</v>
      </c>
      <c r="F27" s="70"/>
      <c r="G27" s="67">
        <v>207900.200277661</v>
      </c>
      <c r="H27" s="68">
        <v>1.88365161990776</v>
      </c>
      <c r="I27" s="41"/>
      <c r="J27" s="67">
        <v>175293.02736867999</v>
      </c>
      <c r="K27" s="68">
        <v>1.9691970951059901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2" t="s">
        <v>17</v>
      </c>
      <c r="C28" s="95"/>
      <c r="D28" s="67">
        <v>232666.285626078</v>
      </c>
      <c r="E28" s="68">
        <v>1.2610139396672899</v>
      </c>
      <c r="F28" s="70"/>
      <c r="G28" s="67">
        <v>154963.54654844801</v>
      </c>
      <c r="H28" s="68">
        <v>1.65508034349511</v>
      </c>
      <c r="I28" s="41"/>
      <c r="J28" s="67">
        <v>155489.185020904</v>
      </c>
      <c r="K28" s="68">
        <v>1.84813279878304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2" t="s">
        <v>18</v>
      </c>
      <c r="C29" s="95"/>
      <c r="D29" s="67">
        <v>246111.69465686401</v>
      </c>
      <c r="E29" s="68">
        <v>1.21758567465671</v>
      </c>
      <c r="F29" s="70"/>
      <c r="G29" s="67">
        <v>193845.22353369</v>
      </c>
      <c r="H29" s="68">
        <v>1.59305737298467</v>
      </c>
      <c r="I29" s="41"/>
      <c r="J29" s="67">
        <v>118636.661313533</v>
      </c>
      <c r="K29" s="68">
        <v>1.5070210736565399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19</v>
      </c>
      <c r="C30" s="95"/>
      <c r="D30" s="67">
        <v>99709.325224183005</v>
      </c>
      <c r="E30" s="68">
        <v>0.57396827552114305</v>
      </c>
      <c r="F30" s="70"/>
      <c r="G30" s="67">
        <v>82811.564520962405</v>
      </c>
      <c r="H30" s="68">
        <v>0.86435308583711801</v>
      </c>
      <c r="I30" s="41"/>
      <c r="J30" s="67">
        <v>57626.491731296097</v>
      </c>
      <c r="K30" s="68">
        <v>0.75902558796861197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224375.685368734</v>
      </c>
      <c r="E31" s="68">
        <v>1.22002564936605</v>
      </c>
      <c r="F31" s="70"/>
      <c r="G31" s="67">
        <v>143416.27120373899</v>
      </c>
      <c r="H31" s="68">
        <v>1.4596617663318601</v>
      </c>
      <c r="I31" s="41"/>
      <c r="J31" s="67">
        <v>146272.41788618601</v>
      </c>
      <c r="K31" s="68">
        <v>1.7080855349019799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21</v>
      </c>
      <c r="C32" s="95"/>
      <c r="D32" s="67">
        <v>78188.4635288352</v>
      </c>
      <c r="E32" s="68">
        <v>0.46715484520675299</v>
      </c>
      <c r="F32" s="70"/>
      <c r="G32" s="67">
        <v>73168.820552199701</v>
      </c>
      <c r="H32" s="68">
        <v>0.78104333660234804</v>
      </c>
      <c r="I32" s="41"/>
      <c r="J32" s="67">
        <v>27913.895428621199</v>
      </c>
      <c r="K32" s="68">
        <v>0.37475901320799498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39199.398732633599</v>
      </c>
      <c r="E33" s="68">
        <v>0.22969131109652499</v>
      </c>
      <c r="F33" s="70"/>
      <c r="G33" s="67">
        <v>28730.880285852701</v>
      </c>
      <c r="H33" s="68">
        <v>0.303795179162896</v>
      </c>
      <c r="I33" s="41"/>
      <c r="J33" s="67">
        <v>27562.983274674702</v>
      </c>
      <c r="K33" s="68">
        <v>0.37076003406508501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13"/>
      <c r="C34" s="114"/>
      <c r="D34" s="115"/>
      <c r="E34" s="116"/>
      <c r="F34" s="77"/>
      <c r="G34" s="115"/>
      <c r="H34" s="116"/>
      <c r="I34" s="116"/>
      <c r="J34" s="115"/>
      <c r="K34" s="1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7" t="s">
        <v>3</v>
      </c>
      <c r="C35" s="95"/>
      <c r="D35" s="60">
        <v>921720.15860830504</v>
      </c>
      <c r="E35" s="61">
        <v>0</v>
      </c>
      <c r="F35" s="62"/>
      <c r="G35" s="60">
        <v>655233.29496134399</v>
      </c>
      <c r="H35" s="61">
        <v>0</v>
      </c>
      <c r="I35" s="57"/>
      <c r="J35" s="60">
        <v>518324.45652326703</v>
      </c>
      <c r="K35" s="61">
        <v>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118"/>
      <c r="C36" s="95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14</v>
      </c>
      <c r="C37" s="111"/>
      <c r="D37" s="67">
        <v>495376.89596018498</v>
      </c>
      <c r="E37" s="68">
        <v>1.07767170070089</v>
      </c>
      <c r="F37" s="70"/>
      <c r="G37" s="67">
        <v>328317.236371329</v>
      </c>
      <c r="H37" s="68">
        <v>1.4367792422721599</v>
      </c>
      <c r="I37" s="41"/>
      <c r="J37" s="67">
        <v>340200.78766278399</v>
      </c>
      <c r="K37" s="68">
        <v>1.60998743929771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15</v>
      </c>
      <c r="C38" s="95"/>
      <c r="D38" s="67">
        <v>456475.87602786598</v>
      </c>
      <c r="E38" s="68">
        <v>1.05907195320707</v>
      </c>
      <c r="F38" s="70"/>
      <c r="G38" s="67">
        <v>346272.36627334502</v>
      </c>
      <c r="H38" s="68">
        <v>1.4723282690275601</v>
      </c>
      <c r="I38" s="41"/>
      <c r="J38" s="67">
        <v>266691.47036844399</v>
      </c>
      <c r="K38" s="68">
        <v>1.4336049001815501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12" t="s">
        <v>16</v>
      </c>
      <c r="C39" s="95"/>
      <c r="D39" s="67">
        <v>421036.21274475497</v>
      </c>
      <c r="E39" s="68">
        <v>1.05041273335473</v>
      </c>
      <c r="F39" s="70"/>
      <c r="G39" s="67">
        <v>249658.50420735899</v>
      </c>
      <c r="H39" s="68">
        <v>1.16119217747037</v>
      </c>
      <c r="I39" s="41"/>
      <c r="J39" s="67">
        <v>312318.86572219298</v>
      </c>
      <c r="K39" s="68">
        <v>1.6464577290739699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2" t="s">
        <v>17</v>
      </c>
      <c r="C40" s="95"/>
      <c r="D40" s="67">
        <v>253122.21499279299</v>
      </c>
      <c r="E40" s="68">
        <v>0.69847491548086205</v>
      </c>
      <c r="F40" s="70"/>
      <c r="G40" s="67">
        <v>200992.313981655</v>
      </c>
      <c r="H40" s="68">
        <v>1.05517692009094</v>
      </c>
      <c r="I40" s="41"/>
      <c r="J40" s="67">
        <v>149420.536842211</v>
      </c>
      <c r="K40" s="68">
        <v>0.90649215227607005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2" t="s">
        <v>18</v>
      </c>
      <c r="C41" s="95"/>
      <c r="D41" s="67">
        <v>301887.89157517598</v>
      </c>
      <c r="E41" s="68">
        <v>0.79828707556169598</v>
      </c>
      <c r="F41" s="70"/>
      <c r="G41" s="67">
        <v>246136.99640774401</v>
      </c>
      <c r="H41" s="68">
        <v>1.1602171283142699</v>
      </c>
      <c r="I41" s="41"/>
      <c r="J41" s="67">
        <v>168192.62358119001</v>
      </c>
      <c r="K41" s="68">
        <v>1.0187564502873401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19</v>
      </c>
      <c r="C42" s="95"/>
      <c r="D42" s="67">
        <v>210312.592804071</v>
      </c>
      <c r="E42" s="68">
        <v>0.60279972982866703</v>
      </c>
      <c r="F42" s="70"/>
      <c r="G42" s="67">
        <v>168637.081783181</v>
      </c>
      <c r="H42" s="68">
        <v>0.86544994029175504</v>
      </c>
      <c r="I42" s="41"/>
      <c r="J42" s="67">
        <v>125869.857339922</v>
      </c>
      <c r="K42" s="68">
        <v>0.79884438456736695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173107.20658669699</v>
      </c>
      <c r="E43" s="68">
        <v>0.48133086506277201</v>
      </c>
      <c r="F43" s="70"/>
      <c r="G43" s="67">
        <v>94164.656917807195</v>
      </c>
      <c r="H43" s="68">
        <v>0.52010678539166899</v>
      </c>
      <c r="I43" s="41"/>
      <c r="J43" s="67">
        <v>135180.88104984799</v>
      </c>
      <c r="K43" s="68">
        <v>0.81540836110603698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21</v>
      </c>
      <c r="C44" s="95"/>
      <c r="D44" s="67">
        <v>84176.903495779494</v>
      </c>
      <c r="E44" s="68">
        <v>0.25169562573772097</v>
      </c>
      <c r="F44" s="70"/>
      <c r="G44" s="67">
        <v>54646.634304111103</v>
      </c>
      <c r="H44" s="68">
        <v>0.308006286109549</v>
      </c>
      <c r="I44" s="41"/>
      <c r="J44" s="67">
        <v>66148.101232978705</v>
      </c>
      <c r="K44" s="68">
        <v>0.41737943193426202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78195.918705246106</v>
      </c>
      <c r="E45" s="68">
        <v>0.227893930554775</v>
      </c>
      <c r="F45" s="70"/>
      <c r="G45" s="67">
        <v>65426.181388805497</v>
      </c>
      <c r="H45" s="68">
        <v>0.36349452219891898</v>
      </c>
      <c r="I45" s="41"/>
      <c r="J45" s="67">
        <v>41837.380240331397</v>
      </c>
      <c r="K45" s="68">
        <v>0.26229073745182602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51"/>
      <c r="C46" s="119"/>
      <c r="D46" s="120"/>
      <c r="E46" s="120"/>
      <c r="F46" s="120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46"/>
      <c r="C47" s="108"/>
      <c r="D47" s="121"/>
      <c r="E47" s="121"/>
      <c r="F47" s="12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06" t="s">
        <v>128</v>
      </c>
      <c r="C48" s="122"/>
      <c r="D48" s="122"/>
      <c r="E48" s="122"/>
      <c r="F48" s="12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307" t="s">
        <v>145</v>
      </c>
      <c r="C49" s="307"/>
      <c r="D49" s="307"/>
      <c r="E49" s="307"/>
      <c r="F49" s="307"/>
      <c r="G49" s="30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ÍNDICE" xr:uid="{ADA512E6-99FC-4778-828F-2C9F7534C9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ECF4-57C3-44B9-B988-B2B2FC8549EB}">
  <dimension ref="A1:W3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174</v>
      </c>
      <c r="C5" s="86"/>
      <c r="D5" s="86"/>
      <c r="E5" s="86"/>
      <c r="F5" s="86"/>
      <c r="G5" s="86"/>
      <c r="H5" s="34"/>
      <c r="I5" s="32"/>
      <c r="J5" s="32"/>
      <c r="K5" s="40" t="s">
        <v>89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177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826523.64133818599</v>
      </c>
      <c r="E11" s="61">
        <v>0</v>
      </c>
      <c r="F11" s="62"/>
      <c r="G11" s="60">
        <v>651878.54598454095</v>
      </c>
      <c r="H11" s="61">
        <v>0</v>
      </c>
      <c r="I11" s="57"/>
      <c r="J11" s="60">
        <v>581119.55033019697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329053.56890900299</v>
      </c>
      <c r="E13" s="68">
        <v>0.62037468959216502</v>
      </c>
      <c r="F13" s="70"/>
      <c r="G13" s="67">
        <v>261463.10197288499</v>
      </c>
      <c r="H13" s="68">
        <v>0.89345538048037798</v>
      </c>
      <c r="I13" s="41"/>
      <c r="J13" s="67">
        <v>185225.628345309</v>
      </c>
      <c r="K13" s="68">
        <v>0.75378486909272402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353141.39264198102</v>
      </c>
      <c r="E14" s="68">
        <v>0.65029859838952297</v>
      </c>
      <c r="F14" s="70"/>
      <c r="G14" s="67">
        <v>261969.61628496699</v>
      </c>
      <c r="H14" s="68">
        <v>0.87165649008769197</v>
      </c>
      <c r="I14" s="41"/>
      <c r="J14" s="67">
        <v>217513.5012954</v>
      </c>
      <c r="K14" s="68">
        <v>0.88356122475322596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472538.95127850701</v>
      </c>
      <c r="E15" s="68">
        <v>0.83647249447529304</v>
      </c>
      <c r="F15" s="70"/>
      <c r="G15" s="67">
        <v>346705.17318765301</v>
      </c>
      <c r="H15" s="68">
        <v>1.16059763337184</v>
      </c>
      <c r="I15" s="41"/>
      <c r="J15" s="67">
        <v>298385.03844193002</v>
      </c>
      <c r="K15" s="68">
        <v>1.1307903989297401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607919.76516471</v>
      </c>
      <c r="E16" s="68">
        <v>0.97035315955616996</v>
      </c>
      <c r="F16" s="70"/>
      <c r="G16" s="67">
        <v>453390.15020710602</v>
      </c>
      <c r="H16" s="68">
        <v>1.3091618677744199</v>
      </c>
      <c r="I16" s="41"/>
      <c r="J16" s="67">
        <v>422022.45689402398</v>
      </c>
      <c r="K16" s="68">
        <v>1.2808315095355201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6" t="s">
        <v>118</v>
      </c>
      <c r="C17" s="127"/>
      <c r="D17" s="67">
        <v>191064.59565174501</v>
      </c>
      <c r="E17" s="68">
        <v>0.37655561453134101</v>
      </c>
      <c r="F17" s="70"/>
      <c r="G17" s="67">
        <v>146221.911352147</v>
      </c>
      <c r="H17" s="68">
        <v>0.53606307954408605</v>
      </c>
      <c r="I17" s="41"/>
      <c r="J17" s="67">
        <v>128975.807033887</v>
      </c>
      <c r="K17" s="68">
        <v>0.55223024868404202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15"/>
      <c r="E18" s="116"/>
      <c r="F18" s="77"/>
      <c r="G18" s="115"/>
      <c r="H18" s="116"/>
      <c r="I18" s="116"/>
      <c r="J18" s="115"/>
      <c r="K18" s="1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29" t="s">
        <v>2</v>
      </c>
      <c r="C19" s="95"/>
      <c r="D19" s="60">
        <v>809292.52424027398</v>
      </c>
      <c r="E19" s="61">
        <v>0</v>
      </c>
      <c r="F19" s="62"/>
      <c r="G19" s="60">
        <v>531039.01256013499</v>
      </c>
      <c r="H19" s="61">
        <v>0</v>
      </c>
      <c r="I19" s="57"/>
      <c r="J19" s="60">
        <v>464828.53275380901</v>
      </c>
      <c r="K19" s="61">
        <v>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30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235239.28506157399</v>
      </c>
      <c r="E21" s="68">
        <v>1.32265688251027</v>
      </c>
      <c r="F21" s="70"/>
      <c r="G21" s="67">
        <v>200350.58046200301</v>
      </c>
      <c r="H21" s="68">
        <v>1.955109962269</v>
      </c>
      <c r="I21" s="41"/>
      <c r="J21" s="67">
        <v>109420.368070168</v>
      </c>
      <c r="K21" s="68">
        <v>1.3397507527977399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268233.54521673801</v>
      </c>
      <c r="E22" s="68">
        <v>1.3043430336834201</v>
      </c>
      <c r="F22" s="70"/>
      <c r="G22" s="67">
        <v>194838.73543737101</v>
      </c>
      <c r="H22" s="68">
        <v>1.5985094739326899</v>
      </c>
      <c r="I22" s="41"/>
      <c r="J22" s="67">
        <v>142404.841377451</v>
      </c>
      <c r="K22" s="68">
        <v>1.7316328498456799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282763.75028965902</v>
      </c>
      <c r="E23" s="68">
        <v>1.36634978512359</v>
      </c>
      <c r="F23" s="70"/>
      <c r="G23" s="67">
        <v>181845.94995948899</v>
      </c>
      <c r="H23" s="68">
        <v>1.69490471760902</v>
      </c>
      <c r="I23" s="41"/>
      <c r="J23" s="67">
        <v>160074.068612367</v>
      </c>
      <c r="K23" s="68">
        <v>1.7888625356971799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440103.81315793202</v>
      </c>
      <c r="E24" s="68">
        <v>1.49056666399847</v>
      </c>
      <c r="F24" s="70"/>
      <c r="G24" s="67">
        <v>268551.288737408</v>
      </c>
      <c r="H24" s="68">
        <v>1.7883214355489101</v>
      </c>
      <c r="I24" s="41"/>
      <c r="J24" s="67">
        <v>294168.89111268398</v>
      </c>
      <c r="K24" s="68">
        <v>2.1752207852944299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6" t="s">
        <v>118</v>
      </c>
      <c r="C25" s="127"/>
      <c r="D25" s="67">
        <v>141245.53309548201</v>
      </c>
      <c r="E25" s="68">
        <v>0.80511898819861805</v>
      </c>
      <c r="F25" s="70"/>
      <c r="G25" s="67">
        <v>106563.08944246201</v>
      </c>
      <c r="H25" s="68">
        <v>1.1178758062985401</v>
      </c>
      <c r="I25" s="41"/>
      <c r="J25" s="67">
        <v>96497.746602113504</v>
      </c>
      <c r="K25" s="68">
        <v>1.2674691602041701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30"/>
      <c r="C26" s="95"/>
      <c r="D26" s="131"/>
      <c r="E26" s="131"/>
      <c r="F26" s="131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29" t="s">
        <v>3</v>
      </c>
      <c r="C27" s="95"/>
      <c r="D27" s="60">
        <v>921720.15860830504</v>
      </c>
      <c r="E27" s="61">
        <v>0</v>
      </c>
      <c r="F27" s="62"/>
      <c r="G27" s="60">
        <v>655233.29496134399</v>
      </c>
      <c r="H27" s="61">
        <v>0</v>
      </c>
      <c r="I27" s="57"/>
      <c r="J27" s="60">
        <v>518324.45652326703</v>
      </c>
      <c r="K27" s="61">
        <v>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30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245351.391213319</v>
      </c>
      <c r="E29" s="68">
        <v>0.67895673333787299</v>
      </c>
      <c r="F29" s="70"/>
      <c r="G29" s="67">
        <v>173968.913353385</v>
      </c>
      <c r="H29" s="68">
        <v>0.91541934340089304</v>
      </c>
      <c r="I29" s="41"/>
      <c r="J29" s="67">
        <v>158319.13333023901</v>
      </c>
      <c r="K29" s="68">
        <v>0.94461121514631596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266265.19913603301</v>
      </c>
      <c r="E30" s="68">
        <v>0.71784959370522905</v>
      </c>
      <c r="F30" s="70"/>
      <c r="G30" s="67">
        <v>202370.96132172499</v>
      </c>
      <c r="H30" s="68">
        <v>1.02475134639415</v>
      </c>
      <c r="I30" s="41"/>
      <c r="J30" s="67">
        <v>169542.99850076399</v>
      </c>
      <c r="K30" s="68">
        <v>1.01647782980537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435325.54038149398</v>
      </c>
      <c r="E31" s="68">
        <v>1.0510303209088301</v>
      </c>
      <c r="F31" s="70"/>
      <c r="G31" s="67">
        <v>323427.40716396202</v>
      </c>
      <c r="H31" s="68">
        <v>1.51909258276543</v>
      </c>
      <c r="I31" s="41"/>
      <c r="J31" s="67">
        <v>268908.44649545901</v>
      </c>
      <c r="K31" s="68">
        <v>1.4383161240568101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597450.29528735601</v>
      </c>
      <c r="E32" s="68">
        <v>1.2014172702828501</v>
      </c>
      <c r="F32" s="70"/>
      <c r="G32" s="67">
        <v>435289.28343724599</v>
      </c>
      <c r="H32" s="68">
        <v>1.70381807277677</v>
      </c>
      <c r="I32" s="41"/>
      <c r="J32" s="67">
        <v>353811.79966517002</v>
      </c>
      <c r="K32" s="68">
        <v>1.53276762792466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6" t="s">
        <v>118</v>
      </c>
      <c r="C33" s="127"/>
      <c r="D33" s="67">
        <v>131430.549487549</v>
      </c>
      <c r="E33" s="68">
        <v>0.38420396440801702</v>
      </c>
      <c r="F33" s="70"/>
      <c r="G33" s="67">
        <v>101978.069560142</v>
      </c>
      <c r="H33" s="68">
        <v>0.56901131403145</v>
      </c>
      <c r="I33" s="41"/>
      <c r="J33" s="67">
        <v>85574.199971467693</v>
      </c>
      <c r="K33" s="68">
        <v>0.53627017831648804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133"/>
      <c r="E34" s="134"/>
      <c r="F34" s="135"/>
      <c r="G34" s="133"/>
      <c r="H34" s="134"/>
      <c r="I34" s="134"/>
      <c r="J34" s="133"/>
      <c r="K34" s="13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84"/>
      <c r="E35" s="84"/>
      <c r="F35" s="84"/>
      <c r="G35" s="84"/>
      <c r="H35" s="83"/>
      <c r="I35" s="83"/>
      <c r="J35" s="83"/>
      <c r="K35" s="83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24" customHeight="1" x14ac:dyDescent="0.25">
      <c r="A36" s="41"/>
      <c r="B36" s="314" t="s">
        <v>141</v>
      </c>
      <c r="C36" s="314"/>
      <c r="D36" s="314"/>
      <c r="E36" s="314"/>
      <c r="F36" s="314"/>
      <c r="G36" s="314"/>
      <c r="H36" s="314"/>
      <c r="I36" s="314"/>
      <c r="J36" s="314"/>
      <c r="K36" s="314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2" customHeight="1" x14ac:dyDescent="0.25">
      <c r="A37" s="41"/>
      <c r="B37" s="307" t="s">
        <v>145</v>
      </c>
      <c r="C37" s="307"/>
      <c r="D37" s="307"/>
      <c r="E37" s="307"/>
      <c r="F37" s="307"/>
      <c r="G37" s="30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</sheetData>
  <mergeCells count="7">
    <mergeCell ref="B37:G37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1DEA2758-37E5-43B4-B2FC-96D9090300FE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1D06-7AFF-49AD-BAF0-BFA42C3896A4}">
  <dimension ref="A1:Z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6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2" customFormat="1" ht="15" customHeight="1" x14ac:dyDescent="0.2">
      <c r="A5" s="32"/>
      <c r="B5" s="137" t="s">
        <v>104</v>
      </c>
      <c r="C5" s="37"/>
      <c r="D5" s="39"/>
      <c r="E5" s="39"/>
      <c r="F5" s="39"/>
      <c r="G5" s="38"/>
      <c r="H5" s="34"/>
      <c r="I5" s="32"/>
      <c r="J5" s="32"/>
      <c r="K5" s="40" t="s">
        <v>88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 customHeight="1" x14ac:dyDescent="0.25">
      <c r="A7" s="41"/>
      <c r="B7" s="311" t="s">
        <v>146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.95" customHeight="1" x14ac:dyDescent="0.25">
      <c r="A10" s="41"/>
      <c r="B10" s="138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s="6" customFormat="1" ht="15" customHeight="1" x14ac:dyDescent="0.25">
      <c r="A11" s="57"/>
      <c r="B11" s="139" t="s">
        <v>4</v>
      </c>
      <c r="C11" s="89"/>
      <c r="D11" s="60">
        <v>940724.76979118201</v>
      </c>
      <c r="E11" s="61">
        <v>0</v>
      </c>
      <c r="F11" s="62"/>
      <c r="G11" s="60">
        <v>790274.85617909802</v>
      </c>
      <c r="H11" s="61">
        <v>0</v>
      </c>
      <c r="I11" s="57"/>
      <c r="J11" s="60">
        <v>719306.42915879702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6.95" customHeight="1" x14ac:dyDescent="0.25">
      <c r="A12" s="41"/>
      <c r="B12" s="139"/>
      <c r="C12" s="140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s="6" customFormat="1" ht="15" customHeight="1" x14ac:dyDescent="0.25">
      <c r="A13" s="57"/>
      <c r="B13" s="141" t="s">
        <v>66</v>
      </c>
      <c r="C13" s="91"/>
      <c r="D13" s="60">
        <v>816639.10794645804</v>
      </c>
      <c r="E13" s="61">
        <v>0.71233183966064595</v>
      </c>
      <c r="F13" s="62"/>
      <c r="G13" s="60">
        <v>603246.14835301205</v>
      </c>
      <c r="H13" s="61">
        <v>0.92936259826558898</v>
      </c>
      <c r="I13" s="57"/>
      <c r="J13" s="60">
        <v>591112.20200306806</v>
      </c>
      <c r="K13" s="61">
        <v>0.96004699146150496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7.1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customHeight="1" x14ac:dyDescent="0.25">
      <c r="A15" s="41"/>
      <c r="B15" s="142" t="s">
        <v>23</v>
      </c>
      <c r="C15" s="95"/>
      <c r="D15" s="67">
        <v>627418.51524481701</v>
      </c>
      <c r="E15" s="68">
        <v>0.84030595656021201</v>
      </c>
      <c r="F15" s="70"/>
      <c r="G15" s="67">
        <v>404048.39035603002</v>
      </c>
      <c r="H15" s="68">
        <v>1.1047468930728499</v>
      </c>
      <c r="I15" s="41"/>
      <c r="J15" s="67">
        <v>460638.57630328101</v>
      </c>
      <c r="K15" s="68">
        <v>1.21888220673252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customHeight="1" x14ac:dyDescent="0.25">
      <c r="A16" s="41"/>
      <c r="B16" s="142" t="s">
        <v>24</v>
      </c>
      <c r="C16" s="95"/>
      <c r="D16" s="67">
        <v>210912.05060194101</v>
      </c>
      <c r="E16" s="68">
        <v>0.38606584792155502</v>
      </c>
      <c r="F16" s="70"/>
      <c r="G16" s="67">
        <v>144543.38810793799</v>
      </c>
      <c r="H16" s="68">
        <v>0.52088647094966001</v>
      </c>
      <c r="I16" s="41"/>
      <c r="J16" s="67">
        <v>154727.934123115</v>
      </c>
      <c r="K16" s="68">
        <v>0.55663179155029396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0" customHeight="1" x14ac:dyDescent="0.25">
      <c r="A17" s="41"/>
      <c r="B17" s="142" t="s">
        <v>158</v>
      </c>
      <c r="C17" s="95"/>
      <c r="D17" s="67">
        <v>378374.04207269702</v>
      </c>
      <c r="E17" s="68">
        <v>0.66667928006139998</v>
      </c>
      <c r="F17" s="70"/>
      <c r="G17" s="67">
        <v>295016.33719205001</v>
      </c>
      <c r="H17" s="68">
        <v>0.98507400915144405</v>
      </c>
      <c r="I17" s="41"/>
      <c r="J17" s="67">
        <v>254292.272524136</v>
      </c>
      <c r="K17" s="68">
        <v>0.87971494700783504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customHeight="1" x14ac:dyDescent="0.25">
      <c r="A18" s="41"/>
      <c r="B18" s="142" t="s">
        <v>26</v>
      </c>
      <c r="C18" s="95"/>
      <c r="D18" s="67">
        <v>572586.52842141897</v>
      </c>
      <c r="E18" s="68">
        <v>0.85611054926673003</v>
      </c>
      <c r="F18" s="70"/>
      <c r="G18" s="67">
        <v>391966.81824847503</v>
      </c>
      <c r="H18" s="68">
        <v>1.15756434880672</v>
      </c>
      <c r="I18" s="41"/>
      <c r="J18" s="67">
        <v>407153.79871717101</v>
      </c>
      <c r="K18" s="68">
        <v>1.1897558531161001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customHeight="1" x14ac:dyDescent="0.25">
      <c r="A19" s="41"/>
      <c r="B19" s="142" t="s">
        <v>27</v>
      </c>
      <c r="C19" s="95"/>
      <c r="D19" s="67">
        <v>165686.431207594</v>
      </c>
      <c r="E19" s="68">
        <v>0.29666200136847298</v>
      </c>
      <c r="F19" s="70"/>
      <c r="G19" s="67">
        <v>99875.524728900404</v>
      </c>
      <c r="H19" s="68">
        <v>0.36293659182773702</v>
      </c>
      <c r="I19" s="41"/>
      <c r="J19" s="67">
        <v>128007.49014550701</v>
      </c>
      <c r="K19" s="68">
        <v>0.45321238007283399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customHeight="1" x14ac:dyDescent="0.25">
      <c r="A20" s="41"/>
      <c r="B20" s="142" t="s">
        <v>28</v>
      </c>
      <c r="C20" s="95"/>
      <c r="D20" s="67">
        <v>132790.34107284201</v>
      </c>
      <c r="E20" s="68">
        <v>0.239175239602964</v>
      </c>
      <c r="F20" s="70"/>
      <c r="G20" s="67">
        <v>87140.360001183901</v>
      </c>
      <c r="H20" s="68">
        <v>0.314782858331835</v>
      </c>
      <c r="I20" s="41"/>
      <c r="J20" s="67">
        <v>102052.91232405799</v>
      </c>
      <c r="K20" s="68">
        <v>0.36372828612492097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customHeight="1" x14ac:dyDescent="0.25">
      <c r="A21" s="41"/>
      <c r="B21" s="142" t="s">
        <v>29</v>
      </c>
      <c r="C21" s="95"/>
      <c r="D21" s="67">
        <v>135722.72300303401</v>
      </c>
      <c r="E21" s="68">
        <v>0.244191150718338</v>
      </c>
      <c r="F21" s="70"/>
      <c r="G21" s="67">
        <v>80194.2637881353</v>
      </c>
      <c r="H21" s="68">
        <v>0.293196386328471</v>
      </c>
      <c r="I21" s="41"/>
      <c r="J21" s="67">
        <v>111494.61412037299</v>
      </c>
      <c r="K21" s="68">
        <v>0.39783168080930797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s="5" customFormat="1" ht="30" customHeight="1" x14ac:dyDescent="0.25">
      <c r="A22" s="143"/>
      <c r="B22" s="142" t="s">
        <v>147</v>
      </c>
      <c r="C22" s="144"/>
      <c r="D22" s="67">
        <v>352703.05251531099</v>
      </c>
      <c r="E22" s="68">
        <v>0.61423443658727706</v>
      </c>
      <c r="F22" s="70"/>
      <c r="G22" s="67">
        <v>237682.489582371</v>
      </c>
      <c r="H22" s="68">
        <v>0.81997840972393299</v>
      </c>
      <c r="I22" s="41"/>
      <c r="J22" s="67">
        <v>263093.21047188598</v>
      </c>
      <c r="K22" s="68">
        <v>0.88132175552088399</v>
      </c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" customHeight="1" x14ac:dyDescent="0.25">
      <c r="A23" s="41"/>
      <c r="B23" s="142" t="s">
        <v>30</v>
      </c>
      <c r="C23" s="95"/>
      <c r="D23" s="67">
        <v>22144.530455873599</v>
      </c>
      <c r="E23" s="68">
        <v>4.0643137725005003E-2</v>
      </c>
      <c r="F23" s="70"/>
      <c r="G23" s="67">
        <v>18845.999734691701</v>
      </c>
      <c r="H23" s="68">
        <v>6.9172975603609799E-2</v>
      </c>
      <c r="I23" s="41"/>
      <c r="J23" s="67">
        <v>12318.8018897943</v>
      </c>
      <c r="K23" s="68">
        <v>4.5142761532020098E-2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.15" customHeight="1" x14ac:dyDescent="0.25">
      <c r="A24" s="41"/>
      <c r="B24" s="92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6" customFormat="1" ht="15" customHeight="1" x14ac:dyDescent="0.25">
      <c r="A25" s="57"/>
      <c r="B25" s="141" t="s">
        <v>31</v>
      </c>
      <c r="C25" s="95"/>
      <c r="D25" s="60">
        <v>734934.72350518196</v>
      </c>
      <c r="E25" s="61">
        <v>0.71233183966064595</v>
      </c>
      <c r="F25" s="62"/>
      <c r="G25" s="60">
        <v>565664.54025785299</v>
      </c>
      <c r="H25" s="61">
        <v>0.92936259826558898</v>
      </c>
      <c r="I25" s="57"/>
      <c r="J25" s="60">
        <v>468433.293513112</v>
      </c>
      <c r="K25" s="61">
        <v>0.96004699146150496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6.95" customHeight="1" x14ac:dyDescent="0.25">
      <c r="A26" s="41"/>
      <c r="B26" s="149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s="6" customFormat="1" ht="15" customHeight="1" x14ac:dyDescent="0.25">
      <c r="A27" s="57"/>
      <c r="B27" s="150" t="s">
        <v>2</v>
      </c>
      <c r="C27" s="97"/>
      <c r="D27" s="60">
        <v>1202696.45731675</v>
      </c>
      <c r="E27" s="61">
        <v>0</v>
      </c>
      <c r="F27" s="62"/>
      <c r="G27" s="60">
        <v>732477.33212123101</v>
      </c>
      <c r="H27" s="61">
        <v>0</v>
      </c>
      <c r="I27" s="57"/>
      <c r="J27" s="60">
        <v>655788.85438650905</v>
      </c>
      <c r="K27" s="61">
        <v>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6.95" customHeight="1" x14ac:dyDescent="0.25">
      <c r="A28" s="41"/>
      <c r="B28" s="151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s="6" customFormat="1" ht="15" customHeight="1" x14ac:dyDescent="0.25">
      <c r="A29" s="57"/>
      <c r="B29" s="141" t="s">
        <v>66</v>
      </c>
      <c r="C29" s="91"/>
      <c r="D29" s="60">
        <v>787259.02437341004</v>
      </c>
      <c r="E29" s="61">
        <v>1.36066728889808</v>
      </c>
      <c r="F29" s="62"/>
      <c r="G29" s="60">
        <v>464796.61776338902</v>
      </c>
      <c r="H29" s="61">
        <v>1.7524170241016801</v>
      </c>
      <c r="I29" s="57"/>
      <c r="J29" s="60">
        <v>456394.45771005802</v>
      </c>
      <c r="K29" s="61">
        <v>1.7620648532485801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7.15" customHeight="1" x14ac:dyDescent="0.25">
      <c r="A30" s="41"/>
      <c r="B30" s="92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customHeight="1" x14ac:dyDescent="0.25">
      <c r="A31" s="41"/>
      <c r="B31" s="142" t="s">
        <v>23</v>
      </c>
      <c r="C31" s="95"/>
      <c r="D31" s="67">
        <v>465654.59133351</v>
      </c>
      <c r="E31" s="68">
        <v>1.93842815372341</v>
      </c>
      <c r="F31" s="70"/>
      <c r="G31" s="67">
        <v>249574.004076618</v>
      </c>
      <c r="H31" s="68">
        <v>2.3141301156926599</v>
      </c>
      <c r="I31" s="41"/>
      <c r="J31" s="67">
        <v>304444.942897701</v>
      </c>
      <c r="K31" s="68">
        <v>2.5705012593617398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customHeight="1" x14ac:dyDescent="0.25">
      <c r="A32" s="41"/>
      <c r="B32" s="142" t="s">
        <v>24</v>
      </c>
      <c r="C32" s="95"/>
      <c r="D32" s="67">
        <v>78348.615529765098</v>
      </c>
      <c r="E32" s="68">
        <v>0.48678040275227802</v>
      </c>
      <c r="F32" s="70"/>
      <c r="G32" s="67">
        <v>57352.811055780003</v>
      </c>
      <c r="H32" s="68">
        <v>0.71352638807080404</v>
      </c>
      <c r="I32" s="41"/>
      <c r="J32" s="67">
        <v>52958.407353318296</v>
      </c>
      <c r="K32" s="68">
        <v>0.69568523949171701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30" customHeight="1" x14ac:dyDescent="0.25">
      <c r="A33" s="41"/>
      <c r="B33" s="142" t="s">
        <v>158</v>
      </c>
      <c r="C33" s="95"/>
      <c r="D33" s="67">
        <v>292548.20622709597</v>
      </c>
      <c r="E33" s="68">
        <v>1.6881424746973099</v>
      </c>
      <c r="F33" s="70"/>
      <c r="G33" s="67">
        <v>204127.08647348601</v>
      </c>
      <c r="H33" s="68">
        <v>2.2943216866090701</v>
      </c>
      <c r="I33" s="41"/>
      <c r="J33" s="67">
        <v>183966.365144084</v>
      </c>
      <c r="K33" s="68">
        <v>2.18262851720027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customHeight="1" x14ac:dyDescent="0.25">
      <c r="A34" s="41"/>
      <c r="B34" s="142" t="s">
        <v>26</v>
      </c>
      <c r="C34" s="95"/>
      <c r="D34" s="67">
        <v>418678.56769586902</v>
      </c>
      <c r="E34" s="68">
        <v>1.8143548429001299</v>
      </c>
      <c r="F34" s="70"/>
      <c r="G34" s="67">
        <v>243615.64862815899</v>
      </c>
      <c r="H34" s="68">
        <v>2.2022251068697498</v>
      </c>
      <c r="I34" s="41"/>
      <c r="J34" s="67">
        <v>271092.97362106701</v>
      </c>
      <c r="K34" s="68">
        <v>2.5785581179786101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customHeight="1" x14ac:dyDescent="0.25">
      <c r="A35" s="41"/>
      <c r="B35" s="142" t="s">
        <v>27</v>
      </c>
      <c r="C35" s="95"/>
      <c r="D35" s="67">
        <v>73510.326195712099</v>
      </c>
      <c r="E35" s="68">
        <v>0.46070260458199902</v>
      </c>
      <c r="F35" s="70"/>
      <c r="G35" s="67">
        <v>15692.9453895692</v>
      </c>
      <c r="H35" s="68">
        <v>0.19985602578339201</v>
      </c>
      <c r="I35" s="41"/>
      <c r="J35" s="67">
        <v>71039.701164911996</v>
      </c>
      <c r="K35" s="68">
        <v>0.88955664314669602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customHeight="1" x14ac:dyDescent="0.25">
      <c r="A36" s="41"/>
      <c r="B36" s="142" t="s">
        <v>28</v>
      </c>
      <c r="C36" s="95"/>
      <c r="D36" s="67">
        <v>50922.912876704999</v>
      </c>
      <c r="E36" s="68">
        <v>0.325469582520796</v>
      </c>
      <c r="F36" s="70"/>
      <c r="G36" s="67">
        <v>42216.596760042099</v>
      </c>
      <c r="H36" s="68">
        <v>0.52680051197010802</v>
      </c>
      <c r="I36" s="41"/>
      <c r="J36" s="67">
        <v>28481.4485208966</v>
      </c>
      <c r="K36" s="68">
        <v>0.375030364160441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customHeight="1" x14ac:dyDescent="0.25">
      <c r="A37" s="41"/>
      <c r="B37" s="142" t="s">
        <v>29</v>
      </c>
      <c r="C37" s="95"/>
      <c r="D37" s="67">
        <v>67712.418573536299</v>
      </c>
      <c r="E37" s="68">
        <v>0.42893401634226203</v>
      </c>
      <c r="F37" s="70"/>
      <c r="G37" s="67">
        <v>23062.097215994901</v>
      </c>
      <c r="H37" s="68">
        <v>0.289919258429858</v>
      </c>
      <c r="I37" s="41"/>
      <c r="J37" s="67">
        <v>63576.387395356498</v>
      </c>
      <c r="K37" s="68">
        <v>0.81590419482381105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30" customHeight="1" x14ac:dyDescent="0.25">
      <c r="A38" s="41"/>
      <c r="B38" s="142" t="s">
        <v>147</v>
      </c>
      <c r="C38" s="95"/>
      <c r="D38" s="67">
        <v>241053.82420842099</v>
      </c>
      <c r="E38" s="68">
        <v>1.3587143354577</v>
      </c>
      <c r="F38" s="70"/>
      <c r="G38" s="67">
        <v>165934.713578672</v>
      </c>
      <c r="H38" s="68">
        <v>1.96306772298716</v>
      </c>
      <c r="I38" s="41"/>
      <c r="J38" s="67">
        <v>168091.76169572701</v>
      </c>
      <c r="K38" s="68">
        <v>1.8854718034321301</v>
      </c>
      <c r="L38" s="152"/>
      <c r="M38" s="152"/>
      <c r="N38" s="152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customHeight="1" x14ac:dyDescent="0.25">
      <c r="A39" s="41"/>
      <c r="B39" s="142" t="s">
        <v>30</v>
      </c>
      <c r="C39" s="95"/>
      <c r="D39" s="67">
        <v>13320.633772877</v>
      </c>
      <c r="E39" s="68">
        <v>8.7292340559133194E-2</v>
      </c>
      <c r="F39" s="70"/>
      <c r="G39" s="67">
        <v>6809</v>
      </c>
      <c r="H39" s="68">
        <v>8.7306195377602105E-2</v>
      </c>
      <c r="I39" s="41"/>
      <c r="J39" s="67">
        <v>12149.944855841901</v>
      </c>
      <c r="K39" s="68">
        <v>0.16144927722086999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7.15" customHeight="1" x14ac:dyDescent="0.25">
      <c r="A40" s="41"/>
      <c r="B40" s="92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s="6" customFormat="1" ht="15" customHeight="1" x14ac:dyDescent="0.25">
      <c r="A41" s="57"/>
      <c r="B41" s="141" t="s">
        <v>31</v>
      </c>
      <c r="C41" s="95"/>
      <c r="D41" s="60">
        <v>662604.64771280298</v>
      </c>
      <c r="E41" s="61">
        <v>1.36066728889808</v>
      </c>
      <c r="F41" s="62"/>
      <c r="G41" s="60">
        <v>464750.31179827498</v>
      </c>
      <c r="H41" s="61">
        <v>1.7524170241016801</v>
      </c>
      <c r="I41" s="57"/>
      <c r="J41" s="60">
        <v>356544.07553348801</v>
      </c>
      <c r="K41" s="61">
        <v>1.7620648532485801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6.95" customHeight="1" x14ac:dyDescent="0.25">
      <c r="A42" s="41"/>
      <c r="B42" s="151"/>
      <c r="C42" s="97"/>
      <c r="D42" s="131"/>
      <c r="E42" s="131"/>
      <c r="F42" s="131"/>
      <c r="G42" s="131"/>
      <c r="H42" s="131"/>
      <c r="I42" s="131"/>
      <c r="J42" s="131"/>
      <c r="K42" s="13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s="6" customFormat="1" ht="15" customHeight="1" x14ac:dyDescent="0.25">
      <c r="A43" s="57"/>
      <c r="B43" s="150" t="s">
        <v>3</v>
      </c>
      <c r="C43" s="97"/>
      <c r="D43" s="60">
        <v>1215345.35573305</v>
      </c>
      <c r="E43" s="61">
        <v>0</v>
      </c>
      <c r="F43" s="62"/>
      <c r="G43" s="60">
        <v>853166.62916364695</v>
      </c>
      <c r="H43" s="61">
        <v>0</v>
      </c>
      <c r="I43" s="57"/>
      <c r="J43" s="60">
        <v>704303.09797417896</v>
      </c>
      <c r="K43" s="61">
        <v>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6.95" customHeight="1" x14ac:dyDescent="0.25">
      <c r="A44" s="41"/>
      <c r="B44" s="151"/>
      <c r="C44" s="97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s="6" customFormat="1" ht="15" customHeight="1" x14ac:dyDescent="0.25">
      <c r="A45" s="57"/>
      <c r="B45" s="141" t="s">
        <v>66</v>
      </c>
      <c r="C45" s="91"/>
      <c r="D45" s="60">
        <v>885274.08242816199</v>
      </c>
      <c r="E45" s="61">
        <v>0.84719971579684605</v>
      </c>
      <c r="F45" s="62"/>
      <c r="G45" s="60">
        <v>591873.62683249102</v>
      </c>
      <c r="H45" s="61">
        <v>1.1089752306804701</v>
      </c>
      <c r="I45" s="57"/>
      <c r="J45" s="60">
        <v>561810.56421748304</v>
      </c>
      <c r="K45" s="61">
        <v>1.15292278676027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7.15" customHeight="1" x14ac:dyDescent="0.25">
      <c r="A46" s="41"/>
      <c r="B46" s="92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customHeight="1" x14ac:dyDescent="0.25">
      <c r="A47" s="41"/>
      <c r="B47" s="142" t="s">
        <v>23</v>
      </c>
      <c r="C47" s="95"/>
      <c r="D47" s="67">
        <v>600025.83708236401</v>
      </c>
      <c r="E47" s="68">
        <v>0.99128585313130502</v>
      </c>
      <c r="F47" s="70"/>
      <c r="G47" s="67">
        <v>369492.4851315</v>
      </c>
      <c r="H47" s="68">
        <v>1.3621658876520999</v>
      </c>
      <c r="I47" s="41"/>
      <c r="J47" s="67">
        <v>422529.52018560201</v>
      </c>
      <c r="K47" s="68">
        <v>1.4010080751071301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customHeight="1" x14ac:dyDescent="0.25">
      <c r="A48" s="41"/>
      <c r="B48" s="142" t="s">
        <v>24</v>
      </c>
      <c r="C48" s="95"/>
      <c r="D48" s="67">
        <v>200191.068405261</v>
      </c>
      <c r="E48" s="68">
        <v>0.49778936040724098</v>
      </c>
      <c r="F48" s="70"/>
      <c r="G48" s="67">
        <v>134460.790552644</v>
      </c>
      <c r="H48" s="68">
        <v>0.67451023136988897</v>
      </c>
      <c r="I48" s="41"/>
      <c r="J48" s="67">
        <v>148212.08165739401</v>
      </c>
      <c r="K48" s="68">
        <v>0.717847037648076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30" customHeight="1" x14ac:dyDescent="0.25">
      <c r="A49" s="41"/>
      <c r="B49" s="142" t="s">
        <v>158</v>
      </c>
      <c r="C49" s="95"/>
      <c r="D49" s="67">
        <v>289132.02527151298</v>
      </c>
      <c r="E49" s="68">
        <v>0.68329746480727604</v>
      </c>
      <c r="F49" s="70"/>
      <c r="G49" s="67">
        <v>235325.10742901999</v>
      </c>
      <c r="H49" s="68">
        <v>1.0874954971548001</v>
      </c>
      <c r="I49" s="41"/>
      <c r="J49" s="67">
        <v>185463.84306950899</v>
      </c>
      <c r="K49" s="68">
        <v>0.88660957268693896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customHeight="1" x14ac:dyDescent="0.25">
      <c r="A50" s="41"/>
      <c r="B50" s="142" t="s">
        <v>26</v>
      </c>
      <c r="C50" s="95"/>
      <c r="D50" s="67">
        <v>522677.63710046699</v>
      </c>
      <c r="E50" s="68">
        <v>0.95732270805935205</v>
      </c>
      <c r="F50" s="70"/>
      <c r="G50" s="67">
        <v>368020.348142142</v>
      </c>
      <c r="H50" s="68">
        <v>1.3784514625098001</v>
      </c>
      <c r="I50" s="41"/>
      <c r="J50" s="67">
        <v>333976.93420009001</v>
      </c>
      <c r="K50" s="68">
        <v>1.31006310465057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customHeight="1" x14ac:dyDescent="0.25">
      <c r="A51" s="41"/>
      <c r="B51" s="142" t="s">
        <v>27</v>
      </c>
      <c r="C51" s="95"/>
      <c r="D51" s="67">
        <v>148706.75585586301</v>
      </c>
      <c r="E51" s="68">
        <v>0.36850388151160801</v>
      </c>
      <c r="F51" s="70"/>
      <c r="G51" s="67">
        <v>98634.942616058703</v>
      </c>
      <c r="H51" s="68">
        <v>0.495160604828493</v>
      </c>
      <c r="I51" s="41"/>
      <c r="J51" s="67">
        <v>106536.206915859</v>
      </c>
      <c r="K51" s="68">
        <v>0.53168629890346097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customHeight="1" x14ac:dyDescent="0.25">
      <c r="A52" s="41"/>
      <c r="B52" s="142" t="s">
        <v>28</v>
      </c>
      <c r="C52" s="95"/>
      <c r="D52" s="67">
        <v>125575.567494713</v>
      </c>
      <c r="E52" s="68">
        <v>0.304637224106513</v>
      </c>
      <c r="F52" s="70"/>
      <c r="G52" s="67">
        <v>76772.455158969198</v>
      </c>
      <c r="H52" s="68">
        <v>0.388937130036692</v>
      </c>
      <c r="I52" s="41"/>
      <c r="J52" s="67">
        <v>99853.725493256206</v>
      </c>
      <c r="K52" s="68">
        <v>0.47805463327328901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customHeight="1" x14ac:dyDescent="0.25">
      <c r="A53" s="41"/>
      <c r="B53" s="142" t="s">
        <v>29</v>
      </c>
      <c r="C53" s="95"/>
      <c r="D53" s="67">
        <v>119172.240189273</v>
      </c>
      <c r="E53" s="68">
        <v>0.29418754490212801</v>
      </c>
      <c r="F53" s="70"/>
      <c r="G53" s="67">
        <v>77343.830966154099</v>
      </c>
      <c r="H53" s="68">
        <v>0.39411240496795102</v>
      </c>
      <c r="I53" s="41"/>
      <c r="J53" s="67">
        <v>91899.346579251403</v>
      </c>
      <c r="K53" s="68">
        <v>0.45338528510882597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30" customHeight="1" x14ac:dyDescent="0.25">
      <c r="A54" s="41"/>
      <c r="B54" s="142" t="s">
        <v>147</v>
      </c>
      <c r="C54" s="95"/>
      <c r="D54" s="67">
        <v>314417.86211495398</v>
      </c>
      <c r="E54" s="68">
        <v>0.69624420674681098</v>
      </c>
      <c r="F54" s="70"/>
      <c r="G54" s="67">
        <v>178244.73151678001</v>
      </c>
      <c r="H54" s="68">
        <v>0.82836794226400101</v>
      </c>
      <c r="I54" s="41"/>
      <c r="J54" s="67">
        <v>242753.605992661</v>
      </c>
      <c r="K54" s="68">
        <v>1.06612924078008</v>
      </c>
      <c r="L54" s="145"/>
      <c r="M54" s="145"/>
      <c r="N54" s="145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customHeight="1" x14ac:dyDescent="0.25">
      <c r="A55" s="41"/>
      <c r="B55" s="142" t="s">
        <v>30</v>
      </c>
      <c r="C55" s="95"/>
      <c r="D55" s="67">
        <v>18565.165471926201</v>
      </c>
      <c r="E55" s="68">
        <v>4.7343872601532798E-2</v>
      </c>
      <c r="F55" s="70"/>
      <c r="G55" s="67">
        <v>17572.968588147</v>
      </c>
      <c r="H55" s="68">
        <v>9.0477819259640102E-2</v>
      </c>
      <c r="I55" s="41"/>
      <c r="J55" s="67">
        <v>5988</v>
      </c>
      <c r="K55" s="68">
        <v>3.0228708044185201E-2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7.15" customHeight="1" x14ac:dyDescent="0.25">
      <c r="A56" s="41"/>
      <c r="B56" s="92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s="6" customFormat="1" ht="15" customHeight="1" x14ac:dyDescent="0.25">
      <c r="A57" s="57"/>
      <c r="B57" s="141" t="s">
        <v>31</v>
      </c>
      <c r="C57" s="95"/>
      <c r="D57" s="60">
        <v>663526.64816281595</v>
      </c>
      <c r="E57" s="61">
        <v>0.84719971579684605</v>
      </c>
      <c r="F57" s="62"/>
      <c r="G57" s="60">
        <v>488713.01207274501</v>
      </c>
      <c r="H57" s="61">
        <v>1.1089752306804701</v>
      </c>
      <c r="I57" s="57"/>
      <c r="J57" s="60">
        <v>380478.904969697</v>
      </c>
      <c r="K57" s="61">
        <v>1.15292278676027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6.95" customHeight="1" x14ac:dyDescent="0.25">
      <c r="A58" s="41"/>
      <c r="B58" s="153"/>
      <c r="C58" s="154"/>
      <c r="D58" s="80"/>
      <c r="E58" s="80"/>
      <c r="F58" s="155"/>
      <c r="G58" s="80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6.95" customHeight="1" x14ac:dyDescent="0.25">
      <c r="A59" s="41"/>
      <c r="B59" s="156"/>
      <c r="C59" s="156"/>
      <c r="D59" s="157"/>
      <c r="E59" s="157"/>
      <c r="F59" s="157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" customHeight="1" x14ac:dyDescent="0.25">
      <c r="A60" s="41"/>
      <c r="B60" s="315" t="s">
        <v>129</v>
      </c>
      <c r="C60" s="315"/>
      <c r="D60" s="315"/>
      <c r="E60" s="315"/>
      <c r="F60" s="315"/>
      <c r="G60" s="315"/>
      <c r="H60" s="315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" customHeight="1" x14ac:dyDescent="0.25">
      <c r="A61" s="41"/>
      <c r="B61" s="307" t="s">
        <v>145</v>
      </c>
      <c r="C61" s="307"/>
      <c r="D61" s="307"/>
      <c r="E61" s="307"/>
      <c r="F61" s="307"/>
      <c r="G61" s="30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</sheetData>
  <mergeCells count="7">
    <mergeCell ref="B61:G61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4EBBB38D-5745-4723-9769-CC04D6C8A79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6FF7-8DE9-47A3-8536-23B940D7E0E9}">
  <dimension ref="A1:W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179</v>
      </c>
      <c r="C5" s="316"/>
      <c r="D5" s="316"/>
      <c r="E5" s="316"/>
      <c r="F5" s="316"/>
      <c r="G5" s="316"/>
      <c r="H5" s="34"/>
      <c r="I5" s="32"/>
      <c r="J5" s="32"/>
      <c r="K5" s="40" t="s">
        <v>87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15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4</v>
      </c>
      <c r="C11" s="89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1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160" t="s">
        <v>32</v>
      </c>
      <c r="C13" s="91"/>
      <c r="D13" s="60">
        <v>647071.45066757197</v>
      </c>
      <c r="E13" s="61">
        <v>0.96040472696747103</v>
      </c>
      <c r="F13" s="62"/>
      <c r="G13" s="60">
        <v>422160.74738152901</v>
      </c>
      <c r="H13" s="61">
        <v>1.2270068577428901</v>
      </c>
      <c r="I13" s="57"/>
      <c r="J13" s="60">
        <v>450046.96332731098</v>
      </c>
      <c r="K13" s="61">
        <v>1.2871601153921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161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2" t="s">
        <v>23</v>
      </c>
      <c r="C15" s="95"/>
      <c r="D15" s="67">
        <v>402525.35832184501</v>
      </c>
      <c r="E15" s="68">
        <v>1.1286290811451301</v>
      </c>
      <c r="F15" s="70"/>
      <c r="G15" s="67">
        <v>276038.03219727398</v>
      </c>
      <c r="H15" s="68">
        <v>1.60583681542081</v>
      </c>
      <c r="I15" s="41"/>
      <c r="J15" s="67">
        <v>288589.12293788401</v>
      </c>
      <c r="K15" s="68">
        <v>1.6317384974172899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24</v>
      </c>
      <c r="C16" s="95"/>
      <c r="D16" s="67">
        <v>110220.99487121101</v>
      </c>
      <c r="E16" s="68">
        <v>0.42609925879259303</v>
      </c>
      <c r="F16" s="70"/>
      <c r="G16" s="67">
        <v>82910.518954181796</v>
      </c>
      <c r="H16" s="68">
        <v>0.65967007208253703</v>
      </c>
      <c r="I16" s="41"/>
      <c r="J16" s="67">
        <v>71544.082477040007</v>
      </c>
      <c r="K16" s="68">
        <v>0.52985760172629204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158</v>
      </c>
      <c r="C17" s="95"/>
      <c r="D17" s="67">
        <v>103712.698753524</v>
      </c>
      <c r="E17" s="68">
        <v>0.39398521809235398</v>
      </c>
      <c r="F17" s="70"/>
      <c r="G17" s="67">
        <v>90148.4004098148</v>
      </c>
      <c r="H17" s="68">
        <v>0.69985565068459998</v>
      </c>
      <c r="I17" s="41"/>
      <c r="J17" s="67">
        <v>49762.463600015399</v>
      </c>
      <c r="K17" s="68">
        <v>0.36851825670209598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2" t="s">
        <v>26</v>
      </c>
      <c r="C18" s="95"/>
      <c r="D18" s="67">
        <v>468638.70958201098</v>
      </c>
      <c r="E18" s="68">
        <v>1.12560395290681</v>
      </c>
      <c r="F18" s="70"/>
      <c r="G18" s="67">
        <v>307460.54618964501</v>
      </c>
      <c r="H18" s="68">
        <v>1.6075305711619501</v>
      </c>
      <c r="I18" s="41"/>
      <c r="J18" s="67">
        <v>336063.58787321299</v>
      </c>
      <c r="K18" s="68">
        <v>1.58769611262503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27</v>
      </c>
      <c r="C19" s="95"/>
      <c r="D19" s="67">
        <v>108180.953556839</v>
      </c>
      <c r="E19" s="68">
        <v>0.410077438547928</v>
      </c>
      <c r="F19" s="70"/>
      <c r="G19" s="67">
        <v>70621.607453917502</v>
      </c>
      <c r="H19" s="68">
        <v>0.56494149514162195</v>
      </c>
      <c r="I19" s="41"/>
      <c r="J19" s="67">
        <v>83042.7244761076</v>
      </c>
      <c r="K19" s="68">
        <v>0.60678344240706905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28</v>
      </c>
      <c r="C20" s="95"/>
      <c r="D20" s="67">
        <v>111476.110914702</v>
      </c>
      <c r="E20" s="68">
        <v>0.41242210538173202</v>
      </c>
      <c r="F20" s="70"/>
      <c r="G20" s="67">
        <v>72558.889050266604</v>
      </c>
      <c r="H20" s="68">
        <v>0.57153459148043795</v>
      </c>
      <c r="I20" s="41"/>
      <c r="J20" s="67">
        <v>86888.165184636702</v>
      </c>
      <c r="K20" s="68">
        <v>0.62149986382830003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62" t="s">
        <v>29</v>
      </c>
      <c r="C21" s="95"/>
      <c r="D21" s="67">
        <v>127237.47564595799</v>
      </c>
      <c r="E21" s="68">
        <v>0.47256543796865003</v>
      </c>
      <c r="F21" s="70"/>
      <c r="G21" s="67">
        <v>66825.769113523595</v>
      </c>
      <c r="H21" s="68">
        <v>0.53372701655174803</v>
      </c>
      <c r="I21" s="41"/>
      <c r="J21" s="67">
        <v>107637.519705478</v>
      </c>
      <c r="K21" s="68">
        <v>0.76417501774976704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30" customHeight="1" x14ac:dyDescent="0.25">
      <c r="A22" s="41"/>
      <c r="B22" s="162" t="s">
        <v>147</v>
      </c>
      <c r="C22" s="95"/>
      <c r="D22" s="67">
        <v>196293.8455195</v>
      </c>
      <c r="E22" s="68">
        <v>0.70378467516795695</v>
      </c>
      <c r="F22" s="70"/>
      <c r="G22" s="67">
        <v>116989.422514504</v>
      </c>
      <c r="H22" s="68">
        <v>0.92555378667369304</v>
      </c>
      <c r="I22" s="41"/>
      <c r="J22" s="67">
        <v>154578.376475303</v>
      </c>
      <c r="K22" s="68">
        <v>1.08007619911316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2" t="s">
        <v>30</v>
      </c>
      <c r="C23" s="95"/>
      <c r="D23" s="67">
        <v>17315</v>
      </c>
      <c r="E23" s="68">
        <v>6.7120446339717393E-2</v>
      </c>
      <c r="F23" s="70"/>
      <c r="G23" s="67">
        <v>17315</v>
      </c>
      <c r="H23" s="68">
        <v>0.13941157635885701</v>
      </c>
      <c r="I23" s="41"/>
      <c r="J23" s="67">
        <v>0</v>
      </c>
      <c r="K23" s="68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1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160" t="s">
        <v>33</v>
      </c>
      <c r="C25" s="97"/>
      <c r="D25" s="60">
        <v>682171.50101998297</v>
      </c>
      <c r="E25" s="61">
        <v>0.96040472696747103</v>
      </c>
      <c r="F25" s="62"/>
      <c r="G25" s="60">
        <v>480278.15075495403</v>
      </c>
      <c r="H25" s="61">
        <v>1.2270068577428901</v>
      </c>
      <c r="I25" s="57"/>
      <c r="J25" s="60">
        <v>468366.18824960699</v>
      </c>
      <c r="K25" s="61">
        <v>1.2871601153921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163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164" t="s">
        <v>2</v>
      </c>
      <c r="C27" s="97"/>
      <c r="D27" s="60">
        <v>787259.02437341004</v>
      </c>
      <c r="E27" s="61">
        <v>0</v>
      </c>
      <c r="F27" s="62"/>
      <c r="G27" s="60">
        <v>464796.61776338902</v>
      </c>
      <c r="H27" s="61">
        <v>0</v>
      </c>
      <c r="I27" s="57"/>
      <c r="J27" s="60">
        <v>456394.45771005802</v>
      </c>
      <c r="K27" s="61">
        <v>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165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160" t="s">
        <v>32</v>
      </c>
      <c r="C29" s="91"/>
      <c r="D29" s="60">
        <v>462402.04993893398</v>
      </c>
      <c r="E29" s="61">
        <v>2.00718669977736</v>
      </c>
      <c r="F29" s="62"/>
      <c r="G29" s="60">
        <v>278017.42819778499</v>
      </c>
      <c r="H29" s="61">
        <v>2.6125919325054099</v>
      </c>
      <c r="I29" s="57"/>
      <c r="J29" s="60">
        <v>275198.80024006101</v>
      </c>
      <c r="K29" s="61">
        <v>2.6648020458706401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161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2" t="s">
        <v>23</v>
      </c>
      <c r="C31" s="95"/>
      <c r="D31" s="67">
        <v>212189.51527241501</v>
      </c>
      <c r="E31" s="68">
        <v>2.49176731368</v>
      </c>
      <c r="F31" s="70"/>
      <c r="G31" s="67">
        <v>146008.16084693701</v>
      </c>
      <c r="H31" s="68">
        <v>3.6027214291155101</v>
      </c>
      <c r="I31" s="41"/>
      <c r="J31" s="67">
        <v>153093.380740811</v>
      </c>
      <c r="K31" s="68">
        <v>3.5024138130068598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24</v>
      </c>
      <c r="C32" s="95"/>
      <c r="D32" s="67">
        <v>52819.339722437697</v>
      </c>
      <c r="E32" s="68">
        <v>0.90075935835278897</v>
      </c>
      <c r="F32" s="70"/>
      <c r="G32" s="67">
        <v>45466.8255654604</v>
      </c>
      <c r="H32" s="68">
        <v>1.6051865542230801</v>
      </c>
      <c r="I32" s="41"/>
      <c r="J32" s="67">
        <v>27096.887201300498</v>
      </c>
      <c r="K32" s="68">
        <v>0.89660584958551204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30" customHeight="1" x14ac:dyDescent="0.25">
      <c r="A33" s="41"/>
      <c r="B33" s="162" t="s">
        <v>158</v>
      </c>
      <c r="C33" s="95"/>
      <c r="D33" s="67">
        <v>67101.336276134301</v>
      </c>
      <c r="E33" s="68">
        <v>1.1120620789765201</v>
      </c>
      <c r="F33" s="70"/>
      <c r="G33" s="67">
        <v>55892.584631296697</v>
      </c>
      <c r="H33" s="68">
        <v>1.92659294076803</v>
      </c>
      <c r="I33" s="41"/>
      <c r="J33" s="67">
        <v>33582.804273559297</v>
      </c>
      <c r="K33" s="68">
        <v>1.1322290945389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62" t="s">
        <v>26</v>
      </c>
      <c r="C34" s="95"/>
      <c r="D34" s="67">
        <v>333747.90253313503</v>
      </c>
      <c r="E34" s="68">
        <v>2.5158402181436399</v>
      </c>
      <c r="F34" s="70"/>
      <c r="G34" s="67">
        <v>182741.85697747601</v>
      </c>
      <c r="H34" s="68">
        <v>3.5067790667637202</v>
      </c>
      <c r="I34" s="41"/>
      <c r="J34" s="67">
        <v>213645.75685044</v>
      </c>
      <c r="K34" s="68">
        <v>3.4715957265380699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2" t="s">
        <v>27</v>
      </c>
      <c r="C35" s="95"/>
      <c r="D35" s="67">
        <v>31133.654549377901</v>
      </c>
      <c r="E35" s="68">
        <v>0.53998001756542202</v>
      </c>
      <c r="F35" s="70"/>
      <c r="G35" s="67">
        <v>10049.0323414745</v>
      </c>
      <c r="H35" s="68">
        <v>0.361216939680646</v>
      </c>
      <c r="I35" s="41"/>
      <c r="J35" s="67">
        <v>29467.293642273999</v>
      </c>
      <c r="K35" s="68">
        <v>0.96414530634476003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2" t="s">
        <v>28</v>
      </c>
      <c r="C36" s="95"/>
      <c r="D36" s="67">
        <v>41897.390487193399</v>
      </c>
      <c r="E36" s="68">
        <v>0.70702981914875696</v>
      </c>
      <c r="F36" s="70"/>
      <c r="G36" s="67">
        <v>36203.713704535898</v>
      </c>
      <c r="H36" s="68">
        <v>1.26526156755538</v>
      </c>
      <c r="I36" s="41"/>
      <c r="J36" s="67">
        <v>22111.4902174495</v>
      </c>
      <c r="K36" s="68">
        <v>0.73927670856278505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62" t="s">
        <v>29</v>
      </c>
      <c r="C37" s="95"/>
      <c r="D37" s="67">
        <v>63952.837773193802</v>
      </c>
      <c r="E37" s="68">
        <v>1.0710406491347699</v>
      </c>
      <c r="F37" s="70"/>
      <c r="G37" s="67">
        <v>8873.9128911658809</v>
      </c>
      <c r="H37" s="68">
        <v>0.31866257124703701</v>
      </c>
      <c r="I37" s="41"/>
      <c r="J37" s="67">
        <v>63334.186102328997</v>
      </c>
      <c r="K37" s="68">
        <v>1.94708757083718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162" t="s">
        <v>147</v>
      </c>
      <c r="C38" s="95"/>
      <c r="D38" s="67">
        <v>82434.003979996196</v>
      </c>
      <c r="E38" s="68">
        <v>1.2650266340045799</v>
      </c>
      <c r="F38" s="70"/>
      <c r="G38" s="67">
        <v>47369.244705821497</v>
      </c>
      <c r="H38" s="68">
        <v>1.6741229270017699</v>
      </c>
      <c r="I38" s="41"/>
      <c r="J38" s="67">
        <v>68788.050238187701</v>
      </c>
      <c r="K38" s="68">
        <v>2.0522010706044802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162" t="s">
        <v>30</v>
      </c>
      <c r="C39" s="95"/>
      <c r="D39" s="67">
        <v>0</v>
      </c>
      <c r="E39" s="68">
        <v>0</v>
      </c>
      <c r="F39" s="70"/>
      <c r="G39" s="67">
        <v>0</v>
      </c>
      <c r="H39" s="68">
        <v>0</v>
      </c>
      <c r="I39" s="41"/>
      <c r="J39" s="67">
        <v>0</v>
      </c>
      <c r="K39" s="68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6.95" customHeight="1" x14ac:dyDescent="0.25">
      <c r="A40" s="41"/>
      <c r="B40" s="161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160" t="s">
        <v>33</v>
      </c>
      <c r="C41" s="97"/>
      <c r="D41" s="60">
        <v>534824.42411202495</v>
      </c>
      <c r="E41" s="61">
        <v>2.00718669977736</v>
      </c>
      <c r="F41" s="62"/>
      <c r="G41" s="60">
        <v>342072.64791504398</v>
      </c>
      <c r="H41" s="61">
        <v>2.6125919325054099</v>
      </c>
      <c r="I41" s="57"/>
      <c r="J41" s="60">
        <v>335314.14069662301</v>
      </c>
      <c r="K41" s="61">
        <v>2.6648020458706401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165"/>
      <c r="C42" s="97"/>
      <c r="D42" s="116"/>
      <c r="E42" s="116"/>
      <c r="F42" s="77"/>
      <c r="G42" s="116"/>
      <c r="H42" s="116"/>
      <c r="I42" s="116"/>
      <c r="J42" s="116"/>
      <c r="K42" s="116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6" customFormat="1" ht="15" customHeight="1" x14ac:dyDescent="0.25">
      <c r="A43" s="57"/>
      <c r="B43" s="164" t="s">
        <v>3</v>
      </c>
      <c r="C43" s="159"/>
      <c r="D43" s="60">
        <v>885274.08242816199</v>
      </c>
      <c r="E43" s="61">
        <v>0</v>
      </c>
      <c r="F43" s="62"/>
      <c r="G43" s="60">
        <v>591873.62683249102</v>
      </c>
      <c r="H43" s="61">
        <v>0</v>
      </c>
      <c r="I43" s="57"/>
      <c r="J43" s="60">
        <v>561810.56421748304</v>
      </c>
      <c r="K43" s="61">
        <v>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6.95" customHeight="1" x14ac:dyDescent="0.25">
      <c r="A44" s="41"/>
      <c r="B44" s="165"/>
      <c r="C44" s="159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s="6" customFormat="1" ht="15" customHeight="1" x14ac:dyDescent="0.25">
      <c r="A45" s="57"/>
      <c r="B45" s="160" t="s">
        <v>32</v>
      </c>
      <c r="C45" s="91"/>
      <c r="D45" s="60">
        <v>584210.05497168703</v>
      </c>
      <c r="E45" s="61">
        <v>1.0485044789439499</v>
      </c>
      <c r="F45" s="62"/>
      <c r="G45" s="60">
        <v>374844.43365669402</v>
      </c>
      <c r="H45" s="61">
        <v>1.3221973558467</v>
      </c>
      <c r="I45" s="57"/>
      <c r="J45" s="60">
        <v>394668.070139713</v>
      </c>
      <c r="K45" s="61">
        <v>1.43420983762794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6.95" customHeight="1" x14ac:dyDescent="0.25">
      <c r="A46" s="41"/>
      <c r="B46" s="161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62" t="s">
        <v>23</v>
      </c>
      <c r="C47" s="95"/>
      <c r="D47" s="67">
        <v>370678.51152541197</v>
      </c>
      <c r="E47" s="68">
        <v>1.3117986870995899</v>
      </c>
      <c r="F47" s="70"/>
      <c r="G47" s="67">
        <v>241544.339171834</v>
      </c>
      <c r="H47" s="68">
        <v>1.8591033251764399</v>
      </c>
      <c r="I47" s="41"/>
      <c r="J47" s="67">
        <v>256081.78685989199</v>
      </c>
      <c r="K47" s="68">
        <v>1.8604504115786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62" t="s">
        <v>24</v>
      </c>
      <c r="C48" s="95"/>
      <c r="D48" s="67">
        <v>97001.360707537504</v>
      </c>
      <c r="E48" s="68">
        <v>0.47862672323157002</v>
      </c>
      <c r="F48" s="70"/>
      <c r="G48" s="67">
        <v>69693.686225369893</v>
      </c>
      <c r="H48" s="68">
        <v>0.71742657223735995</v>
      </c>
      <c r="I48" s="41"/>
      <c r="J48" s="67">
        <v>66215.597750692395</v>
      </c>
      <c r="K48" s="68">
        <v>0.629565852566079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30" customHeight="1" x14ac:dyDescent="0.25">
      <c r="A49" s="41"/>
      <c r="B49" s="162" t="s">
        <v>158</v>
      </c>
      <c r="C49" s="95"/>
      <c r="D49" s="67">
        <v>81107.221183476504</v>
      </c>
      <c r="E49" s="68">
        <v>0.39751407538626699</v>
      </c>
      <c r="F49" s="70"/>
      <c r="G49" s="67">
        <v>72120.934444103899</v>
      </c>
      <c r="H49" s="68">
        <v>0.720951514306029</v>
      </c>
      <c r="I49" s="41"/>
      <c r="J49" s="67">
        <v>36762.664602374301</v>
      </c>
      <c r="K49" s="68">
        <v>0.350426990154806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62" t="s">
        <v>26</v>
      </c>
      <c r="C50" s="95"/>
      <c r="D50" s="67">
        <v>404113.56356213498</v>
      </c>
      <c r="E50" s="68">
        <v>1.27591667274163</v>
      </c>
      <c r="F50" s="70"/>
      <c r="G50" s="67">
        <v>279243.26419528201</v>
      </c>
      <c r="H50" s="68">
        <v>1.86179549944763</v>
      </c>
      <c r="I50" s="41"/>
      <c r="J50" s="67">
        <v>276571.83864552103</v>
      </c>
      <c r="K50" s="68">
        <v>1.75942388980062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62" t="s">
        <v>27</v>
      </c>
      <c r="C51" s="95"/>
      <c r="D51" s="67">
        <v>103868.200537349</v>
      </c>
      <c r="E51" s="68">
        <v>0.49961207087548298</v>
      </c>
      <c r="F51" s="70"/>
      <c r="G51" s="67">
        <v>69902.992699706403</v>
      </c>
      <c r="H51" s="68">
        <v>0.712565391768608</v>
      </c>
      <c r="I51" s="41"/>
      <c r="J51" s="67">
        <v>77638.731917868907</v>
      </c>
      <c r="K51" s="68">
        <v>0.72867047105753902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5" customHeight="1" x14ac:dyDescent="0.25">
      <c r="A52" s="41"/>
      <c r="B52" s="162" t="s">
        <v>28</v>
      </c>
      <c r="C52" s="95"/>
      <c r="D52" s="67">
        <v>105526.162691363</v>
      </c>
      <c r="E52" s="68">
        <v>0.48945033860975901</v>
      </c>
      <c r="F52" s="70"/>
      <c r="G52" s="67">
        <v>62881.503593734997</v>
      </c>
      <c r="H52" s="68">
        <v>0.63572112106703604</v>
      </c>
      <c r="I52" s="41"/>
      <c r="J52" s="67">
        <v>85449.902599025896</v>
      </c>
      <c r="K52" s="68">
        <v>0.77288037357797301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5" customHeight="1" x14ac:dyDescent="0.25">
      <c r="A53" s="41"/>
      <c r="B53" s="162" t="s">
        <v>29</v>
      </c>
      <c r="C53" s="95"/>
      <c r="D53" s="67">
        <v>110431.022556891</v>
      </c>
      <c r="E53" s="68">
        <v>0.52284329437365895</v>
      </c>
      <c r="F53" s="70"/>
      <c r="G53" s="67">
        <v>66233.957209379805</v>
      </c>
      <c r="H53" s="68">
        <v>0.67245534874248603</v>
      </c>
      <c r="I53" s="41"/>
      <c r="J53" s="67">
        <v>87355.677990555603</v>
      </c>
      <c r="K53" s="68">
        <v>0.81494081415012798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30" customHeight="1" x14ac:dyDescent="0.25">
      <c r="A54" s="41"/>
      <c r="B54" s="162" t="s">
        <v>147</v>
      </c>
      <c r="C54" s="95"/>
      <c r="D54" s="67">
        <v>181349.10556908499</v>
      </c>
      <c r="E54" s="68">
        <v>0.82148097968393796</v>
      </c>
      <c r="F54" s="70"/>
      <c r="G54" s="67">
        <v>107421.005769451</v>
      </c>
      <c r="H54" s="68">
        <v>1.07376814179645</v>
      </c>
      <c r="I54" s="41"/>
      <c r="J54" s="67">
        <v>138878.34009810199</v>
      </c>
      <c r="K54" s="68">
        <v>1.24927652717351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5" customHeight="1" x14ac:dyDescent="0.25">
      <c r="A55" s="41"/>
      <c r="B55" s="162" t="s">
        <v>30</v>
      </c>
      <c r="C55" s="95"/>
      <c r="D55" s="67">
        <v>17315</v>
      </c>
      <c r="E55" s="68">
        <v>8.6752522610287403E-2</v>
      </c>
      <c r="F55" s="70"/>
      <c r="G55" s="67">
        <v>17315</v>
      </c>
      <c r="H55" s="68">
        <v>0.17986471019396999</v>
      </c>
      <c r="I55" s="41"/>
      <c r="J55" s="67">
        <v>0</v>
      </c>
      <c r="K55" s="68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6.95" customHeight="1" x14ac:dyDescent="0.25">
      <c r="A56" s="41"/>
      <c r="B56" s="161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s="6" customFormat="1" ht="15" customHeight="1" x14ac:dyDescent="0.25">
      <c r="A57" s="57"/>
      <c r="B57" s="160" t="s">
        <v>33</v>
      </c>
      <c r="C57" s="97"/>
      <c r="D57" s="60">
        <v>622142.65047432901</v>
      </c>
      <c r="E57" s="61">
        <v>1.0485044789439499</v>
      </c>
      <c r="F57" s="62"/>
      <c r="G57" s="60">
        <v>408383.66710002598</v>
      </c>
      <c r="H57" s="61">
        <v>1.3221973558467</v>
      </c>
      <c r="I57" s="57"/>
      <c r="J57" s="60">
        <v>402481.93147251097</v>
      </c>
      <c r="K57" s="61">
        <v>1.43420983762794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6.95" customHeight="1" x14ac:dyDescent="0.25">
      <c r="A58" s="41"/>
      <c r="B58" s="166"/>
      <c r="C58" s="167"/>
      <c r="D58" s="80"/>
      <c r="E58" s="80"/>
      <c r="F58" s="102"/>
      <c r="G58" s="168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6.95" customHeight="1" x14ac:dyDescent="0.25">
      <c r="A59" s="41"/>
      <c r="B59" s="169"/>
      <c r="C59" s="170"/>
      <c r="D59" s="171"/>
      <c r="E59" s="171"/>
      <c r="F59" s="104"/>
      <c r="G59" s="17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2" customHeight="1" x14ac:dyDescent="0.25">
      <c r="A60" s="41"/>
      <c r="B60" s="315" t="s">
        <v>130</v>
      </c>
      <c r="C60" s="315"/>
      <c r="D60" s="315"/>
      <c r="E60" s="315"/>
      <c r="F60" s="315"/>
      <c r="G60" s="315"/>
      <c r="H60" s="315"/>
      <c r="I60" s="315"/>
      <c r="J60" s="315"/>
      <c r="K60" s="315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2" customHeight="1" x14ac:dyDescent="0.25">
      <c r="A61" s="41"/>
      <c r="B61" s="172" t="s">
        <v>131</v>
      </c>
      <c r="C61" s="173"/>
      <c r="D61" s="174"/>
      <c r="E61" s="174"/>
      <c r="F61" s="174"/>
      <c r="G61" s="174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2" customHeight="1" x14ac:dyDescent="0.25">
      <c r="A62" s="41"/>
      <c r="B62" s="307" t="s">
        <v>145</v>
      </c>
      <c r="C62" s="307"/>
      <c r="D62" s="307"/>
      <c r="E62" s="307"/>
      <c r="F62" s="307"/>
      <c r="G62" s="30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</sheetData>
  <mergeCells count="8">
    <mergeCell ref="B60:K60"/>
    <mergeCell ref="B62:G6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6786BBC8-0FA0-40EF-9B85-AE2718640A6A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0191-14BC-49C5-875D-5DA2F2A93E6B}">
  <dimension ref="A1:W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103</v>
      </c>
      <c r="C5" s="37"/>
      <c r="D5" s="39"/>
      <c r="E5" s="39"/>
      <c r="F5" s="39"/>
      <c r="G5" s="38"/>
      <c r="H5" s="34"/>
      <c r="I5" s="32"/>
      <c r="J5" s="32"/>
      <c r="K5" s="40" t="s">
        <v>86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183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76" t="s">
        <v>35</v>
      </c>
      <c r="C13" s="91"/>
      <c r="D13" s="67">
        <v>404418.30123277899</v>
      </c>
      <c r="E13" s="68">
        <v>0.70107711774249104</v>
      </c>
      <c r="F13" s="70"/>
      <c r="G13" s="67">
        <v>247399.03175962201</v>
      </c>
      <c r="H13" s="68">
        <v>0.87733389783763505</v>
      </c>
      <c r="I13" s="41"/>
      <c r="J13" s="67">
        <v>297377.27265278401</v>
      </c>
      <c r="K13" s="68">
        <v>1.0142115732689401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76" t="s">
        <v>36</v>
      </c>
      <c r="C14" s="95"/>
      <c r="D14" s="67">
        <v>144091.24944524799</v>
      </c>
      <c r="E14" s="68">
        <v>0.26273744261786203</v>
      </c>
      <c r="F14" s="70"/>
      <c r="G14" s="67">
        <v>75484.907544120695</v>
      </c>
      <c r="H14" s="68">
        <v>0.277106951699777</v>
      </c>
      <c r="I14" s="41"/>
      <c r="J14" s="67">
        <v>120423.779914927</v>
      </c>
      <c r="K14" s="68">
        <v>0.43703676928058999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77" t="s">
        <v>132</v>
      </c>
      <c r="C15" s="95"/>
      <c r="D15" s="67">
        <v>568829.54106610199</v>
      </c>
      <c r="E15" s="68">
        <v>0.87073784991720404</v>
      </c>
      <c r="F15" s="70"/>
      <c r="G15" s="67">
        <v>383485.81380410597</v>
      </c>
      <c r="H15" s="68">
        <v>1.12735117289784</v>
      </c>
      <c r="I15" s="41"/>
      <c r="J15" s="67">
        <v>404419.57069364103</v>
      </c>
      <c r="K15" s="68">
        <v>1.2370230806104501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76" t="s">
        <v>37</v>
      </c>
      <c r="C16" s="178"/>
      <c r="D16" s="67">
        <v>207915.450053209</v>
      </c>
      <c r="E16" s="68">
        <v>0.36869958944986603</v>
      </c>
      <c r="F16" s="70"/>
      <c r="G16" s="67">
        <v>136248.98170209801</v>
      </c>
      <c r="H16" s="68">
        <v>0.48404725186633302</v>
      </c>
      <c r="I16" s="41"/>
      <c r="J16" s="67">
        <v>148854.08465560101</v>
      </c>
      <c r="K16" s="68">
        <v>0.52443492330303099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76" t="s">
        <v>38</v>
      </c>
      <c r="C17" s="95"/>
      <c r="D17" s="67">
        <v>378911.03531128197</v>
      </c>
      <c r="E17" s="68">
        <v>0.66381366704129596</v>
      </c>
      <c r="F17" s="70"/>
      <c r="G17" s="67">
        <v>293746.66640897398</v>
      </c>
      <c r="H17" s="68">
        <v>0.98239297576239004</v>
      </c>
      <c r="I17" s="41"/>
      <c r="J17" s="67">
        <v>251383.54511633699</v>
      </c>
      <c r="K17" s="68">
        <v>0.87482522490732695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76" t="s">
        <v>39</v>
      </c>
      <c r="C18" s="95"/>
      <c r="D18" s="67">
        <v>262107.97555296999</v>
      </c>
      <c r="E18" s="68">
        <v>0.46030899151930399</v>
      </c>
      <c r="F18" s="70"/>
      <c r="G18" s="67">
        <v>171076.32937274899</v>
      </c>
      <c r="H18" s="68">
        <v>0.61290658531755504</v>
      </c>
      <c r="I18" s="41"/>
      <c r="J18" s="67">
        <v>201289.27019449099</v>
      </c>
      <c r="K18" s="68">
        <v>0.69411740649600995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76" t="s">
        <v>40</v>
      </c>
      <c r="C19" s="95"/>
      <c r="D19" s="67">
        <v>265408.84609488602</v>
      </c>
      <c r="E19" s="68">
        <v>0.46148692914705097</v>
      </c>
      <c r="F19" s="70"/>
      <c r="G19" s="67">
        <v>197241.244415058</v>
      </c>
      <c r="H19" s="68">
        <v>0.69534371332304601</v>
      </c>
      <c r="I19" s="41"/>
      <c r="J19" s="67">
        <v>181370.33503240699</v>
      </c>
      <c r="K19" s="68">
        <v>0.62916186728324597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79" t="s">
        <v>112</v>
      </c>
      <c r="C20" s="95"/>
      <c r="D20" s="67">
        <v>439284.09013980097</v>
      </c>
      <c r="E20" s="68">
        <v>0.74890523736204695</v>
      </c>
      <c r="F20" s="70"/>
      <c r="G20" s="67">
        <v>308910.15306721698</v>
      </c>
      <c r="H20" s="68">
        <v>1.0379575197008699</v>
      </c>
      <c r="I20" s="41"/>
      <c r="J20" s="67">
        <v>291610.26466471498</v>
      </c>
      <c r="K20" s="68">
        <v>0.99483450531178097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79" t="s">
        <v>123</v>
      </c>
      <c r="C21" s="95"/>
      <c r="D21" s="67">
        <v>138419.66854290201</v>
      </c>
      <c r="E21" s="68">
        <v>0.249133234576846</v>
      </c>
      <c r="F21" s="70"/>
      <c r="G21" s="67">
        <v>90873.064931965899</v>
      </c>
      <c r="H21" s="68">
        <v>0.33014308298415901</v>
      </c>
      <c r="I21" s="41"/>
      <c r="J21" s="67">
        <v>103963.869529241</v>
      </c>
      <c r="K21" s="68">
        <v>0.37605698006300697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76" t="s">
        <v>41</v>
      </c>
      <c r="C22" s="95"/>
      <c r="D22" s="67">
        <v>93526.794736142503</v>
      </c>
      <c r="E22" s="68">
        <v>0.17077212771365599</v>
      </c>
      <c r="F22" s="70"/>
      <c r="G22" s="67">
        <v>63038.778891137401</v>
      </c>
      <c r="H22" s="68">
        <v>0.22934286544239299</v>
      </c>
      <c r="I22" s="41"/>
      <c r="J22" s="67">
        <v>70385.185218642102</v>
      </c>
      <c r="K22" s="68">
        <v>0.25584401809607799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80" t="s">
        <v>118</v>
      </c>
      <c r="C23" s="95"/>
      <c r="D23" s="67">
        <v>34263.823256436997</v>
      </c>
      <c r="E23" s="68">
        <v>6.26754791735155E-2</v>
      </c>
      <c r="F23" s="70"/>
      <c r="G23" s="67">
        <v>23126.2286139518</v>
      </c>
      <c r="H23" s="68">
        <v>8.5011213255216295E-2</v>
      </c>
      <c r="I23" s="41"/>
      <c r="J23" s="67">
        <v>25304.734176505201</v>
      </c>
      <c r="K23" s="68">
        <v>9.2222266848249093E-2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6"/>
      <c r="C24" s="166"/>
      <c r="D24" s="80"/>
      <c r="E24" s="80"/>
      <c r="F24" s="181"/>
      <c r="G24" s="182"/>
      <c r="H24" s="80"/>
      <c r="I24" s="80"/>
      <c r="J24" s="80"/>
      <c r="K24" s="80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6.95" customHeight="1" x14ac:dyDescent="0.25">
      <c r="A25" s="41"/>
      <c r="B25" s="109"/>
      <c r="C25" s="109"/>
      <c r="D25" s="88"/>
      <c r="E25" s="88"/>
      <c r="F25" s="183"/>
      <c r="G25" s="18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2" customHeight="1" x14ac:dyDescent="0.25">
      <c r="A26" s="41"/>
      <c r="B26" s="106" t="s">
        <v>133</v>
      </c>
      <c r="C26" s="185"/>
      <c r="D26" s="185"/>
      <c r="E26" s="185"/>
      <c r="F26" s="185"/>
      <c r="G26" s="18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2" customHeight="1" x14ac:dyDescent="0.25">
      <c r="A27" s="41"/>
      <c r="B27" s="307" t="s">
        <v>145</v>
      </c>
      <c r="C27" s="307"/>
      <c r="D27" s="307"/>
      <c r="E27" s="307"/>
      <c r="F27" s="307"/>
      <c r="G27" s="30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AA1D951A-016B-4253-9BDD-F59C4B8B1D2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6FC9-52FC-4A6F-868B-D98F99C28647}">
  <dimension ref="A1:W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185</v>
      </c>
      <c r="C5" s="175"/>
      <c r="D5" s="175"/>
      <c r="E5" s="175"/>
      <c r="F5" s="186"/>
      <c r="G5" s="186"/>
      <c r="H5" s="34"/>
      <c r="I5" s="32"/>
      <c r="J5" s="32"/>
      <c r="K5" s="40" t="s">
        <v>85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67</v>
      </c>
      <c r="C7" s="42"/>
      <c r="D7" s="308" t="s">
        <v>184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17" t="s">
        <v>12</v>
      </c>
      <c r="H8" s="317"/>
      <c r="I8" s="26"/>
      <c r="J8" s="317" t="s">
        <v>0</v>
      </c>
      <c r="K8" s="317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647071.45066757197</v>
      </c>
      <c r="E11" s="61">
        <v>0</v>
      </c>
      <c r="F11" s="62"/>
      <c r="G11" s="60">
        <v>422160.74738152901</v>
      </c>
      <c r="H11" s="61">
        <v>0</v>
      </c>
      <c r="I11" s="57"/>
      <c r="J11" s="60">
        <v>450046.96332731098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15</v>
      </c>
      <c r="C13" s="91"/>
      <c r="D13" s="67">
        <v>421562.25935768901</v>
      </c>
      <c r="E13" s="68">
        <v>1.1864440029385801</v>
      </c>
      <c r="F13" s="70"/>
      <c r="G13" s="67">
        <v>263908.24797822698</v>
      </c>
      <c r="H13" s="68">
        <v>1.6703222225173699</v>
      </c>
      <c r="I13" s="41"/>
      <c r="J13" s="67">
        <v>301269.477409377</v>
      </c>
      <c r="K13" s="68">
        <v>1.6872305728778001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14</v>
      </c>
      <c r="C14" s="95"/>
      <c r="D14" s="67">
        <v>350984.10116616898</v>
      </c>
      <c r="E14" s="68">
        <v>1.10423446592902</v>
      </c>
      <c r="F14" s="70"/>
      <c r="G14" s="67">
        <v>228409.40233016401</v>
      </c>
      <c r="H14" s="68">
        <v>1.5059544947875001</v>
      </c>
      <c r="I14" s="41"/>
      <c r="J14" s="67">
        <v>255523.78743811001</v>
      </c>
      <c r="K14" s="68">
        <v>1.5332237588153801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87" t="s">
        <v>16</v>
      </c>
      <c r="C15" s="95"/>
      <c r="D15" s="67">
        <v>310806.08625265502</v>
      </c>
      <c r="E15" s="68">
        <v>0.98664856608952101</v>
      </c>
      <c r="F15" s="70"/>
      <c r="G15" s="67">
        <v>169227.78340952401</v>
      </c>
      <c r="H15" s="68">
        <v>1.2203529735035701</v>
      </c>
      <c r="I15" s="41"/>
      <c r="J15" s="67">
        <v>253750.40953158599</v>
      </c>
      <c r="K15" s="68">
        <v>1.54248294429263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18</v>
      </c>
      <c r="C16" s="95"/>
      <c r="D16" s="67">
        <v>252228.504890304</v>
      </c>
      <c r="E16" s="68">
        <v>0.89111000256860795</v>
      </c>
      <c r="F16" s="70"/>
      <c r="G16" s="67">
        <v>209930.43089722699</v>
      </c>
      <c r="H16" s="68">
        <v>1.4537607996469699</v>
      </c>
      <c r="I16" s="41"/>
      <c r="J16" s="67">
        <v>129164.828693598</v>
      </c>
      <c r="K16" s="68">
        <v>0.94232961683467498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19</v>
      </c>
      <c r="C17" s="95"/>
      <c r="D17" s="67">
        <v>168748.510267487</v>
      </c>
      <c r="E17" s="68">
        <v>0.668489794399314</v>
      </c>
      <c r="F17" s="70"/>
      <c r="G17" s="67">
        <v>129080.44725297899</v>
      </c>
      <c r="H17" s="68">
        <v>1.0325136022891901</v>
      </c>
      <c r="I17" s="41"/>
      <c r="J17" s="67">
        <v>110680.67763273801</v>
      </c>
      <c r="K17" s="68">
        <v>0.81989401150598795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17</v>
      </c>
      <c r="C18" s="95"/>
      <c r="D18" s="67">
        <v>162030.41195367201</v>
      </c>
      <c r="E18" s="68">
        <v>0.60812535933399503</v>
      </c>
      <c r="F18" s="70"/>
      <c r="G18" s="67">
        <v>124893.740817326</v>
      </c>
      <c r="H18" s="68">
        <v>0.98611204836890198</v>
      </c>
      <c r="I18" s="41"/>
      <c r="J18" s="67">
        <v>106301.034865329</v>
      </c>
      <c r="K18" s="68">
        <v>0.77409072156581304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185085.29002673301</v>
      </c>
      <c r="E19" s="68">
        <v>0.67596663949873503</v>
      </c>
      <c r="F19" s="70"/>
      <c r="G19" s="67">
        <v>102609.127281938</v>
      </c>
      <c r="H19" s="68">
        <v>0.80271984438988797</v>
      </c>
      <c r="I19" s="41"/>
      <c r="J19" s="67">
        <v>155631.868185289</v>
      </c>
      <c r="K19" s="68">
        <v>1.08075984577451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34</v>
      </c>
      <c r="C20" s="95"/>
      <c r="D20" s="67">
        <v>84292.222903262096</v>
      </c>
      <c r="E20" s="68">
        <v>0.32636328654452501</v>
      </c>
      <c r="F20" s="70"/>
      <c r="G20" s="67">
        <v>50912.7503180309</v>
      </c>
      <c r="H20" s="68">
        <v>0.40711401957844401</v>
      </c>
      <c r="I20" s="41"/>
      <c r="J20" s="67">
        <v>65229.503556074298</v>
      </c>
      <c r="K20" s="68">
        <v>0.48689808864994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61763.541728664102</v>
      </c>
      <c r="E21" s="68">
        <v>0.239962666629459</v>
      </c>
      <c r="F21" s="70"/>
      <c r="G21" s="67">
        <v>43825.385239687901</v>
      </c>
      <c r="H21" s="68">
        <v>0.35353889638413799</v>
      </c>
      <c r="I21" s="41"/>
      <c r="J21" s="67">
        <v>43700.733714559399</v>
      </c>
      <c r="K21" s="68">
        <v>0.32529958961163502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76"/>
      <c r="C22" s="97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188" t="s">
        <v>2</v>
      </c>
      <c r="C23" s="97"/>
      <c r="D23" s="60">
        <v>462402.04993893398</v>
      </c>
      <c r="E23" s="61">
        <v>0</v>
      </c>
      <c r="F23" s="62"/>
      <c r="G23" s="60">
        <v>278017.42819778499</v>
      </c>
      <c r="H23" s="61">
        <v>0</v>
      </c>
      <c r="I23" s="57"/>
      <c r="J23" s="60">
        <v>275198.80024006101</v>
      </c>
      <c r="K23" s="61">
        <v>0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189"/>
      <c r="C24" s="97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15</v>
      </c>
      <c r="C25" s="91"/>
      <c r="D25" s="67">
        <v>232414.24509337</v>
      </c>
      <c r="E25" s="68">
        <v>2.2202148784448599</v>
      </c>
      <c r="F25" s="70"/>
      <c r="G25" s="67">
        <v>139042.35233650601</v>
      </c>
      <c r="H25" s="68">
        <v>3.5098351882512002</v>
      </c>
      <c r="I25" s="41"/>
      <c r="J25" s="67">
        <v>165578.17820451499</v>
      </c>
      <c r="K25" s="68">
        <v>3.5000059852626602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14</v>
      </c>
      <c r="C26" s="95"/>
      <c r="D26" s="67">
        <v>188763.77089978801</v>
      </c>
      <c r="E26" s="68">
        <v>2.3816583379064502</v>
      </c>
      <c r="F26" s="70"/>
      <c r="G26" s="67">
        <v>105587.025734807</v>
      </c>
      <c r="H26" s="68">
        <v>3.0986409358873601</v>
      </c>
      <c r="I26" s="41"/>
      <c r="J26" s="67">
        <v>135591.444777075</v>
      </c>
      <c r="K26" s="68">
        <v>3.2932948228191399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87" t="s">
        <v>16</v>
      </c>
      <c r="C27" s="95"/>
      <c r="D27" s="67">
        <v>174506.853799248</v>
      </c>
      <c r="E27" s="68">
        <v>2.12386708904641</v>
      </c>
      <c r="F27" s="70"/>
      <c r="G27" s="67">
        <v>111189.37242731301</v>
      </c>
      <c r="H27" s="68">
        <v>2.9080194817375302</v>
      </c>
      <c r="I27" s="41"/>
      <c r="J27" s="67">
        <v>113133.850628178</v>
      </c>
      <c r="K27" s="68">
        <v>3.2003432909010301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18</v>
      </c>
      <c r="C28" s="95"/>
      <c r="D28" s="67">
        <v>150423.90754469301</v>
      </c>
      <c r="E28" s="68">
        <v>2.0874543386948101</v>
      </c>
      <c r="F28" s="70"/>
      <c r="G28" s="67">
        <v>128178.899271756</v>
      </c>
      <c r="H28" s="68">
        <v>3.4223166497214699</v>
      </c>
      <c r="I28" s="41"/>
      <c r="J28" s="67">
        <v>53920.552317628302</v>
      </c>
      <c r="K28" s="68">
        <v>1.80040291000821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19</v>
      </c>
      <c r="C29" s="95"/>
      <c r="D29" s="67">
        <v>61865.923391253004</v>
      </c>
      <c r="E29" s="68">
        <v>1.10952949145302</v>
      </c>
      <c r="F29" s="70"/>
      <c r="G29" s="67">
        <v>46633.286187729303</v>
      </c>
      <c r="H29" s="68">
        <v>1.67028523864145</v>
      </c>
      <c r="I29" s="41"/>
      <c r="J29" s="67">
        <v>42078.372074363499</v>
      </c>
      <c r="K29" s="68">
        <v>1.40679511286113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17</v>
      </c>
      <c r="C30" s="95"/>
      <c r="D30" s="67">
        <v>93067.322171666499</v>
      </c>
      <c r="E30" s="68">
        <v>1.4531988955837301</v>
      </c>
      <c r="F30" s="70"/>
      <c r="G30" s="67">
        <v>56038.3873569844</v>
      </c>
      <c r="H30" s="68">
        <v>1.9789933095071</v>
      </c>
      <c r="I30" s="41"/>
      <c r="J30" s="67">
        <v>73473.3249574293</v>
      </c>
      <c r="K30" s="68">
        <v>2.2018930576292299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137302.19491995801</v>
      </c>
      <c r="E31" s="68">
        <v>2.0699890650353501</v>
      </c>
      <c r="F31" s="70"/>
      <c r="G31" s="67">
        <v>75131.964828560202</v>
      </c>
      <c r="H31" s="68">
        <v>2.5069624182772099</v>
      </c>
      <c r="I31" s="41"/>
      <c r="J31" s="67">
        <v>116594.01661173299</v>
      </c>
      <c r="K31" s="68">
        <v>3.23246042272249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34</v>
      </c>
      <c r="C32" s="95"/>
      <c r="D32" s="67">
        <v>32373.386863286301</v>
      </c>
      <c r="E32" s="68">
        <v>0.54997190337009205</v>
      </c>
      <c r="F32" s="70"/>
      <c r="G32" s="67">
        <v>27285.529553226599</v>
      </c>
      <c r="H32" s="68">
        <v>0.95851321992897198</v>
      </c>
      <c r="I32" s="41"/>
      <c r="J32" s="67">
        <v>17422.286130126598</v>
      </c>
      <c r="K32" s="68">
        <v>0.57215111662672202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25793.465307543102</v>
      </c>
      <c r="E33" s="68">
        <v>0.44283669838050599</v>
      </c>
      <c r="F33" s="70"/>
      <c r="G33" s="67">
        <v>14223.0385290908</v>
      </c>
      <c r="H33" s="68">
        <v>0.51319826174113503</v>
      </c>
      <c r="I33" s="41"/>
      <c r="J33" s="67">
        <v>21517.621326982899</v>
      </c>
      <c r="K33" s="68">
        <v>0.70220632267481298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89"/>
      <c r="C34" s="97"/>
      <c r="D34" s="131"/>
      <c r="E34" s="131"/>
      <c r="F34" s="190"/>
      <c r="G34" s="131"/>
      <c r="H34" s="131"/>
      <c r="I34" s="131"/>
      <c r="J34" s="131"/>
      <c r="K34" s="13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188" t="s">
        <v>3</v>
      </c>
      <c r="C35" s="97"/>
      <c r="D35" s="60">
        <v>584210.05497168703</v>
      </c>
      <c r="E35" s="61">
        <v>0</v>
      </c>
      <c r="F35" s="62"/>
      <c r="G35" s="60">
        <v>374844.43365669402</v>
      </c>
      <c r="H35" s="61">
        <v>0</v>
      </c>
      <c r="I35" s="57"/>
      <c r="J35" s="60">
        <v>394668.070139713</v>
      </c>
      <c r="K35" s="61">
        <v>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189"/>
      <c r="C36" s="97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15</v>
      </c>
      <c r="C37" s="91"/>
      <c r="D37" s="67">
        <v>384473.557289975</v>
      </c>
      <c r="E37" s="68">
        <v>1.38984215876733</v>
      </c>
      <c r="F37" s="70"/>
      <c r="G37" s="67">
        <v>235576.31037927201</v>
      </c>
      <c r="H37" s="68">
        <v>1.85408084334667</v>
      </c>
      <c r="I37" s="41"/>
      <c r="J37" s="67">
        <v>262637.871802693</v>
      </c>
      <c r="K37" s="68">
        <v>1.9330256109722801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14</v>
      </c>
      <c r="C38" s="95"/>
      <c r="D38" s="67">
        <v>313912.29945269402</v>
      </c>
      <c r="E38" s="68">
        <v>1.2676238779203799</v>
      </c>
      <c r="F38" s="70"/>
      <c r="G38" s="67">
        <v>211013.40380115699</v>
      </c>
      <c r="H38" s="68">
        <v>1.7681484673175101</v>
      </c>
      <c r="I38" s="41"/>
      <c r="J38" s="67">
        <v>222408.909738499</v>
      </c>
      <c r="K38" s="68">
        <v>1.73085168110208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87" t="s">
        <v>16</v>
      </c>
      <c r="C39" s="95"/>
      <c r="D39" s="67">
        <v>271536.610156168</v>
      </c>
      <c r="E39" s="68">
        <v>1.1144545548181799</v>
      </c>
      <c r="F39" s="70"/>
      <c r="G39" s="67">
        <v>134844.93867010399</v>
      </c>
      <c r="H39" s="68">
        <v>1.29897332208049</v>
      </c>
      <c r="I39" s="41"/>
      <c r="J39" s="67">
        <v>232113.99146116301</v>
      </c>
      <c r="K39" s="68">
        <v>1.75962628369654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0" t="s">
        <v>18</v>
      </c>
      <c r="C40" s="95"/>
      <c r="D40" s="67">
        <v>210754.02414472299</v>
      </c>
      <c r="E40" s="68">
        <v>0.975815214664149</v>
      </c>
      <c r="F40" s="70"/>
      <c r="G40" s="67">
        <v>171331.428004455</v>
      </c>
      <c r="H40" s="68">
        <v>1.5770112087653001</v>
      </c>
      <c r="I40" s="41"/>
      <c r="J40" s="67">
        <v>118555.491900434</v>
      </c>
      <c r="K40" s="68">
        <v>1.1023683092268599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19</v>
      </c>
      <c r="C41" s="95"/>
      <c r="D41" s="67">
        <v>157605.08663795699</v>
      </c>
      <c r="E41" s="68">
        <v>0.78724251684563495</v>
      </c>
      <c r="F41" s="70"/>
      <c r="G41" s="67">
        <v>120690.470254956</v>
      </c>
      <c r="H41" s="68">
        <v>1.22160859634682</v>
      </c>
      <c r="I41" s="41"/>
      <c r="J41" s="67">
        <v>102483.70383745</v>
      </c>
      <c r="K41" s="68">
        <v>0.97485493926023903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17</v>
      </c>
      <c r="C42" s="95"/>
      <c r="D42" s="67">
        <v>140308.935714958</v>
      </c>
      <c r="E42" s="68">
        <v>0.67732719170086597</v>
      </c>
      <c r="F42" s="70"/>
      <c r="G42" s="67">
        <v>112032.153585837</v>
      </c>
      <c r="H42" s="68">
        <v>1.1273370237022999</v>
      </c>
      <c r="I42" s="41"/>
      <c r="J42" s="67">
        <v>77974.047483742703</v>
      </c>
      <c r="K42" s="68">
        <v>0.75292314917042902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129450.586733576</v>
      </c>
      <c r="E43" s="68">
        <v>0.609712317213986</v>
      </c>
      <c r="F43" s="70"/>
      <c r="G43" s="67">
        <v>76070.374965359602</v>
      </c>
      <c r="H43" s="68">
        <v>0.76209333697495896</v>
      </c>
      <c r="I43" s="41"/>
      <c r="J43" s="67">
        <v>103476.626667021</v>
      </c>
      <c r="K43" s="68">
        <v>0.96708192584485897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34</v>
      </c>
      <c r="C44" s="95"/>
      <c r="D44" s="67">
        <v>77948.974350186007</v>
      </c>
      <c r="E44" s="68">
        <v>0.39085165842054398</v>
      </c>
      <c r="F44" s="70"/>
      <c r="G44" s="67">
        <v>42983.811161251797</v>
      </c>
      <c r="H44" s="68">
        <v>0.44935239122614101</v>
      </c>
      <c r="I44" s="41"/>
      <c r="J44" s="67">
        <v>62970.990633054796</v>
      </c>
      <c r="K44" s="68">
        <v>0.60791568337378099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56181.960861979598</v>
      </c>
      <c r="E45" s="68">
        <v>0.27984374784195698</v>
      </c>
      <c r="F45" s="70"/>
      <c r="G45" s="67">
        <v>41537.333308808498</v>
      </c>
      <c r="H45" s="68">
        <v>0.43200351644080098</v>
      </c>
      <c r="I45" s="41"/>
      <c r="J45" s="67">
        <v>38036.1157272848</v>
      </c>
      <c r="K45" s="68">
        <v>0.36458590091051102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166"/>
      <c r="C46" s="52"/>
      <c r="D46" s="80"/>
      <c r="E46" s="80"/>
      <c r="F46" s="168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05"/>
      <c r="C47" s="105"/>
      <c r="D47" s="104"/>
      <c r="E47" s="104"/>
      <c r="F47" s="17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91" t="s">
        <v>130</v>
      </c>
      <c r="C48" s="192"/>
      <c r="D48" s="193"/>
      <c r="E48" s="193"/>
      <c r="F48" s="193"/>
      <c r="G48" s="19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106" t="s">
        <v>134</v>
      </c>
      <c r="C49" s="195"/>
      <c r="D49" s="195"/>
      <c r="E49" s="195"/>
      <c r="F49" s="195"/>
      <c r="G49" s="194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2" customHeight="1" x14ac:dyDescent="0.25">
      <c r="A50" s="41"/>
      <c r="B50" s="307" t="s">
        <v>145</v>
      </c>
      <c r="C50" s="307"/>
      <c r="D50" s="307"/>
      <c r="E50" s="307"/>
      <c r="F50" s="307"/>
      <c r="G50" s="30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</sheetData>
  <mergeCells count="6">
    <mergeCell ref="B50:G50"/>
    <mergeCell ref="B7:B9"/>
    <mergeCell ref="D7:E8"/>
    <mergeCell ref="G7:K7"/>
    <mergeCell ref="G8:H8"/>
    <mergeCell ref="J8:K8"/>
  </mergeCells>
  <hyperlinks>
    <hyperlink ref="K1" location="ÍNDICE!A1" tooltip="Ir a ÍNDICE" display="ÍNDICE" xr:uid="{4155C707-C672-4C22-94C4-01D853BA4FF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2EF5-2F82-4454-ACCF-98AF07117FCB}">
  <dimension ref="A1:W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187</v>
      </c>
      <c r="C5" s="175"/>
      <c r="D5" s="175"/>
      <c r="E5" s="175"/>
      <c r="F5" s="39"/>
      <c r="G5" s="38"/>
      <c r="H5" s="34"/>
      <c r="I5" s="32"/>
      <c r="J5" s="32"/>
      <c r="K5" s="40" t="s">
        <v>84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186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647071.45066757197</v>
      </c>
      <c r="E11" s="61">
        <v>0</v>
      </c>
      <c r="F11" s="62"/>
      <c r="G11" s="60">
        <v>422160.74738152901</v>
      </c>
      <c r="H11" s="61">
        <v>0</v>
      </c>
      <c r="I11" s="57"/>
      <c r="J11" s="60">
        <v>450046.96332731098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199102.28726754</v>
      </c>
      <c r="E13" s="68">
        <v>0.74345922174860601</v>
      </c>
      <c r="F13" s="70"/>
      <c r="G13" s="67">
        <v>130998.666788972</v>
      </c>
      <c r="H13" s="68">
        <v>1.01801157837456</v>
      </c>
      <c r="I13" s="41"/>
      <c r="J13" s="67">
        <v>144377.794820857</v>
      </c>
      <c r="K13" s="68">
        <v>1.0341499189483601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235929.53400459301</v>
      </c>
      <c r="E14" s="68">
        <v>0.82617351646582604</v>
      </c>
      <c r="F14" s="70"/>
      <c r="G14" s="67">
        <v>180207.71003470299</v>
      </c>
      <c r="H14" s="68">
        <v>1.25140081448491</v>
      </c>
      <c r="I14" s="41"/>
      <c r="J14" s="67">
        <v>158383.66893985501</v>
      </c>
      <c r="K14" s="68">
        <v>1.0861909271151999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310027.25568568602</v>
      </c>
      <c r="E15" s="68">
        <v>1.08609093051544</v>
      </c>
      <c r="F15" s="70"/>
      <c r="G15" s="67">
        <v>192365.38813121099</v>
      </c>
      <c r="H15" s="68">
        <v>1.4113179608109001</v>
      </c>
      <c r="I15" s="41"/>
      <c r="J15" s="67">
        <v>227257.891007914</v>
      </c>
      <c r="K15" s="68">
        <v>1.50299914627124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467931.72150185599</v>
      </c>
      <c r="E16" s="68">
        <v>1.23432021676089</v>
      </c>
      <c r="F16" s="70"/>
      <c r="G16" s="67">
        <v>275080.86160282599</v>
      </c>
      <c r="H16" s="68">
        <v>1.55904797781297</v>
      </c>
      <c r="I16" s="41"/>
      <c r="J16" s="67">
        <v>333263.03524261003</v>
      </c>
      <c r="K16" s="68">
        <v>1.7688811597538701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5" t="s">
        <v>118</v>
      </c>
      <c r="C17" s="127"/>
      <c r="D17" s="67">
        <v>99494.9858888936</v>
      </c>
      <c r="E17" s="68">
        <v>0.38338440794036299</v>
      </c>
      <c r="F17" s="70"/>
      <c r="G17" s="67">
        <v>83553.241158662902</v>
      </c>
      <c r="H17" s="68">
        <v>0.66553185790117197</v>
      </c>
      <c r="I17" s="41"/>
      <c r="J17" s="67">
        <v>50063.314710653998</v>
      </c>
      <c r="K17" s="68">
        <v>0.373670604190115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31"/>
      <c r="E18" s="131"/>
      <c r="F18" s="196"/>
      <c r="G18" s="131"/>
      <c r="H18" s="131"/>
      <c r="I18" s="131"/>
      <c r="J18" s="131"/>
      <c r="K18" s="13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97" t="s">
        <v>2</v>
      </c>
      <c r="C19" s="95"/>
      <c r="D19" s="60">
        <v>462402.04993893398</v>
      </c>
      <c r="E19" s="61">
        <v>0</v>
      </c>
      <c r="F19" s="62"/>
      <c r="G19" s="60">
        <v>278017.42819778499</v>
      </c>
      <c r="H19" s="61">
        <v>0</v>
      </c>
      <c r="I19" s="57"/>
      <c r="J19" s="60">
        <v>275198.80024006101</v>
      </c>
      <c r="K19" s="61">
        <v>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98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125239.181188427</v>
      </c>
      <c r="E21" s="68">
        <v>2.0647892830647701</v>
      </c>
      <c r="F21" s="70"/>
      <c r="G21" s="67">
        <v>49667.770050942803</v>
      </c>
      <c r="H21" s="68">
        <v>1.8095945626741401</v>
      </c>
      <c r="I21" s="41"/>
      <c r="J21" s="67">
        <v>105203.72702165799</v>
      </c>
      <c r="K21" s="68">
        <v>3.18269638568515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111252.966749492</v>
      </c>
      <c r="E22" s="68">
        <v>1.46767703448013</v>
      </c>
      <c r="F22" s="70"/>
      <c r="G22" s="67">
        <v>92742.702168213204</v>
      </c>
      <c r="H22" s="68">
        <v>2.5588120283530702</v>
      </c>
      <c r="I22" s="41"/>
      <c r="J22" s="67">
        <v>65941.165547023804</v>
      </c>
      <c r="K22" s="68">
        <v>1.94410780768421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167026.98727665</v>
      </c>
      <c r="E23" s="68">
        <v>2.2415193047242199</v>
      </c>
      <c r="F23" s="70"/>
      <c r="G23" s="67">
        <v>105780.326350459</v>
      </c>
      <c r="H23" s="68">
        <v>2.9095258220739599</v>
      </c>
      <c r="I23" s="41"/>
      <c r="J23" s="67">
        <v>113460.15812275501</v>
      </c>
      <c r="K23" s="68">
        <v>3.28431093516294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300435.08726293599</v>
      </c>
      <c r="E24" s="68">
        <v>3.0086423778323699</v>
      </c>
      <c r="F24" s="70"/>
      <c r="G24" s="67">
        <v>166518.07958367799</v>
      </c>
      <c r="H24" s="68">
        <v>3.7583522436749699</v>
      </c>
      <c r="I24" s="41"/>
      <c r="J24" s="67">
        <v>194320.80733627899</v>
      </c>
      <c r="K24" s="68">
        <v>4.1516139751861001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5" t="s">
        <v>118</v>
      </c>
      <c r="C25" s="127"/>
      <c r="D25" s="67">
        <v>30022.991073509002</v>
      </c>
      <c r="E25" s="68">
        <v>0.50723551593057004</v>
      </c>
      <c r="F25" s="70"/>
      <c r="G25" s="67">
        <v>28068.9185220949</v>
      </c>
      <c r="H25" s="68">
        <v>0.99076881608081302</v>
      </c>
      <c r="I25" s="41"/>
      <c r="J25" s="67">
        <v>10654.379662842901</v>
      </c>
      <c r="K25" s="68">
        <v>0.34836048794045599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98"/>
      <c r="C26" s="95"/>
      <c r="D26" s="131"/>
      <c r="E26" s="131"/>
      <c r="F26" s="94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97" t="s">
        <v>3</v>
      </c>
      <c r="C27" s="95"/>
      <c r="D27" s="60">
        <v>584210.05497168703</v>
      </c>
      <c r="E27" s="61">
        <v>0</v>
      </c>
      <c r="F27" s="62"/>
      <c r="G27" s="60">
        <v>374844.43365669402</v>
      </c>
      <c r="H27" s="61">
        <v>0</v>
      </c>
      <c r="I27" s="57"/>
      <c r="J27" s="60">
        <v>394668.070139713</v>
      </c>
      <c r="K27" s="61">
        <v>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98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159591.81267316701</v>
      </c>
      <c r="E29" s="68">
        <v>0.758016223846809</v>
      </c>
      <c r="F29" s="70"/>
      <c r="G29" s="67">
        <v>121244.22867565601</v>
      </c>
      <c r="H29" s="68">
        <v>1.2045770911503799</v>
      </c>
      <c r="I29" s="41"/>
      <c r="J29" s="67">
        <v>102103.263581954</v>
      </c>
      <c r="K29" s="68">
        <v>0.94496581428934401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217611.22179608699</v>
      </c>
      <c r="E30" s="68">
        <v>0.98531611913491002</v>
      </c>
      <c r="F30" s="70"/>
      <c r="G30" s="67">
        <v>158552.087951305</v>
      </c>
      <c r="H30" s="68">
        <v>1.43347001939179</v>
      </c>
      <c r="I30" s="41"/>
      <c r="J30" s="67">
        <v>144835.21755292499</v>
      </c>
      <c r="K30" s="68">
        <v>1.27951204144507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283706.86225593201</v>
      </c>
      <c r="E31" s="68">
        <v>1.23285518131021</v>
      </c>
      <c r="F31" s="70"/>
      <c r="G31" s="67">
        <v>171328.53024809301</v>
      </c>
      <c r="H31" s="68">
        <v>1.5889829989211</v>
      </c>
      <c r="I31" s="41"/>
      <c r="J31" s="67">
        <v>203989.138199131</v>
      </c>
      <c r="K31" s="68">
        <v>1.6967496963470301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388621.77717523702</v>
      </c>
      <c r="E32" s="68">
        <v>1.35926262717241</v>
      </c>
      <c r="F32" s="70"/>
      <c r="G32" s="67">
        <v>232077.095926915</v>
      </c>
      <c r="H32" s="68">
        <v>1.75337704992038</v>
      </c>
      <c r="I32" s="41"/>
      <c r="J32" s="67">
        <v>279666.53218253702</v>
      </c>
      <c r="K32" s="68">
        <v>1.95427289133778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5" t="s">
        <v>118</v>
      </c>
      <c r="C33" s="127"/>
      <c r="D33" s="67">
        <v>95947.627487331905</v>
      </c>
      <c r="E33" s="68">
        <v>0.47089463346543498</v>
      </c>
      <c r="F33" s="70"/>
      <c r="G33" s="67">
        <v>79581.955750770998</v>
      </c>
      <c r="H33" s="68">
        <v>0.80261431501670299</v>
      </c>
      <c r="I33" s="41"/>
      <c r="J33" s="67">
        <v>48966.222435143798</v>
      </c>
      <c r="K33" s="68">
        <v>0.47060769961186899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80"/>
      <c r="E34" s="80"/>
      <c r="F34" s="132"/>
      <c r="G34" s="80"/>
      <c r="H34" s="80"/>
      <c r="I34" s="80"/>
      <c r="J34" s="80"/>
      <c r="K34" s="8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136"/>
      <c r="E35" s="136"/>
      <c r="F35" s="13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2" customHeight="1" x14ac:dyDescent="0.25">
      <c r="A36" s="41"/>
      <c r="B36" s="307" t="s">
        <v>145</v>
      </c>
      <c r="C36" s="307"/>
      <c r="D36" s="307"/>
      <c r="E36" s="307"/>
      <c r="F36" s="307"/>
      <c r="G36" s="30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9D2E735F-F6F2-4D7F-B0D3-30B57FFF3C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503F-858D-4585-A0B5-4EAF7C7AC0EC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8" t="s">
        <v>189</v>
      </c>
      <c r="C5" s="318"/>
      <c r="D5" s="318"/>
      <c r="E5" s="318"/>
      <c r="F5" s="318"/>
      <c r="G5" s="318"/>
      <c r="H5" s="34"/>
      <c r="I5" s="32"/>
      <c r="J5" s="32"/>
      <c r="K5" s="40" t="s">
        <v>83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99"/>
      <c r="C10" s="199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200" t="s">
        <v>1</v>
      </c>
      <c r="C11" s="89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200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113</v>
      </c>
      <c r="C13" s="91"/>
      <c r="D13" s="60">
        <v>808770.24712682294</v>
      </c>
      <c r="E13" s="61">
        <v>0.47564693087552501</v>
      </c>
      <c r="F13" s="62"/>
      <c r="G13" s="60">
        <v>603241.61606635305</v>
      </c>
      <c r="H13" s="61">
        <v>0.60027994495343195</v>
      </c>
      <c r="I13" s="57"/>
      <c r="J13" s="60">
        <v>565891.482472606</v>
      </c>
      <c r="K13" s="61">
        <v>0.60810304301915197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201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02" t="s">
        <v>43</v>
      </c>
      <c r="C15" s="95"/>
      <c r="D15" s="67">
        <v>266981.53338867699</v>
      </c>
      <c r="E15" s="68">
        <v>0.51163119166475901</v>
      </c>
      <c r="F15" s="70"/>
      <c r="G15" s="67">
        <v>207525.26312456999</v>
      </c>
      <c r="H15" s="68">
        <v>0.77592935425601695</v>
      </c>
      <c r="I15" s="41"/>
      <c r="J15" s="67">
        <v>154310.23708807299</v>
      </c>
      <c r="K15" s="68">
        <v>0.59004000236021104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03" t="s">
        <v>44</v>
      </c>
      <c r="C16" s="95"/>
      <c r="D16" s="67">
        <v>522746.60500297003</v>
      </c>
      <c r="E16" s="68">
        <v>0.90216799154664395</v>
      </c>
      <c r="F16" s="70"/>
      <c r="G16" s="67">
        <v>341350.47268044198</v>
      </c>
      <c r="H16" s="68">
        <v>1.16397958104863</v>
      </c>
      <c r="I16" s="41"/>
      <c r="J16" s="67">
        <v>378438.53890609398</v>
      </c>
      <c r="K16" s="68">
        <v>1.25182637576399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03" t="s">
        <v>45</v>
      </c>
      <c r="C17" s="95"/>
      <c r="D17" s="67">
        <v>331860.63038332597</v>
      </c>
      <c r="E17" s="68">
        <v>0.61061458639870703</v>
      </c>
      <c r="F17" s="70"/>
      <c r="G17" s="67">
        <v>235163.04831427801</v>
      </c>
      <c r="H17" s="68">
        <v>0.85748227634848495</v>
      </c>
      <c r="I17" s="41"/>
      <c r="J17" s="67">
        <v>246142.82233378201</v>
      </c>
      <c r="K17" s="68">
        <v>0.91660252180934498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03" t="s">
        <v>46</v>
      </c>
      <c r="C18" s="95"/>
      <c r="D18" s="67">
        <v>281539.00058741699</v>
      </c>
      <c r="E18" s="68">
        <v>0.50804236345961495</v>
      </c>
      <c r="F18" s="70"/>
      <c r="G18" s="67">
        <v>183386.000232363</v>
      </c>
      <c r="H18" s="68">
        <v>0.67411885649116399</v>
      </c>
      <c r="I18" s="41"/>
      <c r="J18" s="67">
        <v>212866.63459502201</v>
      </c>
      <c r="K18" s="68">
        <v>0.76437848817635401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69" t="s">
        <v>114</v>
      </c>
      <c r="C19" s="95"/>
      <c r="D19" s="67">
        <v>268101.46295318601</v>
      </c>
      <c r="E19" s="68">
        <v>0.50449619830775005</v>
      </c>
      <c r="F19" s="70"/>
      <c r="G19" s="67">
        <v>148980.29409383499</v>
      </c>
      <c r="H19" s="68">
        <v>0.56675667915885597</v>
      </c>
      <c r="I19" s="41"/>
      <c r="J19" s="67">
        <v>200572.31041206399</v>
      </c>
      <c r="K19" s="68">
        <v>0.76158779958306599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69" t="s">
        <v>47</v>
      </c>
      <c r="C20" s="95"/>
      <c r="D20" s="67">
        <v>478166.009624228</v>
      </c>
      <c r="E20" s="68">
        <v>0.81437365597880496</v>
      </c>
      <c r="F20" s="70"/>
      <c r="G20" s="67">
        <v>367569.24873786501</v>
      </c>
      <c r="H20" s="68">
        <v>1.19824239061154</v>
      </c>
      <c r="I20" s="41"/>
      <c r="J20" s="67">
        <v>310620.97944029002</v>
      </c>
      <c r="K20" s="68">
        <v>1.0775788259816601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01"/>
      <c r="C21" s="91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64" t="s">
        <v>115</v>
      </c>
      <c r="C22" s="95"/>
      <c r="D22" s="60">
        <v>264349.50102573098</v>
      </c>
      <c r="E22" s="61">
        <v>0.47564693087552501</v>
      </c>
      <c r="F22" s="62"/>
      <c r="G22" s="60">
        <v>164652.82395140099</v>
      </c>
      <c r="H22" s="61">
        <v>0.60027994495343195</v>
      </c>
      <c r="I22" s="57"/>
      <c r="J22" s="60">
        <v>172468.98657638</v>
      </c>
      <c r="K22" s="61">
        <v>0.60810304301915197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04"/>
      <c r="C23" s="95"/>
      <c r="D23" s="131"/>
      <c r="E23" s="131"/>
      <c r="F23" s="94"/>
      <c r="G23" s="205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206" t="s">
        <v>2</v>
      </c>
      <c r="C24" s="95"/>
      <c r="D24" s="60">
        <v>787259.02437341004</v>
      </c>
      <c r="E24" s="61">
        <v>0</v>
      </c>
      <c r="F24" s="62"/>
      <c r="G24" s="60">
        <v>464796.61776338902</v>
      </c>
      <c r="H24" s="61">
        <v>0</v>
      </c>
      <c r="I24" s="57"/>
      <c r="J24" s="60">
        <v>456394.45771005802</v>
      </c>
      <c r="K24" s="61">
        <v>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207"/>
      <c r="C25" s="95"/>
      <c r="D25" s="67"/>
      <c r="E25" s="68"/>
      <c r="F25" s="62"/>
      <c r="G25" s="67"/>
      <c r="H25" s="68"/>
      <c r="I25" s="57"/>
      <c r="J25" s="67"/>
      <c r="K25" s="6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64" t="s">
        <v>113</v>
      </c>
      <c r="C26" s="91"/>
      <c r="D26" s="60">
        <v>762889.49795609806</v>
      </c>
      <c r="E26" s="61">
        <v>1.1485701966823501</v>
      </c>
      <c r="F26" s="62"/>
      <c r="G26" s="60">
        <v>454643.13843590999</v>
      </c>
      <c r="H26" s="61">
        <v>1.3020588133942399</v>
      </c>
      <c r="I26" s="57"/>
      <c r="J26" s="60">
        <v>442510.773386713</v>
      </c>
      <c r="K26" s="61">
        <v>1.40512390854562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201"/>
      <c r="C27" s="91"/>
      <c r="D27" s="67"/>
      <c r="E27" s="68"/>
      <c r="F27" s="70"/>
      <c r="G27" s="67"/>
      <c r="H27" s="68"/>
      <c r="I27" s="41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02" t="s">
        <v>43</v>
      </c>
      <c r="C28" s="95"/>
      <c r="D28" s="67">
        <v>156639.77834111801</v>
      </c>
      <c r="E28" s="68">
        <v>1.0564493523112399</v>
      </c>
      <c r="F28" s="70"/>
      <c r="G28" s="67">
        <v>87052.652054616105</v>
      </c>
      <c r="H28" s="68">
        <v>1.17606932512752</v>
      </c>
      <c r="I28" s="41"/>
      <c r="J28" s="67">
        <v>109596.008104451</v>
      </c>
      <c r="K28" s="68">
        <v>1.4877342482274301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03" t="s">
        <v>44</v>
      </c>
      <c r="C29" s="95"/>
      <c r="D29" s="67">
        <v>364745.24808061001</v>
      </c>
      <c r="E29" s="68">
        <v>2.0232613632821401</v>
      </c>
      <c r="F29" s="70"/>
      <c r="G29" s="67">
        <v>209862.264723809</v>
      </c>
      <c r="H29" s="68">
        <v>2.41868753160648</v>
      </c>
      <c r="I29" s="41"/>
      <c r="J29" s="67">
        <v>233643.242267094</v>
      </c>
      <c r="K29" s="68">
        <v>2.67328610512484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03" t="s">
        <v>45</v>
      </c>
      <c r="C30" s="95"/>
      <c r="D30" s="67">
        <v>178702.75520408599</v>
      </c>
      <c r="E30" s="68">
        <v>1.11837327548661</v>
      </c>
      <c r="F30" s="70"/>
      <c r="G30" s="67">
        <v>107683.537587186</v>
      </c>
      <c r="H30" s="68">
        <v>1.3323181388365499</v>
      </c>
      <c r="I30" s="41"/>
      <c r="J30" s="67">
        <v>141845.787773677</v>
      </c>
      <c r="K30" s="68">
        <v>1.8530325197488799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03" t="s">
        <v>46</v>
      </c>
      <c r="C31" s="95"/>
      <c r="D31" s="67">
        <v>136730.34490594099</v>
      </c>
      <c r="E31" s="68">
        <v>0.85522134218261703</v>
      </c>
      <c r="F31" s="70"/>
      <c r="G31" s="67">
        <v>104533.910364054</v>
      </c>
      <c r="H31" s="68">
        <v>1.34014115214584</v>
      </c>
      <c r="I31" s="41"/>
      <c r="J31" s="67">
        <v>85966.2434632394</v>
      </c>
      <c r="K31" s="68">
        <v>1.11739870694802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69" t="s">
        <v>114</v>
      </c>
      <c r="C32" s="95"/>
      <c r="D32" s="67">
        <v>107588.41287481099</v>
      </c>
      <c r="E32" s="68">
        <v>0.70105188768832805</v>
      </c>
      <c r="F32" s="70"/>
      <c r="G32" s="67">
        <v>71718.096303413593</v>
      </c>
      <c r="H32" s="68">
        <v>1.00112316699641</v>
      </c>
      <c r="I32" s="41"/>
      <c r="J32" s="67">
        <v>70684.818401259603</v>
      </c>
      <c r="K32" s="68">
        <v>0.99886635613914199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69" t="s">
        <v>47</v>
      </c>
      <c r="C33" s="95"/>
      <c r="D33" s="67">
        <v>386650.29441763402</v>
      </c>
      <c r="E33" s="68">
        <v>1.8962429105095</v>
      </c>
      <c r="F33" s="70"/>
      <c r="G33" s="67">
        <v>260197.483777844</v>
      </c>
      <c r="H33" s="68">
        <v>2.4730069003384401</v>
      </c>
      <c r="I33" s="41"/>
      <c r="J33" s="67">
        <v>240482.80360448</v>
      </c>
      <c r="K33" s="68">
        <v>2.7228773091744598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01"/>
      <c r="C34" s="91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64" t="s">
        <v>115</v>
      </c>
      <c r="C35" s="95"/>
      <c r="D35" s="60">
        <v>181301.96402315499</v>
      </c>
      <c r="E35" s="61">
        <v>1.1485701966823501</v>
      </c>
      <c r="F35" s="62"/>
      <c r="G35" s="60">
        <v>102487.020228193</v>
      </c>
      <c r="H35" s="61">
        <v>1.3020588133942399</v>
      </c>
      <c r="I35" s="57"/>
      <c r="J35" s="60">
        <v>109081.96591681799</v>
      </c>
      <c r="K35" s="61">
        <v>1.40512390854562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207"/>
      <c r="C36" s="95"/>
      <c r="D36" s="131"/>
      <c r="E36" s="131"/>
      <c r="F36" s="94"/>
      <c r="G36" s="205"/>
      <c r="H36" s="131"/>
      <c r="I36" s="131"/>
      <c r="J36" s="131"/>
      <c r="K36" s="13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06" t="s">
        <v>3</v>
      </c>
      <c r="C37" s="95"/>
      <c r="D37" s="60">
        <v>885274.08242816199</v>
      </c>
      <c r="E37" s="61">
        <v>0</v>
      </c>
      <c r="F37" s="62"/>
      <c r="G37" s="60">
        <v>591873.62683249102</v>
      </c>
      <c r="H37" s="61">
        <v>0</v>
      </c>
      <c r="I37" s="57"/>
      <c r="J37" s="60">
        <v>561810.56421748304</v>
      </c>
      <c r="K37" s="61">
        <v>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07"/>
      <c r="C38" s="95"/>
      <c r="D38" s="67"/>
      <c r="E38" s="68"/>
      <c r="F38" s="62"/>
      <c r="G38" s="67"/>
      <c r="H38" s="68"/>
      <c r="I38" s="57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113</v>
      </c>
      <c r="C39" s="91"/>
      <c r="D39" s="60">
        <v>847006.11509430595</v>
      </c>
      <c r="E39" s="61">
        <v>0.49110281087441898</v>
      </c>
      <c r="F39" s="62"/>
      <c r="G39" s="60">
        <v>574572.44075547694</v>
      </c>
      <c r="H39" s="61">
        <v>0.66586535204578401</v>
      </c>
      <c r="I39" s="57"/>
      <c r="J39" s="60">
        <v>528346.44261121401</v>
      </c>
      <c r="K39" s="61">
        <v>0.65057290168744797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01"/>
      <c r="C40" s="91"/>
      <c r="D40" s="67"/>
      <c r="E40" s="68"/>
      <c r="F40" s="70"/>
      <c r="G40" s="67"/>
      <c r="H40" s="68"/>
      <c r="I40" s="41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02" t="s">
        <v>43</v>
      </c>
      <c r="C41" s="95"/>
      <c r="D41" s="67">
        <v>229705.52242248799</v>
      </c>
      <c r="E41" s="68">
        <v>0.58896075420359895</v>
      </c>
      <c r="F41" s="70"/>
      <c r="G41" s="67">
        <v>193323.46648558599</v>
      </c>
      <c r="H41" s="68">
        <v>0.977259669404274</v>
      </c>
      <c r="I41" s="41"/>
      <c r="J41" s="67">
        <v>114935.82582293299</v>
      </c>
      <c r="K41" s="68">
        <v>0.60156526321864501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203" t="s">
        <v>44</v>
      </c>
      <c r="C42" s="95"/>
      <c r="D42" s="67">
        <v>433605.61697482999</v>
      </c>
      <c r="E42" s="68">
        <v>0.99460838321571798</v>
      </c>
      <c r="F42" s="70"/>
      <c r="G42" s="67">
        <v>292313.57350737997</v>
      </c>
      <c r="H42" s="68">
        <v>1.3310984528218699</v>
      </c>
      <c r="I42" s="41"/>
      <c r="J42" s="67">
        <v>317636.40382412198</v>
      </c>
      <c r="K42" s="68">
        <v>1.4200339448558901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203" t="s">
        <v>45</v>
      </c>
      <c r="C43" s="95"/>
      <c r="D43" s="67">
        <v>318352.28941826097</v>
      </c>
      <c r="E43" s="68">
        <v>0.76597212509030299</v>
      </c>
      <c r="F43" s="70"/>
      <c r="G43" s="67">
        <v>212405.93518614199</v>
      </c>
      <c r="H43" s="68">
        <v>1.07978084053892</v>
      </c>
      <c r="I43" s="41"/>
      <c r="J43" s="67">
        <v>220245.56346016499</v>
      </c>
      <c r="K43" s="68">
        <v>1.08913304945526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x14ac:dyDescent="0.25">
      <c r="A44" s="41"/>
      <c r="B44" s="203" t="s">
        <v>46</v>
      </c>
      <c r="C44" s="95"/>
      <c r="D44" s="67">
        <v>250768.800005058</v>
      </c>
      <c r="E44" s="68">
        <v>0.64392581863042397</v>
      </c>
      <c r="F44" s="70"/>
      <c r="G44" s="67">
        <v>151650.47033597701</v>
      </c>
      <c r="H44" s="68">
        <v>0.820435890855301</v>
      </c>
      <c r="I44" s="41"/>
      <c r="J44" s="67">
        <v>196512.616061871</v>
      </c>
      <c r="K44" s="68">
        <v>0.95225962165524602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69" t="s">
        <v>114</v>
      </c>
      <c r="C45" s="95"/>
      <c r="D45" s="67">
        <v>252030.651232081</v>
      </c>
      <c r="E45" s="68">
        <v>0.64866070102377305</v>
      </c>
      <c r="F45" s="70"/>
      <c r="G45" s="67">
        <v>132901.546386389</v>
      </c>
      <c r="H45" s="68">
        <v>0.68789496567131403</v>
      </c>
      <c r="I45" s="41"/>
      <c r="J45" s="67">
        <v>189750.38877563199</v>
      </c>
      <c r="K45" s="68">
        <v>0.978745655290998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69" t="s">
        <v>47</v>
      </c>
      <c r="C46" s="95"/>
      <c r="D46" s="67">
        <v>426161.81393523997</v>
      </c>
      <c r="E46" s="68">
        <v>0.94647624094647298</v>
      </c>
      <c r="F46" s="70"/>
      <c r="G46" s="67">
        <v>323939.77407823497</v>
      </c>
      <c r="H46" s="68">
        <v>1.4323730032111199</v>
      </c>
      <c r="I46" s="41"/>
      <c r="J46" s="67">
        <v>239639.20499990601</v>
      </c>
      <c r="K46" s="68">
        <v>1.12542794310057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201"/>
      <c r="C47" s="91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64" t="s">
        <v>115</v>
      </c>
      <c r="C48" s="95"/>
      <c r="D48" s="60">
        <v>200797.98675981999</v>
      </c>
      <c r="E48" s="61">
        <v>0.49110281087441898</v>
      </c>
      <c r="F48" s="62"/>
      <c r="G48" s="60">
        <v>133173.90362270299</v>
      </c>
      <c r="H48" s="61">
        <v>0.66586535204578401</v>
      </c>
      <c r="I48" s="57"/>
      <c r="J48" s="60">
        <v>135747.93683928001</v>
      </c>
      <c r="K48" s="61">
        <v>0.65057290168744797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08"/>
      <c r="C49" s="209"/>
      <c r="D49" s="80"/>
      <c r="E49" s="80"/>
      <c r="F49" s="209"/>
      <c r="G49" s="209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10"/>
      <c r="C50" s="211"/>
      <c r="D50" s="211"/>
      <c r="E50" s="211"/>
      <c r="F50" s="211"/>
      <c r="G50" s="21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12" t="s">
        <v>116</v>
      </c>
      <c r="C51" s="213"/>
      <c r="D51" s="213"/>
      <c r="E51" s="213"/>
      <c r="F51" s="213"/>
      <c r="G51" s="21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12" t="s">
        <v>117</v>
      </c>
      <c r="C52" s="213"/>
      <c r="D52" s="213"/>
      <c r="E52" s="213"/>
      <c r="F52" s="213"/>
      <c r="G52" s="21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52202431-561B-490B-832C-4245537C0E5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B163-E54A-4916-9952-883017F759B6}">
  <dimension ref="A1:W3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83" t="s">
        <v>210</v>
      </c>
      <c r="C5" s="37"/>
      <c r="D5" s="39"/>
      <c r="E5" s="39"/>
      <c r="F5" s="39"/>
      <c r="G5" s="38"/>
      <c r="H5" s="34"/>
      <c r="I5" s="32"/>
      <c r="J5" s="32"/>
      <c r="K5" s="40" t="s">
        <v>82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9" t="s">
        <v>209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20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1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79" t="s">
        <v>1</v>
      </c>
      <c r="C11" s="95"/>
      <c r="D11" s="60">
        <v>940724.76979118201</v>
      </c>
      <c r="E11" s="61">
        <v>0</v>
      </c>
      <c r="F11" s="62"/>
      <c r="G11" s="60">
        <v>790274.85617909802</v>
      </c>
      <c r="H11" s="61">
        <v>0</v>
      </c>
      <c r="I11" s="57"/>
      <c r="J11" s="60">
        <v>719306.42915879702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79"/>
      <c r="C12" s="95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80" t="s">
        <v>206</v>
      </c>
      <c r="C13" s="91"/>
      <c r="D13" s="67">
        <v>816639.10794645804</v>
      </c>
      <c r="E13" s="68">
        <v>0.71233183966064595</v>
      </c>
      <c r="F13" s="70"/>
      <c r="G13" s="67">
        <v>603246.14835301205</v>
      </c>
      <c r="H13" s="68">
        <v>0.92936259826558898</v>
      </c>
      <c r="I13" s="41"/>
      <c r="J13" s="67">
        <v>591112.20200306806</v>
      </c>
      <c r="K13" s="68">
        <v>0.96004699146150496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80" t="s">
        <v>207</v>
      </c>
      <c r="C14" s="95"/>
      <c r="D14" s="67">
        <v>734934.72350518196</v>
      </c>
      <c r="E14" s="68">
        <v>0.71233183966064595</v>
      </c>
      <c r="F14" s="70"/>
      <c r="G14" s="67">
        <v>565664.54025785299</v>
      </c>
      <c r="H14" s="68">
        <v>0.92936259826558898</v>
      </c>
      <c r="I14" s="41"/>
      <c r="J14" s="67">
        <v>468433.293513112</v>
      </c>
      <c r="K14" s="68">
        <v>0.96004699146150496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81" t="s">
        <v>208</v>
      </c>
      <c r="C15" s="95"/>
      <c r="D15" s="67">
        <v>636232.30726064998</v>
      </c>
      <c r="E15" s="68">
        <v>1.0097642151887001</v>
      </c>
      <c r="F15" s="70"/>
      <c r="G15" s="67">
        <v>476878.08109043201</v>
      </c>
      <c r="H15" s="68">
        <v>1.2632485626064001</v>
      </c>
      <c r="I15" s="41"/>
      <c r="J15" s="67">
        <v>404666.59920967999</v>
      </c>
      <c r="K15" s="68">
        <v>1.6797430661622099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81" t="s">
        <v>211</v>
      </c>
      <c r="C16" s="95"/>
      <c r="D16" s="67">
        <v>371146.096101531</v>
      </c>
      <c r="E16" s="68">
        <v>1.0097642151887001</v>
      </c>
      <c r="F16" s="70"/>
      <c r="G16" s="67">
        <v>287907.30822543101</v>
      </c>
      <c r="H16" s="68">
        <v>1.2632485626064001</v>
      </c>
      <c r="I16" s="41"/>
      <c r="J16" s="67">
        <v>247918.54234089999</v>
      </c>
      <c r="K16" s="68">
        <v>1.6797430661622099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6.95" customHeight="1" x14ac:dyDescent="0.25">
      <c r="A17" s="41"/>
      <c r="B17" s="279"/>
      <c r="C17" s="214"/>
      <c r="D17" s="152"/>
      <c r="E17" s="152"/>
      <c r="F17" s="215"/>
      <c r="G17" s="215"/>
      <c r="H17" s="152"/>
      <c r="I17" s="152"/>
      <c r="J17" s="152"/>
      <c r="K17" s="15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82" t="s">
        <v>2</v>
      </c>
      <c r="C18" s="95"/>
      <c r="D18" s="60">
        <v>1202696.45731675</v>
      </c>
      <c r="E18" s="61">
        <v>0</v>
      </c>
      <c r="F18" s="62"/>
      <c r="G18" s="60">
        <v>732477.33212123101</v>
      </c>
      <c r="H18" s="61">
        <v>0</v>
      </c>
      <c r="I18" s="57"/>
      <c r="J18" s="60">
        <v>655788.85438650905</v>
      </c>
      <c r="K18" s="61">
        <v>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279"/>
      <c r="C19" s="95"/>
      <c r="D19" s="67"/>
      <c r="E19" s="68"/>
      <c r="F19" s="70"/>
      <c r="G19" s="67"/>
      <c r="H19" s="68"/>
      <c r="I19" s="41"/>
      <c r="J19" s="67"/>
      <c r="K19" s="68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80" t="s">
        <v>206</v>
      </c>
      <c r="C20" s="95"/>
      <c r="D20" s="67">
        <v>787259.02437341004</v>
      </c>
      <c r="E20" s="68">
        <v>1.36066728889808</v>
      </c>
      <c r="F20" s="70"/>
      <c r="G20" s="67">
        <v>464796.61776338902</v>
      </c>
      <c r="H20" s="68">
        <v>1.7524170241016801</v>
      </c>
      <c r="I20" s="41"/>
      <c r="J20" s="67">
        <v>456394.45771005802</v>
      </c>
      <c r="K20" s="68">
        <v>1.7620648532485801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80" t="s">
        <v>207</v>
      </c>
      <c r="C21" s="95"/>
      <c r="D21" s="67">
        <v>662604.64771280298</v>
      </c>
      <c r="E21" s="68">
        <v>1.36066728889808</v>
      </c>
      <c r="F21" s="70"/>
      <c r="G21" s="67">
        <v>464750.31179827498</v>
      </c>
      <c r="H21" s="68">
        <v>1.7524170241016801</v>
      </c>
      <c r="I21" s="41"/>
      <c r="J21" s="67">
        <v>356544.07553348801</v>
      </c>
      <c r="K21" s="68">
        <v>1.7620648532485801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81" t="s">
        <v>208</v>
      </c>
      <c r="C22" s="95"/>
      <c r="D22" s="67">
        <v>549489.10908993997</v>
      </c>
      <c r="E22" s="68">
        <v>1.4933633727283</v>
      </c>
      <c r="F22" s="70"/>
      <c r="G22" s="67">
        <v>377264.97512386099</v>
      </c>
      <c r="H22" s="68">
        <v>1.8284970560386999</v>
      </c>
      <c r="I22" s="41"/>
      <c r="J22" s="67">
        <v>311102.68379203603</v>
      </c>
      <c r="K22" s="68">
        <v>2.3883963839256102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281" t="s">
        <v>211</v>
      </c>
      <c r="C23" s="95"/>
      <c r="D23" s="67">
        <v>266609.58414026001</v>
      </c>
      <c r="E23" s="68">
        <v>1.4933633727283</v>
      </c>
      <c r="F23" s="70"/>
      <c r="G23" s="67">
        <v>197234.604611544</v>
      </c>
      <c r="H23" s="68">
        <v>1.8284970560386999</v>
      </c>
      <c r="I23" s="41"/>
      <c r="J23" s="67">
        <v>162814.25051573699</v>
      </c>
      <c r="K23" s="68">
        <v>2.3883963839256102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279"/>
      <c r="C24" s="216"/>
      <c r="D24" s="152"/>
      <c r="E24" s="152"/>
      <c r="F24" s="215"/>
      <c r="G24" s="215"/>
      <c r="H24" s="152"/>
      <c r="I24" s="152"/>
      <c r="J24" s="152"/>
      <c r="K24" s="152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82" t="s">
        <v>3</v>
      </c>
      <c r="C25" s="95"/>
      <c r="D25" s="60">
        <v>1215345.35573305</v>
      </c>
      <c r="E25" s="61">
        <v>0</v>
      </c>
      <c r="F25" s="62"/>
      <c r="G25" s="60">
        <v>853166.62916364695</v>
      </c>
      <c r="H25" s="61">
        <v>0</v>
      </c>
      <c r="I25" s="57"/>
      <c r="J25" s="60">
        <v>704303.09797417896</v>
      </c>
      <c r="K25" s="61">
        <v>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79"/>
      <c r="C26" s="95"/>
      <c r="D26" s="67"/>
      <c r="E26" s="68"/>
      <c r="F26" s="70"/>
      <c r="G26" s="67"/>
      <c r="H26" s="68"/>
      <c r="I26" s="41"/>
      <c r="J26" s="67"/>
      <c r="K26" s="6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80" t="s">
        <v>206</v>
      </c>
      <c r="C27" s="95"/>
      <c r="D27" s="67">
        <v>885274.08242816199</v>
      </c>
      <c r="E27" s="68">
        <v>0.84719971579684605</v>
      </c>
      <c r="F27" s="70"/>
      <c r="G27" s="67">
        <v>591873.62683249102</v>
      </c>
      <c r="H27" s="68">
        <v>1.1089752306804701</v>
      </c>
      <c r="I27" s="41"/>
      <c r="J27" s="67">
        <v>561810.56421748304</v>
      </c>
      <c r="K27" s="68">
        <v>1.15292278676027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80" t="s">
        <v>207</v>
      </c>
      <c r="C28" s="95"/>
      <c r="D28" s="67">
        <v>663526.64816281595</v>
      </c>
      <c r="E28" s="68">
        <v>0.84719971579684605</v>
      </c>
      <c r="F28" s="70"/>
      <c r="G28" s="67">
        <v>488713.01207274501</v>
      </c>
      <c r="H28" s="68">
        <v>1.1089752306804701</v>
      </c>
      <c r="I28" s="41"/>
      <c r="J28" s="67">
        <v>380478.904969697</v>
      </c>
      <c r="K28" s="68">
        <v>1.15292278676027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81" t="s">
        <v>208</v>
      </c>
      <c r="C29" s="95"/>
      <c r="D29" s="67">
        <v>518154.948919143</v>
      </c>
      <c r="E29" s="68">
        <v>1.3949582805307801</v>
      </c>
      <c r="F29" s="70"/>
      <c r="G29" s="67">
        <v>390959.94960365701</v>
      </c>
      <c r="H29" s="68">
        <v>1.78814174084505</v>
      </c>
      <c r="I29" s="41"/>
      <c r="J29" s="67">
        <v>299064.54122542503</v>
      </c>
      <c r="K29" s="68">
        <v>2.28678979654162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81" t="s">
        <v>211</v>
      </c>
      <c r="C30" s="95"/>
      <c r="D30" s="67">
        <v>319902.15624858002</v>
      </c>
      <c r="E30" s="68">
        <v>1.3949582805307801</v>
      </c>
      <c r="F30" s="70"/>
      <c r="G30" s="67">
        <v>241820.08776927501</v>
      </c>
      <c r="H30" s="68">
        <v>1.78814174084505</v>
      </c>
      <c r="I30" s="41"/>
      <c r="J30" s="67">
        <v>199938.59865577499</v>
      </c>
      <c r="K30" s="68">
        <v>2.28678979654162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6.95" customHeight="1" x14ac:dyDescent="0.25">
      <c r="A31" s="41"/>
      <c r="B31" s="217"/>
      <c r="C31" s="218"/>
      <c r="D31" s="80"/>
      <c r="E31" s="80"/>
      <c r="F31" s="219"/>
      <c r="G31" s="217"/>
      <c r="H31" s="80"/>
      <c r="I31" s="80"/>
      <c r="J31" s="80"/>
      <c r="K31" s="8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20"/>
      <c r="C32" s="221"/>
      <c r="D32" s="222"/>
      <c r="E32" s="222"/>
      <c r="F32" s="222"/>
      <c r="G32" s="22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4" customFormat="1" ht="12" customHeight="1" x14ac:dyDescent="0.2">
      <c r="A33" s="99"/>
      <c r="B33" s="106" t="s">
        <v>101</v>
      </c>
      <c r="C33" s="223"/>
      <c r="D33" s="224"/>
      <c r="E33" s="224"/>
      <c r="F33" s="224"/>
      <c r="G33" s="224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</row>
    <row r="34" spans="1:23" ht="12" customHeight="1" x14ac:dyDescent="0.25">
      <c r="A34" s="41"/>
      <c r="B34" s="307" t="s">
        <v>145</v>
      </c>
      <c r="C34" s="307"/>
      <c r="D34" s="307"/>
      <c r="E34" s="307"/>
      <c r="F34" s="307"/>
      <c r="G34" s="30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ÍNDICE" xr:uid="{B9219FC6-74C5-4D21-9935-CC029A7E3F6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78DB-3EE3-428A-B5D6-03C47815E5EB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2" t="s">
        <v>191</v>
      </c>
      <c r="C5" s="322"/>
      <c r="D5" s="322"/>
      <c r="E5" s="322"/>
      <c r="F5" s="322"/>
      <c r="G5" s="322"/>
      <c r="H5" s="34"/>
      <c r="I5" s="32"/>
      <c r="J5" s="32"/>
      <c r="K5" s="40" t="s">
        <v>81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69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40"/>
      <c r="C10" s="140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39" t="s">
        <v>1</v>
      </c>
      <c r="C11" s="225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39"/>
      <c r="C12" s="225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30" customHeight="1" x14ac:dyDescent="0.25">
      <c r="A13" s="41"/>
      <c r="B13" s="226" t="s">
        <v>151</v>
      </c>
      <c r="C13" s="227"/>
      <c r="D13" s="60">
        <v>419849.34913628502</v>
      </c>
      <c r="E13" s="61">
        <v>0.71304051391074497</v>
      </c>
      <c r="F13" s="62"/>
      <c r="G13" s="60">
        <v>232970.51887256399</v>
      </c>
      <c r="H13" s="61">
        <v>0.80141541118479198</v>
      </c>
      <c r="I13" s="57"/>
      <c r="J13" s="60">
        <v>324349.86602014699</v>
      </c>
      <c r="K13" s="61">
        <v>1.06060006096794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149"/>
      <c r="C14" s="227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62" t="s">
        <v>50</v>
      </c>
      <c r="C15" s="227"/>
      <c r="D15" s="67">
        <v>386728.18056651199</v>
      </c>
      <c r="E15" s="68">
        <v>1.4064511943210201</v>
      </c>
      <c r="F15" s="70"/>
      <c r="G15" s="67">
        <v>212661.157696168</v>
      </c>
      <c r="H15" s="68">
        <v>2.1467928483788001</v>
      </c>
      <c r="I15" s="41"/>
      <c r="J15" s="67">
        <v>301201.87433029799</v>
      </c>
      <c r="K15" s="68">
        <v>1.64618523743625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51</v>
      </c>
      <c r="C16" s="227"/>
      <c r="D16" s="67">
        <v>283467.29610228201</v>
      </c>
      <c r="E16" s="68">
        <v>1.9629084975489799</v>
      </c>
      <c r="F16" s="70"/>
      <c r="G16" s="67">
        <v>165536.60002059999</v>
      </c>
      <c r="H16" s="68">
        <v>2.93583912720581</v>
      </c>
      <c r="I16" s="41"/>
      <c r="J16" s="67">
        <v>215879.918587049</v>
      </c>
      <c r="K16" s="68">
        <v>2.6477995956727902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149</v>
      </c>
      <c r="C17" s="227"/>
      <c r="D17" s="67">
        <v>167704.977997646</v>
      </c>
      <c r="E17" s="68">
        <v>1.59587904346237</v>
      </c>
      <c r="F17" s="70"/>
      <c r="G17" s="67">
        <v>94190.009411888299</v>
      </c>
      <c r="H17" s="68">
        <v>2.10192706655647</v>
      </c>
      <c r="I17" s="41"/>
      <c r="J17" s="67">
        <v>137493.53986798599</v>
      </c>
      <c r="K17" s="68">
        <v>2.1583221136690498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30" customHeight="1" x14ac:dyDescent="0.25">
      <c r="A18" s="41"/>
      <c r="B18" s="162" t="s">
        <v>48</v>
      </c>
      <c r="C18" s="227"/>
      <c r="D18" s="67">
        <v>179927.20222429701</v>
      </c>
      <c r="E18" s="68">
        <v>1.5211784413556699</v>
      </c>
      <c r="F18" s="70"/>
      <c r="G18" s="67">
        <v>98665.695641332393</v>
      </c>
      <c r="H18" s="68">
        <v>2.14361019325171</v>
      </c>
      <c r="I18" s="41"/>
      <c r="J18" s="67">
        <v>152058.183772005</v>
      </c>
      <c r="K18" s="68">
        <v>2.1775736232624898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49</v>
      </c>
      <c r="C19" s="227"/>
      <c r="D19" s="67">
        <v>111095.16618170901</v>
      </c>
      <c r="E19" s="68">
        <v>1.06616773537955</v>
      </c>
      <c r="F19" s="70"/>
      <c r="G19" s="67">
        <v>67702.661106343905</v>
      </c>
      <c r="H19" s="68">
        <v>1.5715887884400399</v>
      </c>
      <c r="I19" s="41"/>
      <c r="J19" s="67">
        <v>87402.572612624703</v>
      </c>
      <c r="K19" s="68">
        <v>1.4313781221311801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159</v>
      </c>
      <c r="C20" s="227"/>
      <c r="D20" s="67">
        <v>96902.615690869701</v>
      </c>
      <c r="E20" s="68">
        <v>0.92073906696650798</v>
      </c>
      <c r="F20" s="70"/>
      <c r="G20" s="67">
        <v>43509.629779667201</v>
      </c>
      <c r="H20" s="68">
        <v>1.03919837977824</v>
      </c>
      <c r="I20" s="41"/>
      <c r="J20" s="67">
        <v>83852.161331794006</v>
      </c>
      <c r="K20" s="68">
        <v>1.3161605990059899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162"/>
      <c r="C21" s="227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30" customHeight="1" x14ac:dyDescent="0.25">
      <c r="A22" s="57"/>
      <c r="B22" s="226" t="s">
        <v>150</v>
      </c>
      <c r="C22" s="227"/>
      <c r="D22" s="60">
        <v>764838.17146841902</v>
      </c>
      <c r="E22" s="61">
        <v>0.71304051391074497</v>
      </c>
      <c r="F22" s="62"/>
      <c r="G22" s="60">
        <v>565454.41737982002</v>
      </c>
      <c r="H22" s="61">
        <v>0.80141541118479198</v>
      </c>
      <c r="I22" s="57"/>
      <c r="J22" s="60">
        <v>529685.83372969704</v>
      </c>
      <c r="K22" s="61">
        <v>1.06060006096794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28"/>
      <c r="C23" s="227"/>
      <c r="D23" s="131"/>
      <c r="E23" s="131"/>
      <c r="F23" s="229"/>
      <c r="G23" s="131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5" customFormat="1" ht="15" customHeight="1" x14ac:dyDescent="0.25">
      <c r="A24" s="143"/>
      <c r="B24" s="230" t="s">
        <v>2</v>
      </c>
      <c r="C24" s="231"/>
      <c r="D24" s="60">
        <v>787259.02437341004</v>
      </c>
      <c r="E24" s="61">
        <v>0</v>
      </c>
      <c r="F24" s="62"/>
      <c r="G24" s="60">
        <v>464796.61776338902</v>
      </c>
      <c r="H24" s="61">
        <v>0</v>
      </c>
      <c r="I24" s="57"/>
      <c r="J24" s="60">
        <v>456394.45771005802</v>
      </c>
      <c r="K24" s="61">
        <v>0</v>
      </c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 spans="1:23" s="5" customFormat="1" ht="6.95" customHeight="1" x14ac:dyDescent="0.25">
      <c r="A25" s="143"/>
      <c r="B25" s="232"/>
      <c r="C25" s="231"/>
      <c r="D25" s="67"/>
      <c r="E25" s="68"/>
      <c r="F25" s="62"/>
      <c r="G25" s="67"/>
      <c r="H25" s="68"/>
      <c r="I25" s="57"/>
      <c r="J25" s="67"/>
      <c r="K25" s="68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 spans="1:23" s="6" customFormat="1" ht="30" customHeight="1" x14ac:dyDescent="0.25">
      <c r="A26" s="57"/>
      <c r="B26" s="226" t="s">
        <v>151</v>
      </c>
      <c r="C26" s="227"/>
      <c r="D26" s="60">
        <v>241860.156323139</v>
      </c>
      <c r="E26" s="61">
        <v>1.3927184104300501</v>
      </c>
      <c r="F26" s="62"/>
      <c r="G26" s="60">
        <v>100917.408118637</v>
      </c>
      <c r="H26" s="61">
        <v>1.15149507078721</v>
      </c>
      <c r="I26" s="57"/>
      <c r="J26" s="60">
        <v>186974.941510562</v>
      </c>
      <c r="K26" s="61">
        <v>2.2095623867867502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s="6" customFormat="1" ht="6.95" customHeight="1" x14ac:dyDescent="0.25">
      <c r="A27" s="57"/>
      <c r="B27" s="149"/>
      <c r="C27" s="227"/>
      <c r="D27" s="67"/>
      <c r="E27" s="68"/>
      <c r="F27" s="70"/>
      <c r="G27" s="67"/>
      <c r="H27" s="68"/>
      <c r="I27" s="41"/>
      <c r="J27" s="67"/>
      <c r="K27" s="68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30" customHeight="1" x14ac:dyDescent="0.25">
      <c r="A28" s="41"/>
      <c r="B28" s="162" t="s">
        <v>50</v>
      </c>
      <c r="C28" s="227"/>
      <c r="D28" s="67">
        <v>201715.794094582</v>
      </c>
      <c r="E28" s="68">
        <v>3.7555866841698502</v>
      </c>
      <c r="F28" s="70"/>
      <c r="G28" s="67">
        <v>81187.271244852207</v>
      </c>
      <c r="H28" s="68">
        <v>5.8071560335888099</v>
      </c>
      <c r="I28" s="41"/>
      <c r="J28" s="67">
        <v>158322.710491504</v>
      </c>
      <c r="K28" s="68">
        <v>3.9642333315836402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62" t="s">
        <v>51</v>
      </c>
      <c r="C29" s="227"/>
      <c r="D29" s="67">
        <v>148612.472199774</v>
      </c>
      <c r="E29" s="68">
        <v>5.7374274104506497</v>
      </c>
      <c r="F29" s="70"/>
      <c r="G29" s="67">
        <v>84767.747585473699</v>
      </c>
      <c r="H29" s="68">
        <v>6.4467760684299602</v>
      </c>
      <c r="I29" s="41"/>
      <c r="J29" s="67">
        <v>103215.683424389</v>
      </c>
      <c r="K29" s="68">
        <v>7.4836822987098799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30" customHeight="1" x14ac:dyDescent="0.25">
      <c r="A30" s="41"/>
      <c r="B30" s="162" t="s">
        <v>149</v>
      </c>
      <c r="C30" s="227"/>
      <c r="D30" s="67">
        <v>72809.448349167302</v>
      </c>
      <c r="E30" s="68">
        <v>3.8091215683961499</v>
      </c>
      <c r="F30" s="70"/>
      <c r="G30" s="67">
        <v>24334.441312674498</v>
      </c>
      <c r="H30" s="68">
        <v>3.1902859477105499</v>
      </c>
      <c r="I30" s="41"/>
      <c r="J30" s="67">
        <v>66448.437700591996</v>
      </c>
      <c r="K30" s="68">
        <v>5.6614706442384399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30" customHeight="1" x14ac:dyDescent="0.25">
      <c r="A31" s="41"/>
      <c r="B31" s="162" t="s">
        <v>48</v>
      </c>
      <c r="C31" s="227"/>
      <c r="D31" s="67">
        <v>77773.991903489397</v>
      </c>
      <c r="E31" s="68">
        <v>3.5206702400001002</v>
      </c>
      <c r="F31" s="70"/>
      <c r="G31" s="67">
        <v>35225.584574283501</v>
      </c>
      <c r="H31" s="68">
        <v>4.5325095171730201</v>
      </c>
      <c r="I31" s="41"/>
      <c r="J31" s="67">
        <v>68647.892916305005</v>
      </c>
      <c r="K31" s="68">
        <v>4.87086099236745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49</v>
      </c>
      <c r="C32" s="227"/>
      <c r="D32" s="67">
        <v>51624.956568000198</v>
      </c>
      <c r="E32" s="68">
        <v>2.7531737641625602</v>
      </c>
      <c r="F32" s="70"/>
      <c r="G32" s="67">
        <v>34336.773880420798</v>
      </c>
      <c r="H32" s="68">
        <v>4.3706989793206903</v>
      </c>
      <c r="I32" s="41"/>
      <c r="J32" s="67">
        <v>38770.519037594102</v>
      </c>
      <c r="K32" s="68">
        <v>3.4372635311484001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2" t="s">
        <v>159</v>
      </c>
      <c r="C33" s="227"/>
      <c r="D33" s="67">
        <v>49736.891021096599</v>
      </c>
      <c r="E33" s="68">
        <v>2.2392967321701098</v>
      </c>
      <c r="F33" s="70"/>
      <c r="G33" s="67">
        <v>19972.764380525801</v>
      </c>
      <c r="H33" s="68">
        <v>2.6555179325395901</v>
      </c>
      <c r="I33" s="41"/>
      <c r="J33" s="67">
        <v>45550.488597208801</v>
      </c>
      <c r="K33" s="68">
        <v>3.1720865719007101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62"/>
      <c r="C34" s="227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30" customHeight="1" x14ac:dyDescent="0.25">
      <c r="A35" s="57"/>
      <c r="B35" s="226" t="s">
        <v>150</v>
      </c>
      <c r="C35" s="227"/>
      <c r="D35" s="60">
        <v>706631.39153611998</v>
      </c>
      <c r="E35" s="61">
        <v>1.3927184104300501</v>
      </c>
      <c r="F35" s="62"/>
      <c r="G35" s="60">
        <v>429066.580440349</v>
      </c>
      <c r="H35" s="61">
        <v>1.15149507078721</v>
      </c>
      <c r="I35" s="57"/>
      <c r="J35" s="60">
        <v>405776.75418944401</v>
      </c>
      <c r="K35" s="61">
        <v>2.2095623867867502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s="5" customFormat="1" ht="6.95" customHeight="1" x14ac:dyDescent="0.25">
      <c r="A36" s="143"/>
      <c r="B36" s="232"/>
      <c r="C36" s="231"/>
      <c r="D36" s="131"/>
      <c r="E36" s="131"/>
      <c r="F36" s="94"/>
      <c r="G36" s="205"/>
      <c r="H36" s="131"/>
      <c r="I36" s="131"/>
      <c r="J36" s="131"/>
      <c r="K36" s="131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 spans="1:23" s="5" customFormat="1" ht="15" customHeight="1" x14ac:dyDescent="0.25">
      <c r="A37" s="143"/>
      <c r="B37" s="230" t="s">
        <v>3</v>
      </c>
      <c r="C37" s="233"/>
      <c r="D37" s="60">
        <v>885274.08242816199</v>
      </c>
      <c r="E37" s="61">
        <v>0</v>
      </c>
      <c r="F37" s="62"/>
      <c r="G37" s="60">
        <v>591873.62683249102</v>
      </c>
      <c r="H37" s="61">
        <v>0</v>
      </c>
      <c r="I37" s="57"/>
      <c r="J37" s="60">
        <v>561810.56421748304</v>
      </c>
      <c r="K37" s="61">
        <v>0</v>
      </c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 spans="1:23" s="5" customFormat="1" ht="6.95" customHeight="1" x14ac:dyDescent="0.25">
      <c r="A38" s="143"/>
      <c r="B38" s="232"/>
      <c r="C38" s="234"/>
      <c r="D38" s="67"/>
      <c r="E38" s="68"/>
      <c r="F38" s="62"/>
      <c r="G38" s="67"/>
      <c r="H38" s="68"/>
      <c r="I38" s="57"/>
      <c r="J38" s="67"/>
      <c r="K38" s="68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 spans="1:23" s="6" customFormat="1" ht="30" customHeight="1" x14ac:dyDescent="0.25">
      <c r="A39" s="57"/>
      <c r="B39" s="226" t="s">
        <v>151</v>
      </c>
      <c r="C39" s="227"/>
      <c r="D39" s="60">
        <v>360498.72729872301</v>
      </c>
      <c r="E39" s="61">
        <v>0.82277046119789599</v>
      </c>
      <c r="F39" s="62"/>
      <c r="G39" s="60">
        <v>214846.47937973501</v>
      </c>
      <c r="H39" s="61">
        <v>1.02565452595197</v>
      </c>
      <c r="I39" s="57"/>
      <c r="J39" s="60">
        <v>271142.71516887599</v>
      </c>
      <c r="K39" s="61">
        <v>1.1705069147178999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s="6" customFormat="1" ht="6.95" customHeight="1" x14ac:dyDescent="0.25">
      <c r="A40" s="57"/>
      <c r="B40" s="149"/>
      <c r="C40" s="227"/>
      <c r="D40" s="67"/>
      <c r="E40" s="68"/>
      <c r="F40" s="70"/>
      <c r="G40" s="67"/>
      <c r="H40" s="68"/>
      <c r="I40" s="41"/>
      <c r="J40" s="67"/>
      <c r="K40" s="68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30" customHeight="1" x14ac:dyDescent="0.25">
      <c r="A41" s="41"/>
      <c r="B41" s="162" t="s">
        <v>50</v>
      </c>
      <c r="C41" s="227"/>
      <c r="D41" s="67">
        <v>341740.41920379602</v>
      </c>
      <c r="E41" s="68">
        <v>1.4761544304780301</v>
      </c>
      <c r="F41" s="70"/>
      <c r="G41" s="67">
        <v>199559.74779588101</v>
      </c>
      <c r="H41" s="68">
        <v>2.2485971544560202</v>
      </c>
      <c r="I41" s="41"/>
      <c r="J41" s="67">
        <v>260992.29762655299</v>
      </c>
      <c r="K41" s="68">
        <v>1.80571844662064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62" t="s">
        <v>51</v>
      </c>
      <c r="C42" s="227"/>
      <c r="D42" s="67">
        <v>249111.16360711001</v>
      </c>
      <c r="E42" s="68">
        <v>2.0356976864477101</v>
      </c>
      <c r="F42" s="70"/>
      <c r="G42" s="67">
        <v>146977.21031757601</v>
      </c>
      <c r="H42" s="68">
        <v>3.2619050722414502</v>
      </c>
      <c r="I42" s="41"/>
      <c r="J42" s="67">
        <v>191650.17142340599</v>
      </c>
      <c r="K42" s="68">
        <v>2.7087910381906699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30" customHeight="1" x14ac:dyDescent="0.25">
      <c r="A43" s="41"/>
      <c r="B43" s="162" t="s">
        <v>149</v>
      </c>
      <c r="C43" s="227"/>
      <c r="D43" s="67">
        <v>153848.84247921099</v>
      </c>
      <c r="E43" s="68">
        <v>1.75020638545003</v>
      </c>
      <c r="F43" s="70"/>
      <c r="G43" s="67">
        <v>90996.871882196894</v>
      </c>
      <c r="H43" s="68">
        <v>2.4384747034766598</v>
      </c>
      <c r="I43" s="41"/>
      <c r="J43" s="67">
        <v>121725.638820391</v>
      </c>
      <c r="K43" s="68">
        <v>2.30833901656607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30" customHeight="1" x14ac:dyDescent="0.25">
      <c r="A44" s="41"/>
      <c r="B44" s="162" t="s">
        <v>48</v>
      </c>
      <c r="C44" s="227"/>
      <c r="D44" s="67">
        <v>164847.25059565899</v>
      </c>
      <c r="E44" s="68">
        <v>1.6849346480588201</v>
      </c>
      <c r="F44" s="70"/>
      <c r="G44" s="67">
        <v>92194.990773837795</v>
      </c>
      <c r="H44" s="68">
        <v>2.4186750934738601</v>
      </c>
      <c r="I44" s="41"/>
      <c r="J44" s="67">
        <v>137260.549385844</v>
      </c>
      <c r="K44" s="68">
        <v>2.4333306712498799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62" t="s">
        <v>49</v>
      </c>
      <c r="C45" s="227"/>
      <c r="D45" s="67">
        <v>99639.330853635605</v>
      </c>
      <c r="E45" s="68">
        <v>1.1446477992614801</v>
      </c>
      <c r="F45" s="70"/>
      <c r="G45" s="67">
        <v>59054.592136135398</v>
      </c>
      <c r="H45" s="68">
        <v>1.6450971033797599</v>
      </c>
      <c r="I45" s="41"/>
      <c r="J45" s="67">
        <v>78332.985088407702</v>
      </c>
      <c r="K45" s="68">
        <v>1.5433024260372601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62" t="s">
        <v>159</v>
      </c>
      <c r="C46" s="227"/>
      <c r="D46" s="67">
        <v>84928.281363907707</v>
      </c>
      <c r="E46" s="68">
        <v>1.02135996543144</v>
      </c>
      <c r="F46" s="70"/>
      <c r="G46" s="67">
        <v>39711.272185157999</v>
      </c>
      <c r="H46" s="68">
        <v>1.1576863938172699</v>
      </c>
      <c r="I46" s="41"/>
      <c r="J46" s="67">
        <v>70949.586733876698</v>
      </c>
      <c r="K46" s="68">
        <v>1.44718492409426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62"/>
      <c r="C47" s="227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30" customHeight="1" x14ac:dyDescent="0.25">
      <c r="A48" s="57"/>
      <c r="B48" s="226" t="s">
        <v>150</v>
      </c>
      <c r="C48" s="227"/>
      <c r="D48" s="60">
        <v>790522.24685206101</v>
      </c>
      <c r="E48" s="61">
        <v>0.82277046119789599</v>
      </c>
      <c r="F48" s="62"/>
      <c r="G48" s="60">
        <v>545937.93486277002</v>
      </c>
      <c r="H48" s="61">
        <v>1.02565452595197</v>
      </c>
      <c r="I48" s="57"/>
      <c r="J48" s="60">
        <v>479564.43331760599</v>
      </c>
      <c r="K48" s="61">
        <v>1.1705069147178999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35"/>
      <c r="C49" s="236"/>
      <c r="D49" s="80"/>
      <c r="E49" s="80"/>
      <c r="F49" s="237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7.15" customHeight="1" x14ac:dyDescent="0.25">
      <c r="A50" s="41"/>
      <c r="B50" s="238"/>
      <c r="C50" s="97"/>
      <c r="D50" s="239"/>
      <c r="E50" s="239"/>
      <c r="F50" s="240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41" t="s">
        <v>199</v>
      </c>
      <c r="C51" s="242"/>
      <c r="D51" s="243"/>
      <c r="E51" s="243"/>
      <c r="F51" s="244"/>
      <c r="G51" s="14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41" t="s">
        <v>213</v>
      </c>
      <c r="C52" s="242"/>
      <c r="D52" s="243"/>
      <c r="E52" s="243"/>
      <c r="F52" s="244"/>
      <c r="G52" s="14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7B5F7465-3B2F-4C48-99EA-A31F3041420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01D1-5165-43D1-B6BF-31B8F19FBB46}">
  <dimension ref="A1:W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152</v>
      </c>
      <c r="C5" s="37"/>
      <c r="D5" s="39"/>
      <c r="E5" s="39"/>
      <c r="F5" s="39"/>
      <c r="G5" s="38"/>
      <c r="H5" s="34"/>
      <c r="I5" s="32"/>
      <c r="J5" s="32"/>
      <c r="K5" s="40" t="s">
        <v>80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70</v>
      </c>
      <c r="C7" s="42"/>
      <c r="D7" s="308" t="s">
        <v>194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636232.30726064998</v>
      </c>
      <c r="E11" s="61">
        <v>0</v>
      </c>
      <c r="F11" s="62"/>
      <c r="G11" s="60">
        <v>476878.08109043201</v>
      </c>
      <c r="H11" s="61">
        <v>0</v>
      </c>
      <c r="I11" s="57"/>
      <c r="J11" s="60">
        <v>404666.59920967999</v>
      </c>
      <c r="K11" s="61">
        <v>0</v>
      </c>
      <c r="L11" s="246"/>
      <c r="M11" s="246"/>
      <c r="N11" s="246"/>
      <c r="O11" s="246"/>
      <c r="P11" s="246"/>
      <c r="Q11" s="246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247"/>
      <c r="M12" s="247"/>
      <c r="N12" s="247"/>
      <c r="O12" s="247"/>
      <c r="P12" s="247"/>
      <c r="Q12" s="247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52</v>
      </c>
      <c r="C13" s="91"/>
      <c r="D13" s="67">
        <v>60335.829704708303</v>
      </c>
      <c r="E13" s="68">
        <v>0.26957107652151702</v>
      </c>
      <c r="F13" s="70"/>
      <c r="G13" s="67">
        <v>36056.155216550702</v>
      </c>
      <c r="H13" s="68">
        <v>0.268049004208054</v>
      </c>
      <c r="I13" s="41"/>
      <c r="J13" s="67">
        <v>50244.5171187862</v>
      </c>
      <c r="K13" s="68">
        <v>0.56821934925155204</v>
      </c>
      <c r="L13" s="247"/>
      <c r="M13" s="247"/>
      <c r="N13" s="247"/>
      <c r="O13" s="247"/>
      <c r="P13" s="247"/>
      <c r="Q13" s="247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53</v>
      </c>
      <c r="C14" s="95"/>
      <c r="D14" s="67">
        <v>106421.51070026</v>
      </c>
      <c r="E14" s="68">
        <v>0.46984402307988399</v>
      </c>
      <c r="F14" s="70"/>
      <c r="G14" s="67">
        <v>81487.5625806842</v>
      </c>
      <c r="H14" s="68">
        <v>0.59229340933728103</v>
      </c>
      <c r="I14" s="41"/>
      <c r="J14" s="67">
        <v>71070.884549989598</v>
      </c>
      <c r="K14" s="68">
        <v>0.79139269403674894</v>
      </c>
      <c r="L14" s="247"/>
      <c r="M14" s="247"/>
      <c r="N14" s="247"/>
      <c r="O14" s="247"/>
      <c r="P14" s="247"/>
      <c r="Q14" s="247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54</v>
      </c>
      <c r="C15" s="95"/>
      <c r="D15" s="67">
        <v>123389.565090659</v>
      </c>
      <c r="E15" s="68">
        <v>0.53815821152169396</v>
      </c>
      <c r="F15" s="70"/>
      <c r="G15" s="67">
        <v>80608.644126971703</v>
      </c>
      <c r="H15" s="68">
        <v>0.60132002480360902</v>
      </c>
      <c r="I15" s="41"/>
      <c r="J15" s="67">
        <v>94565.039139243294</v>
      </c>
      <c r="K15" s="68">
        <v>1.0105382417104201</v>
      </c>
      <c r="L15" s="247"/>
      <c r="M15" s="247"/>
      <c r="N15" s="247"/>
      <c r="O15" s="247"/>
      <c r="P15" s="247"/>
      <c r="Q15" s="247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55</v>
      </c>
      <c r="C16" s="95"/>
      <c r="D16" s="67">
        <v>179599.85966366899</v>
      </c>
      <c r="E16" s="68">
        <v>0.76554779209367196</v>
      </c>
      <c r="F16" s="70"/>
      <c r="G16" s="67">
        <v>143386.12382835301</v>
      </c>
      <c r="H16" s="68">
        <v>0.99184885913278198</v>
      </c>
      <c r="I16" s="41"/>
      <c r="J16" s="67">
        <v>111628.225535135</v>
      </c>
      <c r="K16" s="68">
        <v>1.2447902204592201</v>
      </c>
      <c r="L16" s="247"/>
      <c r="M16" s="247"/>
      <c r="N16" s="247"/>
      <c r="O16" s="247"/>
      <c r="P16" s="247"/>
      <c r="Q16" s="247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56</v>
      </c>
      <c r="C17" s="95"/>
      <c r="D17" s="67">
        <v>118818.091062092</v>
      </c>
      <c r="E17" s="68">
        <v>0.52697625422698502</v>
      </c>
      <c r="F17" s="70"/>
      <c r="G17" s="67">
        <v>99667.645107595396</v>
      </c>
      <c r="H17" s="68">
        <v>0.72808320191896303</v>
      </c>
      <c r="I17" s="41"/>
      <c r="J17" s="67">
        <v>66583.798731903007</v>
      </c>
      <c r="K17" s="68">
        <v>0.74255822455078102</v>
      </c>
      <c r="L17" s="247"/>
      <c r="M17" s="247"/>
      <c r="N17" s="247"/>
      <c r="O17" s="247"/>
      <c r="P17" s="247"/>
      <c r="Q17" s="247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57</v>
      </c>
      <c r="C18" s="95"/>
      <c r="D18" s="67">
        <v>373649.86151301197</v>
      </c>
      <c r="E18" s="68">
        <v>1.34007350408481</v>
      </c>
      <c r="F18" s="70"/>
      <c r="G18" s="67">
        <v>282511.893585318</v>
      </c>
      <c r="H18" s="68">
        <v>1.6796501543707301</v>
      </c>
      <c r="I18" s="41"/>
      <c r="J18" s="67">
        <v>248136.645888639</v>
      </c>
      <c r="K18" s="68">
        <v>2.1765248968584601</v>
      </c>
      <c r="L18" s="247"/>
      <c r="M18" s="247"/>
      <c r="N18" s="247"/>
      <c r="O18" s="247"/>
      <c r="P18" s="247"/>
      <c r="Q18" s="247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58</v>
      </c>
      <c r="C19" s="95"/>
      <c r="D19" s="67">
        <v>360490.47468998801</v>
      </c>
      <c r="E19" s="68">
        <v>1.3144405369851</v>
      </c>
      <c r="F19" s="70"/>
      <c r="G19" s="67">
        <v>293168.439493132</v>
      </c>
      <c r="H19" s="68">
        <v>1.78410285398234</v>
      </c>
      <c r="I19" s="41"/>
      <c r="J19" s="67">
        <v>185566.55485844199</v>
      </c>
      <c r="K19" s="68">
        <v>1.8166268390387901</v>
      </c>
      <c r="L19" s="247"/>
      <c r="M19" s="247"/>
      <c r="N19" s="247"/>
      <c r="O19" s="247"/>
      <c r="P19" s="247"/>
      <c r="Q19" s="247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59</v>
      </c>
      <c r="C20" s="95"/>
      <c r="D20" s="67">
        <v>164745.25542610101</v>
      </c>
      <c r="E20" s="68">
        <v>0.71193445549767298</v>
      </c>
      <c r="F20" s="70"/>
      <c r="G20" s="67">
        <v>123360.197015949</v>
      </c>
      <c r="H20" s="68">
        <v>0.87710615323083896</v>
      </c>
      <c r="I20" s="41"/>
      <c r="J20" s="67">
        <v>96193.018585676997</v>
      </c>
      <c r="K20" s="68">
        <v>1.0484453344007301</v>
      </c>
      <c r="L20" s="247"/>
      <c r="M20" s="247"/>
      <c r="N20" s="247"/>
      <c r="O20" s="247"/>
      <c r="P20" s="247"/>
      <c r="Q20" s="247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60</v>
      </c>
      <c r="C21" s="95"/>
      <c r="D21" s="67">
        <v>43545.411608375704</v>
      </c>
      <c r="E21" s="68">
        <v>0.19534218846564899</v>
      </c>
      <c r="F21" s="70"/>
      <c r="G21" s="67">
        <v>33959.919037006002</v>
      </c>
      <c r="H21" s="68">
        <v>0.25041902523495602</v>
      </c>
      <c r="I21" s="41"/>
      <c r="J21" s="67">
        <v>27770.987270891201</v>
      </c>
      <c r="K21" s="68">
        <v>0.31699466689560701</v>
      </c>
      <c r="L21" s="247"/>
      <c r="M21" s="247"/>
      <c r="N21" s="247"/>
      <c r="O21" s="247"/>
      <c r="P21" s="247"/>
      <c r="Q21" s="247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41</v>
      </c>
      <c r="C22" s="95"/>
      <c r="D22" s="67">
        <v>65715.678246882904</v>
      </c>
      <c r="E22" s="68">
        <v>0.29462023096515699</v>
      </c>
      <c r="F22" s="70"/>
      <c r="G22" s="67">
        <v>35685.372975049897</v>
      </c>
      <c r="H22" s="68">
        <v>0.26266605180539099</v>
      </c>
      <c r="I22" s="41"/>
      <c r="J22" s="67">
        <v>55050.763408234503</v>
      </c>
      <c r="K22" s="68">
        <v>0.62257358632271897</v>
      </c>
      <c r="L22" s="247"/>
      <c r="M22" s="247"/>
      <c r="N22" s="247"/>
      <c r="O22" s="247"/>
      <c r="P22" s="247"/>
      <c r="Q22" s="247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42</v>
      </c>
      <c r="C23" s="95"/>
      <c r="D23" s="67">
        <v>0</v>
      </c>
      <c r="E23" s="68">
        <v>0</v>
      </c>
      <c r="F23" s="70"/>
      <c r="G23" s="67">
        <v>0</v>
      </c>
      <c r="H23" s="68">
        <v>0</v>
      </c>
      <c r="I23" s="41"/>
      <c r="J23" s="67">
        <v>0</v>
      </c>
      <c r="K23" s="68">
        <v>0</v>
      </c>
      <c r="L23" s="247"/>
      <c r="M23" s="247"/>
      <c r="N23" s="247"/>
      <c r="O23" s="247"/>
      <c r="P23" s="247"/>
      <c r="Q23" s="247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76"/>
      <c r="C24" s="95"/>
      <c r="D24" s="67"/>
      <c r="E24" s="68"/>
      <c r="F24" s="70"/>
      <c r="G24" s="67"/>
      <c r="H24" s="68"/>
      <c r="I24" s="41"/>
      <c r="J24" s="67"/>
      <c r="K24" s="68"/>
      <c r="L24" s="247"/>
      <c r="M24" s="247"/>
      <c r="N24" s="247"/>
      <c r="O24" s="247"/>
      <c r="P24" s="247"/>
      <c r="Q24" s="247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248" t="s">
        <v>2</v>
      </c>
      <c r="C25" s="95"/>
      <c r="D25" s="60">
        <v>549489.10908993997</v>
      </c>
      <c r="E25" s="61">
        <v>0</v>
      </c>
      <c r="F25" s="62"/>
      <c r="G25" s="60">
        <v>377264.97512386099</v>
      </c>
      <c r="H25" s="61">
        <v>0</v>
      </c>
      <c r="I25" s="57"/>
      <c r="J25" s="60">
        <v>311102.68379203603</v>
      </c>
      <c r="K25" s="61">
        <v>0</v>
      </c>
      <c r="L25" s="246"/>
      <c r="M25" s="246"/>
      <c r="N25" s="246"/>
      <c r="O25" s="246"/>
      <c r="P25" s="246"/>
      <c r="Q25" s="246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249"/>
      <c r="C26" s="95"/>
      <c r="D26" s="67"/>
      <c r="E26" s="68"/>
      <c r="F26" s="70"/>
      <c r="G26" s="67"/>
      <c r="H26" s="68"/>
      <c r="I26" s="41"/>
      <c r="J26" s="67"/>
      <c r="K26" s="68"/>
      <c r="L26" s="247"/>
      <c r="M26" s="247"/>
      <c r="N26" s="247"/>
      <c r="O26" s="247"/>
      <c r="P26" s="247"/>
      <c r="Q26" s="247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10" t="s">
        <v>52</v>
      </c>
      <c r="C27" s="91"/>
      <c r="D27" s="67">
        <v>59066.443749015001</v>
      </c>
      <c r="E27" s="68">
        <v>0.55023008085931902</v>
      </c>
      <c r="F27" s="70"/>
      <c r="G27" s="67">
        <v>34051.936582226903</v>
      </c>
      <c r="H27" s="68">
        <v>0.55053344417622596</v>
      </c>
      <c r="I27" s="41"/>
      <c r="J27" s="67">
        <v>50134.378180047301</v>
      </c>
      <c r="K27" s="68">
        <v>1.12357366437262</v>
      </c>
      <c r="L27" s="247"/>
      <c r="M27" s="247"/>
      <c r="N27" s="247"/>
      <c r="O27" s="247"/>
      <c r="P27" s="247"/>
      <c r="Q27" s="247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53</v>
      </c>
      <c r="C28" s="95"/>
      <c r="D28" s="67">
        <v>62434.189595124903</v>
      </c>
      <c r="E28" s="68">
        <v>0.56819223787933204</v>
      </c>
      <c r="F28" s="70"/>
      <c r="G28" s="67">
        <v>41704.755409105703</v>
      </c>
      <c r="H28" s="68">
        <v>0.66777997015271395</v>
      </c>
      <c r="I28" s="41"/>
      <c r="J28" s="67">
        <v>43930.0713065663</v>
      </c>
      <c r="K28" s="68">
        <v>0.97273981522150299</v>
      </c>
      <c r="L28" s="247"/>
      <c r="M28" s="247"/>
      <c r="N28" s="247"/>
      <c r="O28" s="247"/>
      <c r="P28" s="247"/>
      <c r="Q28" s="247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54</v>
      </c>
      <c r="C29" s="95"/>
      <c r="D29" s="67">
        <v>69185.7516449291</v>
      </c>
      <c r="E29" s="68">
        <v>0.62870669146970903</v>
      </c>
      <c r="F29" s="70"/>
      <c r="G29" s="67">
        <v>41287.947160158001</v>
      </c>
      <c r="H29" s="68">
        <v>0.68873495301533805</v>
      </c>
      <c r="I29" s="41"/>
      <c r="J29" s="67">
        <v>57354.470559760899</v>
      </c>
      <c r="K29" s="68">
        <v>1.20895752637985</v>
      </c>
      <c r="L29" s="247"/>
      <c r="M29" s="247"/>
      <c r="N29" s="247"/>
      <c r="O29" s="247"/>
      <c r="P29" s="247"/>
      <c r="Q29" s="247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55</v>
      </c>
      <c r="C30" s="95"/>
      <c r="D30" s="67">
        <v>102065.390664647</v>
      </c>
      <c r="E30" s="68">
        <v>0.89322367697504201</v>
      </c>
      <c r="F30" s="70"/>
      <c r="G30" s="67">
        <v>93957.3378694938</v>
      </c>
      <c r="H30" s="68">
        <v>1.3567061616787299</v>
      </c>
      <c r="I30" s="41"/>
      <c r="J30" s="67">
        <v>39003.2508772086</v>
      </c>
      <c r="K30" s="68">
        <v>0.91372924720593895</v>
      </c>
      <c r="L30" s="247"/>
      <c r="M30" s="247"/>
      <c r="N30" s="247"/>
      <c r="O30" s="247"/>
      <c r="P30" s="247"/>
      <c r="Q30" s="247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56</v>
      </c>
      <c r="C31" s="95"/>
      <c r="D31" s="67">
        <v>54739.357718712301</v>
      </c>
      <c r="E31" s="68">
        <v>0.49870056071848601</v>
      </c>
      <c r="F31" s="70"/>
      <c r="G31" s="67">
        <v>41303.957534357403</v>
      </c>
      <c r="H31" s="68">
        <v>0.67344001241308904</v>
      </c>
      <c r="I31" s="41"/>
      <c r="J31" s="67">
        <v>33365.015126626298</v>
      </c>
      <c r="K31" s="68">
        <v>0.72268845053983199</v>
      </c>
      <c r="L31" s="247"/>
      <c r="M31" s="247"/>
      <c r="N31" s="247"/>
      <c r="O31" s="247"/>
      <c r="P31" s="247"/>
      <c r="Q31" s="247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57</v>
      </c>
      <c r="C32" s="95"/>
      <c r="D32" s="67">
        <v>299445.63815396401</v>
      </c>
      <c r="E32" s="68">
        <v>2.0548365110021698</v>
      </c>
      <c r="F32" s="70"/>
      <c r="G32" s="67">
        <v>206917.39400007599</v>
      </c>
      <c r="H32" s="68">
        <v>2.4757673134581202</v>
      </c>
      <c r="I32" s="41"/>
      <c r="J32" s="67">
        <v>178716.50254755601</v>
      </c>
      <c r="K32" s="68">
        <v>3.02508552442595</v>
      </c>
      <c r="L32" s="247"/>
      <c r="M32" s="247"/>
      <c r="N32" s="247"/>
      <c r="O32" s="247"/>
      <c r="P32" s="247"/>
      <c r="Q32" s="247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58</v>
      </c>
      <c r="C33" s="95"/>
      <c r="D33" s="67">
        <v>282194.092481456</v>
      </c>
      <c r="E33" s="68">
        <v>2.0431100753150302</v>
      </c>
      <c r="F33" s="70"/>
      <c r="G33" s="67">
        <v>221004.16863736499</v>
      </c>
      <c r="H33" s="68">
        <v>2.8436629254667198</v>
      </c>
      <c r="I33" s="41"/>
      <c r="J33" s="67">
        <v>149602.516868437</v>
      </c>
      <c r="K33" s="68">
        <v>2.6908988321885801</v>
      </c>
      <c r="L33" s="247"/>
      <c r="M33" s="247"/>
      <c r="N33" s="247"/>
      <c r="O33" s="247"/>
      <c r="P33" s="247"/>
      <c r="Q33" s="247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59</v>
      </c>
      <c r="C34" s="95"/>
      <c r="D34" s="67">
        <v>123951.486806186</v>
      </c>
      <c r="E34" s="68">
        <v>1.10350583488251</v>
      </c>
      <c r="F34" s="70"/>
      <c r="G34" s="67">
        <v>95787.9629744985</v>
      </c>
      <c r="H34" s="68">
        <v>1.42127556657954</v>
      </c>
      <c r="I34" s="41"/>
      <c r="J34" s="67">
        <v>61135.013957347503</v>
      </c>
      <c r="K34" s="68">
        <v>1.3182133653005199</v>
      </c>
      <c r="L34" s="247"/>
      <c r="M34" s="247"/>
      <c r="N34" s="247"/>
      <c r="O34" s="247"/>
      <c r="P34" s="247"/>
      <c r="Q34" s="247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0" t="s">
        <v>60</v>
      </c>
      <c r="C35" s="95"/>
      <c r="D35" s="67">
        <v>23381.419720428799</v>
      </c>
      <c r="E35" s="68">
        <v>0.22192530671446301</v>
      </c>
      <c r="F35" s="70"/>
      <c r="G35" s="67">
        <v>19687.122466221401</v>
      </c>
      <c r="H35" s="68">
        <v>0.316298352360462</v>
      </c>
      <c r="I35" s="41"/>
      <c r="J35" s="67">
        <v>13689.7392232285</v>
      </c>
      <c r="K35" s="68">
        <v>0.31209903026941199</v>
      </c>
      <c r="L35" s="247"/>
      <c r="M35" s="247"/>
      <c r="N35" s="247"/>
      <c r="O35" s="247"/>
      <c r="P35" s="247"/>
      <c r="Q35" s="247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10" t="s">
        <v>41</v>
      </c>
      <c r="C36" s="95"/>
      <c r="D36" s="67">
        <v>29472.247526274601</v>
      </c>
      <c r="E36" s="68">
        <v>0.28009246254745102</v>
      </c>
      <c r="F36" s="70"/>
      <c r="G36" s="67">
        <v>22094.1797992141</v>
      </c>
      <c r="H36" s="68">
        <v>0.35453732547155498</v>
      </c>
      <c r="I36" s="41"/>
      <c r="J36" s="67">
        <v>19129.626812878501</v>
      </c>
      <c r="K36" s="68">
        <v>0.43784154496751798</v>
      </c>
      <c r="L36" s="247"/>
      <c r="M36" s="247"/>
      <c r="N36" s="247"/>
      <c r="O36" s="247"/>
      <c r="P36" s="247"/>
      <c r="Q36" s="247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42</v>
      </c>
      <c r="C37" s="95"/>
      <c r="D37" s="67">
        <v>0</v>
      </c>
      <c r="E37" s="68">
        <v>0</v>
      </c>
      <c r="F37" s="70"/>
      <c r="G37" s="67">
        <v>0</v>
      </c>
      <c r="H37" s="68">
        <v>0</v>
      </c>
      <c r="I37" s="41"/>
      <c r="J37" s="67">
        <v>0</v>
      </c>
      <c r="K37" s="68">
        <v>0</v>
      </c>
      <c r="L37" s="247"/>
      <c r="M37" s="247"/>
      <c r="N37" s="247"/>
      <c r="O37" s="247"/>
      <c r="P37" s="247"/>
      <c r="Q37" s="247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249"/>
      <c r="C38" s="95"/>
      <c r="D38" s="131"/>
      <c r="E38" s="131"/>
      <c r="F38" s="131"/>
      <c r="G38" s="131"/>
      <c r="H38" s="131"/>
      <c r="I38" s="131"/>
      <c r="J38" s="131"/>
      <c r="K38" s="131"/>
      <c r="L38" s="247"/>
      <c r="M38" s="247"/>
      <c r="N38" s="247"/>
      <c r="O38" s="247"/>
      <c r="P38" s="247"/>
      <c r="Q38" s="247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48" t="s">
        <v>3</v>
      </c>
      <c r="C39" s="95"/>
      <c r="D39" s="60">
        <v>518154.948919143</v>
      </c>
      <c r="E39" s="61">
        <v>0</v>
      </c>
      <c r="F39" s="62"/>
      <c r="G39" s="60">
        <v>390959.94960365701</v>
      </c>
      <c r="H39" s="61">
        <v>0</v>
      </c>
      <c r="I39" s="57"/>
      <c r="J39" s="60">
        <v>299064.54122542503</v>
      </c>
      <c r="K39" s="61">
        <v>0</v>
      </c>
      <c r="L39" s="246"/>
      <c r="M39" s="246"/>
      <c r="N39" s="246"/>
      <c r="O39" s="246"/>
      <c r="P39" s="246"/>
      <c r="Q39" s="246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49"/>
      <c r="C40" s="95"/>
      <c r="D40" s="67"/>
      <c r="E40" s="68"/>
      <c r="F40" s="70"/>
      <c r="G40" s="67"/>
      <c r="H40" s="68"/>
      <c r="I40" s="41"/>
      <c r="J40" s="67"/>
      <c r="K40" s="68"/>
      <c r="L40" s="247"/>
      <c r="M40" s="247"/>
      <c r="N40" s="247"/>
      <c r="O40" s="247"/>
      <c r="P40" s="247"/>
      <c r="Q40" s="247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52</v>
      </c>
      <c r="C41" s="91"/>
      <c r="D41" s="67">
        <v>12311.2781221122</v>
      </c>
      <c r="E41" s="68">
        <v>0.10536736939970801</v>
      </c>
      <c r="F41" s="70"/>
      <c r="G41" s="67">
        <v>11853.7734076538</v>
      </c>
      <c r="H41" s="68">
        <v>0.16222836503061999</v>
      </c>
      <c r="I41" s="41"/>
      <c r="J41" s="67">
        <v>3325</v>
      </c>
      <c r="K41" s="68">
        <v>7.5885343707733005E-2</v>
      </c>
      <c r="L41" s="247"/>
      <c r="M41" s="247"/>
      <c r="N41" s="247"/>
      <c r="O41" s="247"/>
      <c r="P41" s="247"/>
      <c r="Q41" s="247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53</v>
      </c>
      <c r="C42" s="95"/>
      <c r="D42" s="67">
        <v>90546.621178956993</v>
      </c>
      <c r="E42" s="68">
        <v>0.74387297407684605</v>
      </c>
      <c r="F42" s="70"/>
      <c r="G42" s="67">
        <v>70457.755802615007</v>
      </c>
      <c r="H42" s="68">
        <v>0.92019043211755402</v>
      </c>
      <c r="I42" s="41"/>
      <c r="J42" s="67">
        <v>56037.639559358802</v>
      </c>
      <c r="K42" s="68">
        <v>1.23186609410735</v>
      </c>
      <c r="L42" s="247"/>
      <c r="M42" s="247"/>
      <c r="N42" s="247"/>
      <c r="O42" s="247"/>
      <c r="P42" s="247"/>
      <c r="Q42" s="247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54</v>
      </c>
      <c r="C43" s="95"/>
      <c r="D43" s="67">
        <v>103514.13579185</v>
      </c>
      <c r="E43" s="68">
        <v>0.85413036097148198</v>
      </c>
      <c r="F43" s="70"/>
      <c r="G43" s="67">
        <v>69513.730335731307</v>
      </c>
      <c r="H43" s="68">
        <v>0.93080079377914404</v>
      </c>
      <c r="I43" s="41"/>
      <c r="J43" s="67">
        <v>75311.1936010184</v>
      </c>
      <c r="K43" s="68">
        <v>1.6232680114306299</v>
      </c>
      <c r="L43" s="247"/>
      <c r="M43" s="247"/>
      <c r="N43" s="247"/>
      <c r="O43" s="247"/>
      <c r="P43" s="247"/>
      <c r="Q43" s="247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55</v>
      </c>
      <c r="C44" s="95"/>
      <c r="D44" s="67">
        <v>150890.823328144</v>
      </c>
      <c r="E44" s="68">
        <v>1.2296490346095801</v>
      </c>
      <c r="F44" s="70"/>
      <c r="G44" s="67">
        <v>109895.944885139</v>
      </c>
      <c r="H44" s="68">
        <v>1.4454988645873701</v>
      </c>
      <c r="I44" s="41"/>
      <c r="J44" s="67">
        <v>105084.967663744</v>
      </c>
      <c r="K44" s="68">
        <v>2.2527027897526399</v>
      </c>
      <c r="L44" s="247"/>
      <c r="M44" s="247"/>
      <c r="N44" s="247"/>
      <c r="O44" s="247"/>
      <c r="P44" s="247"/>
      <c r="Q44" s="247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56</v>
      </c>
      <c r="C45" s="95"/>
      <c r="D45" s="67">
        <v>118703.418048148</v>
      </c>
      <c r="E45" s="68">
        <v>0.985837312155597</v>
      </c>
      <c r="F45" s="70"/>
      <c r="G45" s="67">
        <v>105311.493627276</v>
      </c>
      <c r="H45" s="68">
        <v>1.37419202794629</v>
      </c>
      <c r="I45" s="41"/>
      <c r="J45" s="67">
        <v>57620.985926748603</v>
      </c>
      <c r="K45" s="68">
        <v>1.29396572087793</v>
      </c>
      <c r="L45" s="247"/>
      <c r="M45" s="247"/>
      <c r="N45" s="247"/>
      <c r="O45" s="247"/>
      <c r="P45" s="247"/>
      <c r="Q45" s="247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10" t="s">
        <v>57</v>
      </c>
      <c r="C46" s="95"/>
      <c r="D46" s="67">
        <v>277290.22249001998</v>
      </c>
      <c r="E46" s="68">
        <v>1.7900793278134699</v>
      </c>
      <c r="F46" s="70"/>
      <c r="G46" s="67">
        <v>210591.722518631</v>
      </c>
      <c r="H46" s="68">
        <v>2.3086844005485299</v>
      </c>
      <c r="I46" s="41"/>
      <c r="J46" s="67">
        <v>185651.572265189</v>
      </c>
      <c r="K46" s="68">
        <v>3.15465787412746</v>
      </c>
      <c r="L46" s="247"/>
      <c r="M46" s="247"/>
      <c r="N46" s="247"/>
      <c r="O46" s="247"/>
      <c r="P46" s="247"/>
      <c r="Q46" s="247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10" t="s">
        <v>58</v>
      </c>
      <c r="C47" s="95"/>
      <c r="D47" s="67">
        <v>253419.65279000401</v>
      </c>
      <c r="E47" s="68">
        <v>1.7256240712953499</v>
      </c>
      <c r="F47" s="70"/>
      <c r="G47" s="67">
        <v>206400.38058014901</v>
      </c>
      <c r="H47" s="68">
        <v>2.2354971590598298</v>
      </c>
      <c r="I47" s="41"/>
      <c r="J47" s="67">
        <v>119476.139625059</v>
      </c>
      <c r="K47" s="68">
        <v>2.4254825798051902</v>
      </c>
      <c r="L47" s="247"/>
      <c r="M47" s="247"/>
      <c r="N47" s="247"/>
      <c r="O47" s="247"/>
      <c r="P47" s="247"/>
      <c r="Q47" s="247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10" t="s">
        <v>59</v>
      </c>
      <c r="C48" s="95"/>
      <c r="D48" s="67">
        <v>113488.163004904</v>
      </c>
      <c r="E48" s="68">
        <v>0.93070144006658795</v>
      </c>
      <c r="F48" s="70"/>
      <c r="G48" s="67">
        <v>79637.0273356994</v>
      </c>
      <c r="H48" s="68">
        <v>1.0644874729555001</v>
      </c>
      <c r="I48" s="41"/>
      <c r="J48" s="67">
        <v>75459.325801339102</v>
      </c>
      <c r="K48" s="68">
        <v>1.64597441977406</v>
      </c>
      <c r="L48" s="247"/>
      <c r="M48" s="247"/>
      <c r="N48" s="247"/>
      <c r="O48" s="247"/>
      <c r="P48" s="247"/>
      <c r="Q48" s="247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110" t="s">
        <v>60</v>
      </c>
      <c r="C49" s="95"/>
      <c r="D49" s="67">
        <v>36735.705845947799</v>
      </c>
      <c r="E49" s="68">
        <v>0.31323539465552602</v>
      </c>
      <c r="F49" s="70"/>
      <c r="G49" s="67">
        <v>27671.163871438399</v>
      </c>
      <c r="H49" s="68">
        <v>0.37733126854335303</v>
      </c>
      <c r="I49" s="41"/>
      <c r="J49" s="67">
        <v>24162.342063632801</v>
      </c>
      <c r="K49" s="68">
        <v>0.54927501287595704</v>
      </c>
      <c r="L49" s="247"/>
      <c r="M49" s="247"/>
      <c r="N49" s="247"/>
      <c r="O49" s="247"/>
      <c r="P49" s="247"/>
      <c r="Q49" s="247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10" t="s">
        <v>41</v>
      </c>
      <c r="C50" s="95"/>
      <c r="D50" s="67">
        <v>58736.164270386602</v>
      </c>
      <c r="E50" s="68">
        <v>0.49913921501228597</v>
      </c>
      <c r="F50" s="70"/>
      <c r="G50" s="67">
        <v>28023.080904290699</v>
      </c>
      <c r="H50" s="68">
        <v>0.38143177204155698</v>
      </c>
      <c r="I50" s="41"/>
      <c r="J50" s="67">
        <v>51620.189168865101</v>
      </c>
      <c r="K50" s="68">
        <v>1.1514403098771999</v>
      </c>
      <c r="L50" s="247"/>
      <c r="M50" s="247"/>
      <c r="N50" s="247"/>
      <c r="O50" s="247"/>
      <c r="P50" s="247"/>
      <c r="Q50" s="247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10" t="s">
        <v>42</v>
      </c>
      <c r="C51" s="95"/>
      <c r="D51" s="67">
        <v>0</v>
      </c>
      <c r="E51" s="68">
        <v>0</v>
      </c>
      <c r="F51" s="70"/>
      <c r="G51" s="67">
        <v>0</v>
      </c>
      <c r="H51" s="68">
        <v>0</v>
      </c>
      <c r="I51" s="41"/>
      <c r="J51" s="67">
        <v>0</v>
      </c>
      <c r="K51" s="68">
        <v>0</v>
      </c>
      <c r="L51" s="247"/>
      <c r="M51" s="247"/>
      <c r="N51" s="247"/>
      <c r="O51" s="247"/>
      <c r="P51" s="247"/>
      <c r="Q51" s="247"/>
      <c r="R51" s="41"/>
      <c r="S51" s="41"/>
      <c r="T51" s="41"/>
      <c r="U51" s="41"/>
      <c r="V51" s="41"/>
      <c r="W51" s="41"/>
    </row>
    <row r="52" spans="1:23" ht="6.95" customHeight="1" x14ac:dyDescent="0.25">
      <c r="A52" s="41"/>
      <c r="B52" s="52"/>
      <c r="C52" s="52"/>
      <c r="D52" s="80"/>
      <c r="E52" s="80"/>
      <c r="F52" s="102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87"/>
      <c r="C53" s="87"/>
      <c r="D53" s="250"/>
      <c r="E53" s="250"/>
      <c r="F53" s="25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191" t="s">
        <v>102</v>
      </c>
      <c r="C54" s="251"/>
      <c r="D54" s="252"/>
      <c r="E54" s="252"/>
      <c r="F54" s="252"/>
      <c r="G54" s="143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</sheetData>
  <mergeCells count="6">
    <mergeCell ref="B55:G55"/>
    <mergeCell ref="B7:B9"/>
    <mergeCell ref="D7:E8"/>
    <mergeCell ref="G7:K7"/>
    <mergeCell ref="G8:H8"/>
    <mergeCell ref="J8:K8"/>
  </mergeCells>
  <hyperlinks>
    <hyperlink ref="K1" location="ÍNDICE!A1" tooltip="Ir a ÍNDICE" display="ÍNDICE" xr:uid="{019729AD-970E-4218-8460-BE0A278374D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0DED-988E-4F36-93BD-7DE7AEBD5776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3" t="s">
        <v>153</v>
      </c>
      <c r="C5" s="323"/>
      <c r="D5" s="323"/>
      <c r="E5" s="323"/>
      <c r="F5" s="323"/>
      <c r="G5" s="323"/>
      <c r="H5" s="34"/>
      <c r="I5" s="32"/>
      <c r="J5" s="32"/>
      <c r="K5" s="40" t="s">
        <v>79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253"/>
      <c r="C10" s="254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55" t="s">
        <v>4</v>
      </c>
      <c r="C11" s="89"/>
      <c r="D11" s="60">
        <v>940724.76979118201</v>
      </c>
      <c r="E11" s="61">
        <v>0</v>
      </c>
      <c r="F11" s="62"/>
      <c r="G11" s="60">
        <v>790274.85617909802</v>
      </c>
      <c r="H11" s="61">
        <v>0</v>
      </c>
      <c r="I11" s="57"/>
      <c r="J11" s="60">
        <v>719306.42915879702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55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56" t="s">
        <v>61</v>
      </c>
      <c r="C13" s="91"/>
      <c r="D13" s="60">
        <v>626845.727533306</v>
      </c>
      <c r="E13" s="61">
        <v>0.68401425158450502</v>
      </c>
      <c r="F13" s="62"/>
      <c r="G13" s="60">
        <v>411064.27864972502</v>
      </c>
      <c r="H13" s="61">
        <v>0.783600804148604</v>
      </c>
      <c r="I13" s="57"/>
      <c r="J13" s="60">
        <v>457130.96735047799</v>
      </c>
      <c r="K13" s="61">
        <v>0.99253130616389895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257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62</v>
      </c>
      <c r="C15" s="95"/>
      <c r="D15" s="67">
        <v>215617.55329564001</v>
      </c>
      <c r="E15" s="68">
        <v>0.77809902062693004</v>
      </c>
      <c r="F15" s="70"/>
      <c r="G15" s="67">
        <v>125793.57600417599</v>
      </c>
      <c r="H15" s="68">
        <v>0.94948466763720096</v>
      </c>
      <c r="I15" s="41"/>
      <c r="J15" s="67">
        <v>166796.180058981</v>
      </c>
      <c r="K15" s="68">
        <v>1.1194652852095199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58" t="s">
        <v>124</v>
      </c>
      <c r="C16" s="95"/>
      <c r="D16" s="67">
        <v>60996.482986656803</v>
      </c>
      <c r="E16" s="68">
        <v>0.225766741554005</v>
      </c>
      <c r="F16" s="70"/>
      <c r="G16" s="67">
        <v>44121.079262184001</v>
      </c>
      <c r="H16" s="68">
        <v>0.34799996482159901</v>
      </c>
      <c r="I16" s="41"/>
      <c r="J16" s="67">
        <v>37641.617751314698</v>
      </c>
      <c r="K16" s="68">
        <v>0.26311438824967698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58" t="s">
        <v>125</v>
      </c>
      <c r="C17" s="95"/>
      <c r="D17" s="67">
        <v>53804.245388533804</v>
      </c>
      <c r="E17" s="68">
        <v>0.20022501390866801</v>
      </c>
      <c r="F17" s="70"/>
      <c r="G17" s="67">
        <v>24799.5686054418</v>
      </c>
      <c r="H17" s="68">
        <v>0.19662086452632499</v>
      </c>
      <c r="I17" s="41"/>
      <c r="J17" s="67">
        <v>46822.297004983498</v>
      </c>
      <c r="K17" s="68">
        <v>0.328457694238044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58" t="s">
        <v>200</v>
      </c>
      <c r="C18" s="95"/>
      <c r="D18" s="67">
        <v>192385.11936488099</v>
      </c>
      <c r="E18" s="68">
        <v>0.679453681364108</v>
      </c>
      <c r="F18" s="70"/>
      <c r="G18" s="67">
        <v>118772.46884047199</v>
      </c>
      <c r="H18" s="68">
        <v>0.92321968511102004</v>
      </c>
      <c r="I18" s="41"/>
      <c r="J18" s="67">
        <v>140947.13480763999</v>
      </c>
      <c r="K18" s="68">
        <v>0.93395777448213302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58" t="s">
        <v>201</v>
      </c>
      <c r="C19" s="95"/>
      <c r="D19" s="67">
        <v>122265.14330818001</v>
      </c>
      <c r="E19" s="68">
        <v>0.44837875338508998</v>
      </c>
      <c r="F19" s="70"/>
      <c r="G19" s="67">
        <v>52084.4523598335</v>
      </c>
      <c r="H19" s="68">
        <v>0.40800484616051103</v>
      </c>
      <c r="I19" s="41"/>
      <c r="J19" s="67">
        <v>108892.717900451</v>
      </c>
      <c r="K19" s="68">
        <v>0.74748326309975799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58" t="s">
        <v>63</v>
      </c>
      <c r="C20" s="95"/>
      <c r="D20" s="67">
        <v>47931.035918986403</v>
      </c>
      <c r="E20" s="68">
        <v>0.178325211069812</v>
      </c>
      <c r="F20" s="70"/>
      <c r="G20" s="67">
        <v>30188.525141144801</v>
      </c>
      <c r="H20" s="68">
        <v>0.239167990733228</v>
      </c>
      <c r="I20" s="41"/>
      <c r="J20" s="67">
        <v>37354.8033917996</v>
      </c>
      <c r="K20" s="68">
        <v>0.262544879667853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58" t="s">
        <v>64</v>
      </c>
      <c r="C21" s="95"/>
      <c r="D21" s="67">
        <v>549171.88362120802</v>
      </c>
      <c r="E21" s="68">
        <v>1.08303677775897</v>
      </c>
      <c r="F21" s="70"/>
      <c r="G21" s="67">
        <v>367592.048079158</v>
      </c>
      <c r="H21" s="68">
        <v>1.3043576130611101</v>
      </c>
      <c r="I21" s="41"/>
      <c r="J21" s="67">
        <v>383307.17742653401</v>
      </c>
      <c r="K21" s="68">
        <v>1.52991036701397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257"/>
      <c r="C22" s="91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256" t="s">
        <v>65</v>
      </c>
      <c r="C23" s="95"/>
      <c r="D23" s="60">
        <v>932244.38391676603</v>
      </c>
      <c r="E23" s="61">
        <v>0.68401425158450502</v>
      </c>
      <c r="F23" s="62"/>
      <c r="G23" s="60">
        <v>700335.72895903501</v>
      </c>
      <c r="H23" s="61">
        <v>0.783600804148604</v>
      </c>
      <c r="I23" s="57"/>
      <c r="J23" s="60">
        <v>633455.18131676398</v>
      </c>
      <c r="K23" s="61">
        <v>0.99253130616389895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257"/>
      <c r="C24" s="97"/>
      <c r="D24" s="259"/>
      <c r="E24" s="259"/>
      <c r="F24" s="97"/>
      <c r="G24" s="259"/>
      <c r="H24" s="259"/>
      <c r="I24" s="259"/>
      <c r="J24" s="259"/>
      <c r="K24" s="25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0" t="s">
        <v>2</v>
      </c>
      <c r="C25" s="97"/>
      <c r="D25" s="60">
        <v>1202696.45731675</v>
      </c>
      <c r="E25" s="61">
        <v>0</v>
      </c>
      <c r="F25" s="62"/>
      <c r="G25" s="60">
        <v>732477.33212123101</v>
      </c>
      <c r="H25" s="61">
        <v>0</v>
      </c>
      <c r="I25" s="57"/>
      <c r="J25" s="60">
        <v>655788.85438650905</v>
      </c>
      <c r="K25" s="61">
        <v>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61"/>
      <c r="C26" s="97"/>
      <c r="D26" s="60"/>
      <c r="E26" s="61"/>
      <c r="F26" s="62"/>
      <c r="G26" s="60"/>
      <c r="H26" s="61"/>
      <c r="I26" s="57"/>
      <c r="J26" s="60"/>
      <c r="K26" s="6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256" t="s">
        <v>61</v>
      </c>
      <c r="C27" s="91"/>
      <c r="D27" s="60">
        <v>435833.11037843197</v>
      </c>
      <c r="E27" s="61">
        <v>1.1182668087027601</v>
      </c>
      <c r="F27" s="62"/>
      <c r="G27" s="60">
        <v>242752.99423495401</v>
      </c>
      <c r="H27" s="61">
        <v>1.16632289889534</v>
      </c>
      <c r="I27" s="57"/>
      <c r="J27" s="60">
        <v>288345.28822200798</v>
      </c>
      <c r="K27" s="61">
        <v>1.7212429204255599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257"/>
      <c r="C28" s="91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69" t="s">
        <v>62</v>
      </c>
      <c r="C29" s="95"/>
      <c r="D29" s="67">
        <v>72292.623849186697</v>
      </c>
      <c r="E29" s="68">
        <v>1.05530562893369</v>
      </c>
      <c r="F29" s="70"/>
      <c r="G29" s="67">
        <v>38028.643927965699</v>
      </c>
      <c r="H29" s="68">
        <v>1.1738411089777401</v>
      </c>
      <c r="I29" s="41"/>
      <c r="J29" s="67">
        <v>54418.957395378296</v>
      </c>
      <c r="K29" s="68">
        <v>1.55573310568962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58" t="s">
        <v>124</v>
      </c>
      <c r="C30" s="95"/>
      <c r="D30" s="67">
        <v>15528.749337921599</v>
      </c>
      <c r="E30" s="68">
        <v>0.23486746243501</v>
      </c>
      <c r="F30" s="70"/>
      <c r="G30" s="67">
        <v>11995.6705523285</v>
      </c>
      <c r="H30" s="68">
        <v>0.38037011751340299</v>
      </c>
      <c r="I30" s="41"/>
      <c r="J30" s="67">
        <v>9861.3358121504007</v>
      </c>
      <c r="K30" s="68">
        <v>0.28553147172437299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58" t="s">
        <v>125</v>
      </c>
      <c r="C31" s="95"/>
      <c r="D31" s="67">
        <v>10925.442264122201</v>
      </c>
      <c r="E31" s="68">
        <v>0.16561508939518399</v>
      </c>
      <c r="F31" s="70"/>
      <c r="G31" s="67">
        <v>7463</v>
      </c>
      <c r="H31" s="68">
        <v>0.23514894781748899</v>
      </c>
      <c r="I31" s="41"/>
      <c r="J31" s="67">
        <v>7979.2806484461198</v>
      </c>
      <c r="K31" s="68">
        <v>0.233811930514915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258" t="s">
        <v>200</v>
      </c>
      <c r="C32" s="95"/>
      <c r="D32" s="67">
        <v>93283.942076303996</v>
      </c>
      <c r="E32" s="68">
        <v>1.3056143228449599</v>
      </c>
      <c r="F32" s="70"/>
      <c r="G32" s="67">
        <v>59446.6584223014</v>
      </c>
      <c r="H32" s="68">
        <v>1.78877172437793</v>
      </c>
      <c r="I32" s="41"/>
      <c r="J32" s="67">
        <v>62081.769850431199</v>
      </c>
      <c r="K32" s="68">
        <v>1.6805093424036801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58" t="s">
        <v>201</v>
      </c>
      <c r="C33" s="95"/>
      <c r="D33" s="67">
        <v>25421.849027952299</v>
      </c>
      <c r="E33" s="68">
        <v>0.38330504521729702</v>
      </c>
      <c r="F33" s="70"/>
      <c r="G33" s="67">
        <v>11657.385084142999</v>
      </c>
      <c r="H33" s="68">
        <v>0.36984865527614702</v>
      </c>
      <c r="I33" s="41"/>
      <c r="J33" s="67">
        <v>21613.445606843899</v>
      </c>
      <c r="K33" s="68">
        <v>0.62259186540374301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258" t="s">
        <v>63</v>
      </c>
      <c r="C34" s="95"/>
      <c r="D34" s="67">
        <v>17691.110338246199</v>
      </c>
      <c r="E34" s="68">
        <v>0.267993040924138</v>
      </c>
      <c r="F34" s="70"/>
      <c r="G34" s="67">
        <v>16306.8816148275</v>
      </c>
      <c r="H34" s="68">
        <v>0.51586733996147105</v>
      </c>
      <c r="I34" s="41"/>
      <c r="J34" s="67">
        <v>6860.1018214017804</v>
      </c>
      <c r="K34" s="68">
        <v>0.199613925595404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58" t="s">
        <v>64</v>
      </c>
      <c r="C35" s="95"/>
      <c r="D35" s="67">
        <v>392911.56508535502</v>
      </c>
      <c r="E35" s="68">
        <v>1.7733113338770701</v>
      </c>
      <c r="F35" s="70"/>
      <c r="G35" s="67">
        <v>221979.45967221499</v>
      </c>
      <c r="H35" s="68">
        <v>2.1614958005591798</v>
      </c>
      <c r="I35" s="41"/>
      <c r="J35" s="67">
        <v>264427.95974253397</v>
      </c>
      <c r="K35" s="68">
        <v>2.3514495477784898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257"/>
      <c r="C36" s="91"/>
      <c r="D36" s="67"/>
      <c r="E36" s="68"/>
      <c r="F36" s="70"/>
      <c r="G36" s="67"/>
      <c r="H36" s="68"/>
      <c r="I36" s="41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56" t="s">
        <v>65</v>
      </c>
      <c r="C37" s="95"/>
      <c r="D37" s="60">
        <v>981351.01443732402</v>
      </c>
      <c r="E37" s="61">
        <v>1.1182668087027601</v>
      </c>
      <c r="F37" s="62"/>
      <c r="G37" s="60">
        <v>612414.546525246</v>
      </c>
      <c r="H37" s="61">
        <v>1.16632289889534</v>
      </c>
      <c r="I37" s="57"/>
      <c r="J37" s="60">
        <v>539124.29761250899</v>
      </c>
      <c r="K37" s="61">
        <v>1.7212429204255599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61"/>
      <c r="C38" s="97"/>
      <c r="D38" s="259"/>
      <c r="E38" s="259"/>
      <c r="F38" s="97"/>
      <c r="G38" s="259"/>
      <c r="H38" s="259"/>
      <c r="I38" s="259"/>
      <c r="J38" s="259"/>
      <c r="K38" s="25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60" t="s">
        <v>3</v>
      </c>
      <c r="C39" s="97"/>
      <c r="D39" s="60">
        <v>1215345.35573305</v>
      </c>
      <c r="E39" s="61">
        <v>0</v>
      </c>
      <c r="F39" s="62"/>
      <c r="G39" s="60">
        <v>853166.62916364695</v>
      </c>
      <c r="H39" s="61">
        <v>0</v>
      </c>
      <c r="I39" s="57"/>
      <c r="J39" s="60">
        <v>704303.09797417896</v>
      </c>
      <c r="K39" s="61">
        <v>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61"/>
      <c r="C40" s="97"/>
      <c r="D40" s="60"/>
      <c r="E40" s="61"/>
      <c r="F40" s="62"/>
      <c r="G40" s="60"/>
      <c r="H40" s="61"/>
      <c r="I40" s="57"/>
      <c r="J40" s="60"/>
      <c r="K40" s="6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256" t="s">
        <v>61</v>
      </c>
      <c r="C41" s="91"/>
      <c r="D41" s="60">
        <v>597353.53165330796</v>
      </c>
      <c r="E41" s="61">
        <v>0.87172215273584397</v>
      </c>
      <c r="F41" s="62"/>
      <c r="G41" s="60">
        <v>382765.13603399898</v>
      </c>
      <c r="H41" s="61">
        <v>1.0358682767951299</v>
      </c>
      <c r="I41" s="57"/>
      <c r="J41" s="60">
        <v>412274.853313606</v>
      </c>
      <c r="K41" s="61">
        <v>1.22263546566699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257"/>
      <c r="C42" s="91"/>
      <c r="D42" s="67"/>
      <c r="E42" s="68"/>
      <c r="F42" s="70"/>
      <c r="G42" s="67"/>
      <c r="H42" s="68"/>
      <c r="I42" s="41"/>
      <c r="J42" s="67"/>
      <c r="K42" s="6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69" t="s">
        <v>62</v>
      </c>
      <c r="C43" s="95"/>
      <c r="D43" s="67">
        <v>203672.61126384101</v>
      </c>
      <c r="E43" s="68">
        <v>0.96108801350623896</v>
      </c>
      <c r="F43" s="70"/>
      <c r="G43" s="67">
        <v>120336.43052813099</v>
      </c>
      <c r="H43" s="68">
        <v>1.1866008377708199</v>
      </c>
      <c r="I43" s="41"/>
      <c r="J43" s="67">
        <v>157975.78518976699</v>
      </c>
      <c r="K43" s="68">
        <v>1.37010275960774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258" t="s">
        <v>124</v>
      </c>
      <c r="C44" s="95"/>
      <c r="D44" s="67">
        <v>58986.683927319697</v>
      </c>
      <c r="E44" s="68">
        <v>0.289872720925198</v>
      </c>
      <c r="F44" s="70"/>
      <c r="G44" s="67">
        <v>42459.080574830201</v>
      </c>
      <c r="H44" s="68">
        <v>0.44667794601308503</v>
      </c>
      <c r="I44" s="41"/>
      <c r="J44" s="67">
        <v>36326.924490466903</v>
      </c>
      <c r="K44" s="68">
        <v>0.33522950220450198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258" t="s">
        <v>125</v>
      </c>
      <c r="C45" s="95"/>
      <c r="D45" s="67">
        <v>52689.335368813801</v>
      </c>
      <c r="E45" s="68">
        <v>0.259728386505231</v>
      </c>
      <c r="F45" s="70"/>
      <c r="G45" s="67">
        <v>23649.994376659299</v>
      </c>
      <c r="H45" s="68">
        <v>0.25065710579024097</v>
      </c>
      <c r="I45" s="41"/>
      <c r="J45" s="67">
        <v>46137.388061703503</v>
      </c>
      <c r="K45" s="68">
        <v>0.426124931770684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258" t="s">
        <v>200</v>
      </c>
      <c r="C46" s="95"/>
      <c r="D46" s="67">
        <v>170890.26105363999</v>
      </c>
      <c r="E46" s="68">
        <v>0.78637810916988304</v>
      </c>
      <c r="F46" s="70"/>
      <c r="G46" s="67">
        <v>103239.839260038</v>
      </c>
      <c r="H46" s="68">
        <v>1.06218648045566</v>
      </c>
      <c r="I46" s="41"/>
      <c r="J46" s="67">
        <v>128806.353493064</v>
      </c>
      <c r="K46" s="68">
        <v>1.12078435097943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258" t="s">
        <v>201</v>
      </c>
      <c r="C47" s="95"/>
      <c r="D47" s="67">
        <v>121110.139440666</v>
      </c>
      <c r="E47" s="68">
        <v>0.58433980766982296</v>
      </c>
      <c r="F47" s="70"/>
      <c r="G47" s="67">
        <v>51094.973340082703</v>
      </c>
      <c r="H47" s="68">
        <v>0.53086183239595996</v>
      </c>
      <c r="I47" s="41"/>
      <c r="J47" s="67">
        <v>108071.602053209</v>
      </c>
      <c r="K47" s="68">
        <v>0.96885073114787301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258" t="s">
        <v>63</v>
      </c>
      <c r="C48" s="95"/>
      <c r="D48" s="67">
        <v>44546.703798004601</v>
      </c>
      <c r="E48" s="68">
        <v>0.21898290680270999</v>
      </c>
      <c r="F48" s="70"/>
      <c r="G48" s="67">
        <v>25405.366799114101</v>
      </c>
      <c r="H48" s="68">
        <v>0.26819998939541401</v>
      </c>
      <c r="I48" s="41"/>
      <c r="J48" s="67">
        <v>36719.481742530101</v>
      </c>
      <c r="K48" s="68">
        <v>0.34069915286201902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258" t="s">
        <v>64</v>
      </c>
      <c r="C49" s="95"/>
      <c r="D49" s="67">
        <v>496683.16283174901</v>
      </c>
      <c r="E49" s="68">
        <v>1.2923454077759799</v>
      </c>
      <c r="F49" s="70"/>
      <c r="G49" s="67">
        <v>329041.904288697</v>
      </c>
      <c r="H49" s="68">
        <v>1.56127266915898</v>
      </c>
      <c r="I49" s="41"/>
      <c r="J49" s="67">
        <v>327283.12756138801</v>
      </c>
      <c r="K49" s="68">
        <v>1.8356843075123199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57"/>
      <c r="C50" s="91"/>
      <c r="D50" s="67"/>
      <c r="E50" s="68"/>
      <c r="F50" s="70"/>
      <c r="G50" s="67"/>
      <c r="H50" s="68"/>
      <c r="I50" s="41"/>
      <c r="J50" s="67"/>
      <c r="K50" s="68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s="6" customFormat="1" ht="15" customHeight="1" x14ac:dyDescent="0.25">
      <c r="A51" s="57"/>
      <c r="B51" s="256" t="s">
        <v>65</v>
      </c>
      <c r="C51" s="95"/>
      <c r="D51" s="60">
        <v>996581.610832643</v>
      </c>
      <c r="E51" s="61">
        <v>0.87172215273584397</v>
      </c>
      <c r="F51" s="62"/>
      <c r="G51" s="60">
        <v>699922.19825892395</v>
      </c>
      <c r="H51" s="61">
        <v>1.0358682767951299</v>
      </c>
      <c r="I51" s="57"/>
      <c r="J51" s="60">
        <v>553695.62244709395</v>
      </c>
      <c r="K51" s="61">
        <v>1.22263546566699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6.95" customHeight="1" x14ac:dyDescent="0.25">
      <c r="A52" s="41"/>
      <c r="B52" s="262"/>
      <c r="C52" s="262"/>
      <c r="D52" s="80"/>
      <c r="E52" s="80"/>
      <c r="F52" s="209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263"/>
      <c r="C53" s="263"/>
      <c r="D53" s="211"/>
      <c r="E53" s="211"/>
      <c r="F53" s="21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264" t="s">
        <v>142</v>
      </c>
      <c r="C54" s="265"/>
      <c r="D54" s="266"/>
      <c r="E54" s="266"/>
      <c r="F54" s="26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6.9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</sheetData>
  <mergeCells count="7">
    <mergeCell ref="B55:G5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3B467300-1988-46C2-B195-3198927C177F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7516-DDB2-4C9A-835D-ED661A943678}">
  <dimension ref="A1:W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168</v>
      </c>
      <c r="C5" s="245"/>
      <c r="D5" s="245"/>
      <c r="E5" s="245"/>
      <c r="F5" s="245"/>
      <c r="G5" s="245"/>
      <c r="H5" s="34"/>
      <c r="I5" s="32"/>
      <c r="J5" s="32"/>
      <c r="K5" s="40" t="s">
        <v>78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195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67" t="s">
        <v>155</v>
      </c>
      <c r="C13" s="91"/>
      <c r="D13" s="67">
        <v>647335.93277364399</v>
      </c>
      <c r="E13" s="68">
        <v>0.91559022921000199</v>
      </c>
      <c r="F13" s="70"/>
      <c r="G13" s="67">
        <v>453930.11272430501</v>
      </c>
      <c r="H13" s="68">
        <v>1.24238722410419</v>
      </c>
      <c r="I13" s="41"/>
      <c r="J13" s="67">
        <v>423736.10582544102</v>
      </c>
      <c r="K13" s="68">
        <v>1.21551199802472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68" t="s">
        <v>71</v>
      </c>
      <c r="C14" s="95"/>
      <c r="D14" s="67">
        <v>500088.52128102898</v>
      </c>
      <c r="E14" s="68">
        <v>0.83692367392068501</v>
      </c>
      <c r="F14" s="70"/>
      <c r="G14" s="67">
        <v>298905.82015417097</v>
      </c>
      <c r="H14" s="68">
        <v>1.0018766770318499</v>
      </c>
      <c r="I14" s="41"/>
      <c r="J14" s="67">
        <v>368233.61381203402</v>
      </c>
      <c r="K14" s="68">
        <v>1.1933155428623801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269" t="s">
        <v>196</v>
      </c>
      <c r="C15" s="95"/>
      <c r="D15" s="67">
        <v>301811.94811838801</v>
      </c>
      <c r="E15" s="68">
        <v>0.53023760517274898</v>
      </c>
      <c r="F15" s="70"/>
      <c r="G15" s="67">
        <v>210718.12276268899</v>
      </c>
      <c r="H15" s="68">
        <v>0.74426651046110004</v>
      </c>
      <c r="I15" s="41"/>
      <c r="J15" s="67">
        <v>230374.94304455601</v>
      </c>
      <c r="K15" s="68">
        <v>0.78151416393196305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269" t="s">
        <v>215</v>
      </c>
      <c r="C16" s="95"/>
      <c r="D16" s="67">
        <v>130280.837814835</v>
      </c>
      <c r="E16" s="68">
        <v>0.23875033829685199</v>
      </c>
      <c r="F16" s="70"/>
      <c r="G16" s="67">
        <v>101513.297457295</v>
      </c>
      <c r="H16" s="68">
        <v>0.371772544126661</v>
      </c>
      <c r="I16" s="41"/>
      <c r="J16" s="67">
        <v>80915.756156421194</v>
      </c>
      <c r="K16" s="68">
        <v>0.29760726378248098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69" t="s">
        <v>203</v>
      </c>
      <c r="C17" s="95"/>
      <c r="D17" s="67">
        <v>101522.221616728</v>
      </c>
      <c r="E17" s="68">
        <v>0.186776503996778</v>
      </c>
      <c r="F17" s="70"/>
      <c r="G17" s="67">
        <v>75326.158164609602</v>
      </c>
      <c r="H17" s="68">
        <v>0.2758230851133</v>
      </c>
      <c r="I17" s="41"/>
      <c r="J17" s="67">
        <v>69609.250444653997</v>
      </c>
      <c r="K17" s="68">
        <v>0.255689532013603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69" t="s">
        <v>204</v>
      </c>
      <c r="C18" s="95"/>
      <c r="D18" s="67">
        <v>336182.80618810898</v>
      </c>
      <c r="E18" s="68">
        <v>0.59049542016006296</v>
      </c>
      <c r="F18" s="70"/>
      <c r="G18" s="67">
        <v>269630.27855496801</v>
      </c>
      <c r="H18" s="68">
        <v>0.91608630595159102</v>
      </c>
      <c r="I18" s="41"/>
      <c r="J18" s="67">
        <v>214134.86414514601</v>
      </c>
      <c r="K18" s="68">
        <v>0.75484072458924101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69" t="s">
        <v>202</v>
      </c>
      <c r="C19" s="95"/>
      <c r="D19" s="67">
        <v>20166.472820005001</v>
      </c>
      <c r="E19" s="68">
        <v>3.7039983413726399E-2</v>
      </c>
      <c r="F19" s="70"/>
      <c r="G19" s="67">
        <v>18939.6956680935</v>
      </c>
      <c r="H19" s="68">
        <v>6.9681170179459004E-2</v>
      </c>
      <c r="I19" s="41"/>
      <c r="J19" s="67">
        <v>6926.3665799609498</v>
      </c>
      <c r="K19" s="68">
        <v>2.5373897580927101E-2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118</v>
      </c>
      <c r="C20" s="95"/>
      <c r="D20" s="67">
        <v>2985.63728540491</v>
      </c>
      <c r="E20" s="68">
        <v>5.4742310192142703E-3</v>
      </c>
      <c r="F20" s="70"/>
      <c r="G20" s="67">
        <v>1695</v>
      </c>
      <c r="H20" s="68">
        <v>6.2200145678304999E-3</v>
      </c>
      <c r="I20" s="41"/>
      <c r="J20" s="67">
        <v>2457.8456013346299</v>
      </c>
      <c r="K20" s="68">
        <v>9.0080111713885594E-3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70"/>
      <c r="C21" s="95"/>
      <c r="D21" s="131"/>
      <c r="E21" s="131"/>
      <c r="F21" s="94"/>
      <c r="G21" s="131"/>
      <c r="H21" s="131"/>
      <c r="I21" s="131"/>
      <c r="J21" s="131"/>
      <c r="K21" s="13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71" t="s">
        <v>2</v>
      </c>
      <c r="C22" s="95"/>
      <c r="D22" s="60">
        <v>787259.02437341004</v>
      </c>
      <c r="E22" s="61">
        <v>0</v>
      </c>
      <c r="F22" s="62"/>
      <c r="G22" s="60">
        <v>464796.61776338902</v>
      </c>
      <c r="H22" s="61">
        <v>0</v>
      </c>
      <c r="I22" s="57"/>
      <c r="J22" s="60">
        <v>456394.45771005802</v>
      </c>
      <c r="K22" s="61">
        <v>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6.95" customHeight="1" x14ac:dyDescent="0.25">
      <c r="A23" s="41"/>
      <c r="B23" s="272"/>
      <c r="C23" s="95"/>
      <c r="D23" s="67"/>
      <c r="E23" s="68"/>
      <c r="F23" s="70"/>
      <c r="G23" s="67"/>
      <c r="H23" s="68"/>
      <c r="I23" s="41"/>
      <c r="J23" s="67"/>
      <c r="K23" s="6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267" t="s">
        <v>155</v>
      </c>
      <c r="C24" s="91"/>
      <c r="D24" s="67">
        <v>432063.80154884898</v>
      </c>
      <c r="E24" s="68">
        <v>1.70578923650445</v>
      </c>
      <c r="F24" s="70"/>
      <c r="G24" s="67">
        <v>278904.371671403</v>
      </c>
      <c r="H24" s="68">
        <v>2.40035936583245</v>
      </c>
      <c r="I24" s="41"/>
      <c r="J24" s="67">
        <v>247858.52028549899</v>
      </c>
      <c r="K24" s="68">
        <v>2.29212692703919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8" t="s">
        <v>71</v>
      </c>
      <c r="C25" s="95"/>
      <c r="D25" s="67">
        <v>357269.64341490599</v>
      </c>
      <c r="E25" s="68">
        <v>1.90037289585096</v>
      </c>
      <c r="F25" s="70"/>
      <c r="G25" s="67">
        <v>161600.14914537099</v>
      </c>
      <c r="H25" s="68">
        <v>1.8844824680512799</v>
      </c>
      <c r="I25" s="41"/>
      <c r="J25" s="67">
        <v>250834.21586723099</v>
      </c>
      <c r="K25" s="68">
        <v>2.5895299730020298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30" customHeight="1" x14ac:dyDescent="0.25">
      <c r="A26" s="41"/>
      <c r="B26" s="269" t="s">
        <v>196</v>
      </c>
      <c r="C26" s="95"/>
      <c r="D26" s="67">
        <v>187739.71161693099</v>
      </c>
      <c r="E26" s="68">
        <v>1.1154294186159801</v>
      </c>
      <c r="F26" s="70"/>
      <c r="G26" s="67">
        <v>162677.86848532499</v>
      </c>
      <c r="H26" s="68">
        <v>1.93620406537598</v>
      </c>
      <c r="I26" s="41"/>
      <c r="J26" s="67">
        <v>112524.654165534</v>
      </c>
      <c r="K26" s="68">
        <v>1.3408826196542101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269" t="s">
        <v>215</v>
      </c>
      <c r="C27" s="95"/>
      <c r="D27" s="67">
        <v>99241.603835847607</v>
      </c>
      <c r="E27" s="68">
        <v>0.628025060461184</v>
      </c>
      <c r="F27" s="70"/>
      <c r="G27" s="67">
        <v>77087.922288558795</v>
      </c>
      <c r="H27" s="68">
        <v>0.96873140554844595</v>
      </c>
      <c r="I27" s="41"/>
      <c r="J27" s="67">
        <v>57540.274131627601</v>
      </c>
      <c r="K27" s="68">
        <v>0.75307467860926702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69" t="s">
        <v>203</v>
      </c>
      <c r="C28" s="95"/>
      <c r="D28" s="67">
        <v>58547.315692780998</v>
      </c>
      <c r="E28" s="68">
        <v>0.38306210988790301</v>
      </c>
      <c r="F28" s="70"/>
      <c r="G28" s="67">
        <v>46244.075966257697</v>
      </c>
      <c r="H28" s="68">
        <v>0.59494850690726397</v>
      </c>
      <c r="I28" s="41"/>
      <c r="J28" s="67">
        <v>36020.372025523902</v>
      </c>
      <c r="K28" s="68">
        <v>0.47750554700729703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69" t="s">
        <v>204</v>
      </c>
      <c r="C29" s="95"/>
      <c r="D29" s="67">
        <v>259010.702562291</v>
      </c>
      <c r="E29" s="68">
        <v>1.59176463407115</v>
      </c>
      <c r="F29" s="70"/>
      <c r="G29" s="67">
        <v>196147.453951117</v>
      </c>
      <c r="H29" s="68">
        <v>2.2275715015576898</v>
      </c>
      <c r="I29" s="41"/>
      <c r="J29" s="67">
        <v>147776.1014828</v>
      </c>
      <c r="K29" s="68">
        <v>1.9152180279104201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69" t="s">
        <v>202</v>
      </c>
      <c r="C30" s="95"/>
      <c r="D30" s="67">
        <v>7616.4391942692</v>
      </c>
      <c r="E30" s="68">
        <v>4.9705075886078302E-2</v>
      </c>
      <c r="F30" s="70"/>
      <c r="G30" s="67">
        <v>7616.4391942692</v>
      </c>
      <c r="H30" s="68">
        <v>9.72015422476986E-2</v>
      </c>
      <c r="I30" s="41"/>
      <c r="J30" s="67">
        <v>0</v>
      </c>
      <c r="K30" s="68">
        <v>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118</v>
      </c>
      <c r="C31" s="95"/>
      <c r="D31" s="67">
        <v>2042.14250237343</v>
      </c>
      <c r="E31" s="68">
        <v>1.3315559126302201E-2</v>
      </c>
      <c r="F31" s="70"/>
      <c r="G31" s="67">
        <v>1695</v>
      </c>
      <c r="H31" s="68">
        <v>2.16722047590917E-2</v>
      </c>
      <c r="I31" s="41"/>
      <c r="J31" s="67">
        <v>1139</v>
      </c>
      <c r="K31" s="68">
        <v>1.5131918533341299E-2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72"/>
      <c r="C32" s="95"/>
      <c r="D32" s="131"/>
      <c r="E32" s="131"/>
      <c r="F32" s="94"/>
      <c r="G32" s="131"/>
      <c r="H32" s="131"/>
      <c r="I32" s="131"/>
      <c r="J32" s="131"/>
      <c r="K32" s="13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71" t="s">
        <v>3</v>
      </c>
      <c r="C33" s="95"/>
      <c r="D33" s="60">
        <v>885274.08242816199</v>
      </c>
      <c r="E33" s="61">
        <v>0</v>
      </c>
      <c r="F33" s="62"/>
      <c r="G33" s="60">
        <v>591873.62683249102</v>
      </c>
      <c r="H33" s="61">
        <v>0</v>
      </c>
      <c r="I33" s="57"/>
      <c r="J33" s="60">
        <v>561810.56421748304</v>
      </c>
      <c r="K33" s="61">
        <v>0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72"/>
      <c r="C34" s="95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67" t="s">
        <v>155</v>
      </c>
      <c r="C35" s="91"/>
      <c r="D35" s="67">
        <v>628076.40389196202</v>
      </c>
      <c r="E35" s="68">
        <v>1.07513768688308</v>
      </c>
      <c r="F35" s="70"/>
      <c r="G35" s="67">
        <v>431187.07031490101</v>
      </c>
      <c r="H35" s="68">
        <v>1.4374628943226</v>
      </c>
      <c r="I35" s="41"/>
      <c r="J35" s="67">
        <v>382118.344179162</v>
      </c>
      <c r="K35" s="68">
        <v>1.4232381404159899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68" t="s">
        <v>71</v>
      </c>
      <c r="C36" s="95"/>
      <c r="D36" s="67">
        <v>423572.16904954403</v>
      </c>
      <c r="E36" s="68">
        <v>0.93334784165330398</v>
      </c>
      <c r="F36" s="70"/>
      <c r="G36" s="67">
        <v>269740.43383397901</v>
      </c>
      <c r="H36" s="68">
        <v>1.2144592371520999</v>
      </c>
      <c r="I36" s="41"/>
      <c r="J36" s="67">
        <v>303305.045645128</v>
      </c>
      <c r="K36" s="68">
        <v>1.3154137896576299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269" t="s">
        <v>196</v>
      </c>
      <c r="C37" s="95"/>
      <c r="D37" s="67">
        <v>250587.01698973199</v>
      </c>
      <c r="E37" s="68">
        <v>0.59046240449598497</v>
      </c>
      <c r="F37" s="70"/>
      <c r="G37" s="67">
        <v>138533.340637941</v>
      </c>
      <c r="H37" s="68">
        <v>0.69284010051006595</v>
      </c>
      <c r="I37" s="41"/>
      <c r="J37" s="67">
        <v>205698.13281080101</v>
      </c>
      <c r="K37" s="68">
        <v>0.94209832543071104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269" t="s">
        <v>215</v>
      </c>
      <c r="C38" s="95"/>
      <c r="D38" s="67">
        <v>89846.310163044094</v>
      </c>
      <c r="E38" s="68">
        <v>0.22662349812312199</v>
      </c>
      <c r="F38" s="70"/>
      <c r="G38" s="67">
        <v>66849.048288984501</v>
      </c>
      <c r="H38" s="68">
        <v>0.34437044335550399</v>
      </c>
      <c r="I38" s="41"/>
      <c r="J38" s="67">
        <v>57734.595883426402</v>
      </c>
      <c r="K38" s="68">
        <v>0.28888516553151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269" t="s">
        <v>203</v>
      </c>
      <c r="C39" s="95"/>
      <c r="D39" s="67">
        <v>84586.608601869593</v>
      </c>
      <c r="E39" s="68">
        <v>0.215570515608107</v>
      </c>
      <c r="F39" s="70"/>
      <c r="G39" s="67">
        <v>60878.701016585197</v>
      </c>
      <c r="H39" s="68">
        <v>0.31076239030492098</v>
      </c>
      <c r="I39" s="41"/>
      <c r="J39" s="67">
        <v>59564.927151885502</v>
      </c>
      <c r="K39" s="68">
        <v>0.30249678880730402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269" t="s">
        <v>204</v>
      </c>
      <c r="C40" s="95"/>
      <c r="D40" s="67">
        <v>241431.52163536201</v>
      </c>
      <c r="E40" s="68">
        <v>0.58128405282731699</v>
      </c>
      <c r="F40" s="70"/>
      <c r="G40" s="67">
        <v>198780.47524011601</v>
      </c>
      <c r="H40" s="68">
        <v>0.95084514154801703</v>
      </c>
      <c r="I40" s="41"/>
      <c r="J40" s="67">
        <v>159717.85517184201</v>
      </c>
      <c r="K40" s="68">
        <v>0.77908827957137705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69" t="s">
        <v>202</v>
      </c>
      <c r="C41" s="95"/>
      <c r="D41" s="67">
        <v>18672.880870395998</v>
      </c>
      <c r="E41" s="68">
        <v>4.7523702271804497E-2</v>
      </c>
      <c r="F41" s="70"/>
      <c r="G41" s="67">
        <v>17340.759095264501</v>
      </c>
      <c r="H41" s="68">
        <v>8.9282514196746099E-2</v>
      </c>
      <c r="I41" s="41"/>
      <c r="J41" s="67">
        <v>6926.3665799609498</v>
      </c>
      <c r="K41" s="68">
        <v>3.5067510058796401E-2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118</v>
      </c>
      <c r="C42" s="95"/>
      <c r="D42" s="67">
        <v>2178</v>
      </c>
      <c r="E42" s="68">
        <v>5.5602659339294303E-3</v>
      </c>
      <c r="F42" s="70"/>
      <c r="G42" s="67">
        <v>0</v>
      </c>
      <c r="H42" s="68">
        <v>0</v>
      </c>
      <c r="I42" s="41"/>
      <c r="J42" s="67">
        <v>2178</v>
      </c>
      <c r="K42" s="68">
        <v>1.1029549093489599E-2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6.95" customHeight="1" x14ac:dyDescent="0.25">
      <c r="A43" s="41"/>
      <c r="B43" s="52"/>
      <c r="C43" s="52"/>
      <c r="D43" s="80"/>
      <c r="E43" s="80"/>
      <c r="F43" s="102"/>
      <c r="G43" s="80"/>
      <c r="H43" s="80"/>
      <c r="I43" s="80"/>
      <c r="J43" s="80"/>
      <c r="K43" s="8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6.95" customHeight="1" x14ac:dyDescent="0.25">
      <c r="A44" s="41"/>
      <c r="B44" s="87"/>
      <c r="C44" s="87"/>
      <c r="D44" s="250"/>
      <c r="E44" s="250"/>
      <c r="F44" s="250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2" customHeight="1" x14ac:dyDescent="0.25">
      <c r="A45" s="41"/>
      <c r="B45" s="307" t="s">
        <v>145</v>
      </c>
      <c r="C45" s="307"/>
      <c r="D45" s="307"/>
      <c r="E45" s="307"/>
      <c r="F45" s="307"/>
      <c r="G45" s="30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</sheetData>
  <mergeCells count="6">
    <mergeCell ref="B45:G45"/>
    <mergeCell ref="B7:B9"/>
    <mergeCell ref="D7:E8"/>
    <mergeCell ref="G7:K7"/>
    <mergeCell ref="G8:H8"/>
    <mergeCell ref="J8:K8"/>
  </mergeCells>
  <hyperlinks>
    <hyperlink ref="K1" location="ÍNDICE!A1" tooltip="Ir a ÍNDICE" display="ÍNDICE" xr:uid="{2BD33351-659E-445F-8CEB-4F5593EC5B20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6AEA-E925-477A-83D4-200085BF3EF8}">
  <dimension ref="A1:W4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167</v>
      </c>
      <c r="C5" s="245"/>
      <c r="D5" s="245"/>
      <c r="E5" s="245"/>
      <c r="F5" s="245"/>
      <c r="G5" s="245"/>
      <c r="H5" s="34"/>
      <c r="I5" s="32"/>
      <c r="J5" s="32"/>
      <c r="K5" s="40" t="s">
        <v>77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156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816639.10794645804</v>
      </c>
      <c r="E11" s="61">
        <v>0</v>
      </c>
      <c r="F11" s="62"/>
      <c r="G11" s="60">
        <v>603246.14835301205</v>
      </c>
      <c r="H11" s="61">
        <v>0</v>
      </c>
      <c r="I11" s="57"/>
      <c r="J11" s="60">
        <v>591112.20200306806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72</v>
      </c>
      <c r="C13" s="91"/>
      <c r="D13" s="67">
        <v>211220.425657927</v>
      </c>
      <c r="E13" s="68">
        <v>0.37952623534187602</v>
      </c>
      <c r="F13" s="70"/>
      <c r="G13" s="67">
        <v>119444.71715196699</v>
      </c>
      <c r="H13" s="68">
        <v>0.42902956804566</v>
      </c>
      <c r="I13" s="41"/>
      <c r="J13" s="67">
        <v>171824.734467659</v>
      </c>
      <c r="K13" s="68">
        <v>0.61389359782698905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73</v>
      </c>
      <c r="C14" s="95"/>
      <c r="D14" s="67">
        <v>731274.92926338501</v>
      </c>
      <c r="E14" s="68">
        <v>0.82852252036185503</v>
      </c>
      <c r="F14" s="70"/>
      <c r="G14" s="67">
        <v>512271.53123615298</v>
      </c>
      <c r="H14" s="68">
        <v>1.09239972589552</v>
      </c>
      <c r="I14" s="41"/>
      <c r="J14" s="67">
        <v>509570.50235546503</v>
      </c>
      <c r="K14" s="68">
        <v>1.1248162172538601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74</v>
      </c>
      <c r="C15" s="95"/>
      <c r="D15" s="67">
        <v>448412.89079005201</v>
      </c>
      <c r="E15" s="68">
        <v>0.75068194961266099</v>
      </c>
      <c r="F15" s="70"/>
      <c r="G15" s="67">
        <v>290325.32316524797</v>
      </c>
      <c r="H15" s="68">
        <v>0.95249027953191101</v>
      </c>
      <c r="I15" s="41"/>
      <c r="J15" s="67">
        <v>302658.34248081897</v>
      </c>
      <c r="K15" s="68">
        <v>0.99002968430139604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75</v>
      </c>
      <c r="C16" s="95"/>
      <c r="D16" s="67">
        <v>316599.923786934</v>
      </c>
      <c r="E16" s="68">
        <v>0.55581087543235097</v>
      </c>
      <c r="F16" s="70"/>
      <c r="G16" s="67">
        <v>200476.65286126899</v>
      </c>
      <c r="H16" s="68">
        <v>0.69743250844798099</v>
      </c>
      <c r="I16" s="41"/>
      <c r="J16" s="67">
        <v>240198.81914982799</v>
      </c>
      <c r="K16" s="68">
        <v>0.83672333350138794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73" t="s">
        <v>136</v>
      </c>
      <c r="C17" s="95"/>
      <c r="D17" s="67">
        <v>114160.74366668799</v>
      </c>
      <c r="E17" s="68">
        <v>0.206732365981766</v>
      </c>
      <c r="F17" s="70"/>
      <c r="G17" s="67">
        <v>87506.195857313403</v>
      </c>
      <c r="H17" s="68">
        <v>0.31694381336923999</v>
      </c>
      <c r="I17" s="41"/>
      <c r="J17" s="67">
        <v>66428.584337042703</v>
      </c>
      <c r="K17" s="68">
        <v>0.24209919879403199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73" t="s">
        <v>126</v>
      </c>
      <c r="C18" s="95"/>
      <c r="D18" s="67">
        <v>248267.641536635</v>
      </c>
      <c r="E18" s="68">
        <v>0.44426944143695601</v>
      </c>
      <c r="F18" s="70"/>
      <c r="G18" s="67">
        <v>171596.85625087199</v>
      </c>
      <c r="H18" s="68">
        <v>0.60513513877556502</v>
      </c>
      <c r="I18" s="41"/>
      <c r="J18" s="67">
        <v>165471.03054635201</v>
      </c>
      <c r="K18" s="68">
        <v>0.59307060411059198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787259.02437341004</v>
      </c>
      <c r="E20" s="61">
        <v>0</v>
      </c>
      <c r="F20" s="62"/>
      <c r="G20" s="60">
        <v>464796.61776338902</v>
      </c>
      <c r="H20" s="61">
        <v>0</v>
      </c>
      <c r="I20" s="57"/>
      <c r="J20" s="60">
        <v>456394.45771005802</v>
      </c>
      <c r="K20" s="61">
        <v>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72</v>
      </c>
      <c r="C22" s="91"/>
      <c r="D22" s="67">
        <v>142910.364422532</v>
      </c>
      <c r="E22" s="68">
        <v>0.90523654324769298</v>
      </c>
      <c r="F22" s="70"/>
      <c r="G22" s="67">
        <v>65320.203127144603</v>
      </c>
      <c r="H22" s="68">
        <v>0.782363938399667</v>
      </c>
      <c r="I22" s="41"/>
      <c r="J22" s="67">
        <v>118966.992539948</v>
      </c>
      <c r="K22" s="68">
        <v>1.55048592065522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73</v>
      </c>
      <c r="C23" s="95"/>
      <c r="D23" s="67">
        <v>595058.95726742502</v>
      </c>
      <c r="E23" s="68">
        <v>1.9253776718844999</v>
      </c>
      <c r="F23" s="70"/>
      <c r="G23" s="67">
        <v>371932.33483872202</v>
      </c>
      <c r="H23" s="68">
        <v>2.5276954328675898</v>
      </c>
      <c r="I23" s="41"/>
      <c r="J23" s="67">
        <v>340714.78124274401</v>
      </c>
      <c r="K23" s="68">
        <v>2.59531406332954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10" t="s">
        <v>74</v>
      </c>
      <c r="C24" s="95"/>
      <c r="D24" s="67">
        <v>280259.71914299502</v>
      </c>
      <c r="E24" s="68">
        <v>1.4734509837968801</v>
      </c>
      <c r="F24" s="70"/>
      <c r="G24" s="67">
        <v>166475.57737953699</v>
      </c>
      <c r="H24" s="68">
        <v>1.73670031147968</v>
      </c>
      <c r="I24" s="41"/>
      <c r="J24" s="67">
        <v>179306.01401307501</v>
      </c>
      <c r="K24" s="68">
        <v>1.974846363862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75</v>
      </c>
      <c r="C25" s="95"/>
      <c r="D25" s="67">
        <v>202866.06955064301</v>
      </c>
      <c r="E25" s="68">
        <v>1.2480897776522299</v>
      </c>
      <c r="F25" s="70"/>
      <c r="G25" s="67">
        <v>132231.33215324601</v>
      </c>
      <c r="H25" s="68">
        <v>1.6108586778559899</v>
      </c>
      <c r="I25" s="41"/>
      <c r="J25" s="67">
        <v>130554.045344616</v>
      </c>
      <c r="K25" s="68">
        <v>1.68393797384193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273" t="s">
        <v>136</v>
      </c>
      <c r="C26" s="95"/>
      <c r="D26" s="67">
        <v>74741.131631775599</v>
      </c>
      <c r="E26" s="68">
        <v>0.47642725163808403</v>
      </c>
      <c r="F26" s="70"/>
      <c r="G26" s="67">
        <v>50143.0965352446</v>
      </c>
      <c r="H26" s="68">
        <v>0.62402940394151796</v>
      </c>
      <c r="I26" s="41"/>
      <c r="J26" s="67">
        <v>45798.203894826103</v>
      </c>
      <c r="K26" s="68">
        <v>0.59070296601675698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73" t="s">
        <v>126</v>
      </c>
      <c r="C27" s="95"/>
      <c r="D27" s="67">
        <v>183301.98148454601</v>
      </c>
      <c r="E27" s="68">
        <v>1.1599887281107699</v>
      </c>
      <c r="F27" s="70"/>
      <c r="G27" s="67">
        <v>118574.232689886</v>
      </c>
      <c r="H27" s="68">
        <v>1.43462898657182</v>
      </c>
      <c r="I27" s="41"/>
      <c r="J27" s="67">
        <v>114658.86944698999</v>
      </c>
      <c r="K27" s="68">
        <v>1.4602794530238901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885274.08242816199</v>
      </c>
      <c r="E29" s="61">
        <v>0</v>
      </c>
      <c r="F29" s="62"/>
      <c r="G29" s="60">
        <v>591873.62683249102</v>
      </c>
      <c r="H29" s="61">
        <v>0</v>
      </c>
      <c r="I29" s="57"/>
      <c r="J29" s="60">
        <v>561810.56421748304</v>
      </c>
      <c r="K29" s="61">
        <v>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72</v>
      </c>
      <c r="C31" s="91"/>
      <c r="D31" s="67">
        <v>158303.78537982301</v>
      </c>
      <c r="E31" s="68">
        <v>0.39185486913354201</v>
      </c>
      <c r="F31" s="70"/>
      <c r="G31" s="67">
        <v>100382.308144814</v>
      </c>
      <c r="H31" s="68">
        <v>0.51096464464582003</v>
      </c>
      <c r="I31" s="41"/>
      <c r="J31" s="67">
        <v>125009.567613369</v>
      </c>
      <c r="K31" s="68">
        <v>0.60730933817724697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73</v>
      </c>
      <c r="C32" s="95"/>
      <c r="D32" s="67">
        <v>744596.64205678203</v>
      </c>
      <c r="E32" s="68">
        <v>0.94984928700872095</v>
      </c>
      <c r="F32" s="70"/>
      <c r="G32" s="67">
        <v>488186.58480065502</v>
      </c>
      <c r="H32" s="68">
        <v>1.2557290246370401</v>
      </c>
      <c r="I32" s="41"/>
      <c r="J32" s="67">
        <v>474863.62059695501</v>
      </c>
      <c r="K32" s="68">
        <v>1.2380135392921301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74</v>
      </c>
      <c r="C33" s="95"/>
      <c r="D33" s="67">
        <v>389472.00537390797</v>
      </c>
      <c r="E33" s="68">
        <v>0.88769473607148097</v>
      </c>
      <c r="F33" s="70"/>
      <c r="G33" s="67">
        <v>248032.265916156</v>
      </c>
      <c r="H33" s="68">
        <v>1.1437389198539101</v>
      </c>
      <c r="I33" s="41"/>
      <c r="J33" s="67">
        <v>261591.25129140401</v>
      </c>
      <c r="K33" s="68">
        <v>1.15052847101849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75</v>
      </c>
      <c r="C34" s="95"/>
      <c r="D34" s="67">
        <v>266847.41182233399</v>
      </c>
      <c r="E34" s="68">
        <v>0.62692533491130698</v>
      </c>
      <c r="F34" s="70"/>
      <c r="G34" s="67">
        <v>164437.95678181201</v>
      </c>
      <c r="H34" s="68">
        <v>0.769854356817814</v>
      </c>
      <c r="I34" s="41"/>
      <c r="J34" s="67">
        <v>208356.49365060401</v>
      </c>
      <c r="K34" s="68">
        <v>0.98407485073914502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73" t="s">
        <v>136</v>
      </c>
      <c r="C35" s="95"/>
      <c r="D35" s="67">
        <v>87230.916109672704</v>
      </c>
      <c r="E35" s="68">
        <v>0.21886800936790601</v>
      </c>
      <c r="F35" s="70"/>
      <c r="G35" s="67">
        <v>71714.741743072896</v>
      </c>
      <c r="H35" s="68">
        <v>0.36202745206088599</v>
      </c>
      <c r="I35" s="41"/>
      <c r="J35" s="67">
        <v>48117.370429310999</v>
      </c>
      <c r="K35" s="68">
        <v>0.24397503842590201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73" t="s">
        <v>126</v>
      </c>
      <c r="C36" s="95"/>
      <c r="D36" s="67">
        <v>172937.178856643</v>
      </c>
      <c r="E36" s="68">
        <v>0.430656462528683</v>
      </c>
      <c r="F36" s="70"/>
      <c r="G36" s="67">
        <v>125513.211810113</v>
      </c>
      <c r="H36" s="68">
        <v>0.62408575400479305</v>
      </c>
      <c r="I36" s="41"/>
      <c r="J36" s="67">
        <v>121030.37931404699</v>
      </c>
      <c r="K36" s="68">
        <v>0.60427971306836803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135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ht="12" customHeight="1" x14ac:dyDescent="0.25">
      <c r="A40" s="41"/>
      <c r="B40" s="307" t="s">
        <v>145</v>
      </c>
      <c r="C40" s="307"/>
      <c r="D40" s="307"/>
      <c r="E40" s="307"/>
      <c r="F40" s="307"/>
      <c r="G40" s="30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</sheetData>
  <mergeCells count="6">
    <mergeCell ref="B40:G40"/>
    <mergeCell ref="B7:B9"/>
    <mergeCell ref="D7:E8"/>
    <mergeCell ref="G7:K7"/>
    <mergeCell ref="G8:H8"/>
    <mergeCell ref="J8:K8"/>
  </mergeCells>
  <hyperlinks>
    <hyperlink ref="K1" location="ÍNDICE!A1" tooltip="Ir a ÍNDICE" display="ÍNDICE" xr:uid="{01238B5B-0BA9-4C9E-AD80-67C3341890E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B6D7-2AA4-4F6F-8FB2-E4AAE104303B}">
  <dimension ref="A1:W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162</v>
      </c>
      <c r="C5" s="316"/>
      <c r="D5" s="316"/>
      <c r="E5" s="316"/>
      <c r="F5" s="316"/>
      <c r="G5" s="316"/>
      <c r="H5" s="34"/>
      <c r="I5" s="32"/>
      <c r="J5" s="32"/>
      <c r="K5" s="40" t="s">
        <v>138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198</v>
      </c>
      <c r="C7" s="42"/>
      <c r="D7" s="308" t="s">
        <v>197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832667.39847289806</v>
      </c>
      <c r="E11" s="61">
        <v>0</v>
      </c>
      <c r="F11" s="62"/>
      <c r="G11" s="60">
        <v>663277.96601114504</v>
      </c>
      <c r="H11" s="61">
        <v>0</v>
      </c>
      <c r="I11" s="57"/>
      <c r="J11" s="60">
        <v>617609.29869398999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63" t="s">
        <v>160</v>
      </c>
      <c r="C13" s="91"/>
      <c r="D13" s="67">
        <v>647332.285957427</v>
      </c>
      <c r="E13" s="68">
        <v>0.83903860101136596</v>
      </c>
      <c r="F13" s="70"/>
      <c r="G13" s="67">
        <v>445155.05269069999</v>
      </c>
      <c r="H13" s="68">
        <v>1.0497184326596001</v>
      </c>
      <c r="I13" s="41"/>
      <c r="J13" s="67">
        <v>464402.13601150899</v>
      </c>
      <c r="K13" s="68">
        <v>1.1749854978716301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63" t="s">
        <v>25</v>
      </c>
      <c r="C14" s="91"/>
      <c r="D14" s="67">
        <v>360654.58241216303</v>
      </c>
      <c r="E14" s="68">
        <v>0.53851573230226801</v>
      </c>
      <c r="F14" s="70"/>
      <c r="G14" s="67">
        <v>285728.61952405801</v>
      </c>
      <c r="H14" s="68">
        <v>0.807824622174521</v>
      </c>
      <c r="I14" s="41"/>
      <c r="J14" s="67">
        <v>216964.03609119501</v>
      </c>
      <c r="K14" s="68">
        <v>0.66787928643360595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3" t="s">
        <v>161</v>
      </c>
      <c r="C15" s="91"/>
      <c r="D15" s="67">
        <v>613904.17885830905</v>
      </c>
      <c r="E15" s="68">
        <v>0.80744032631746199</v>
      </c>
      <c r="F15" s="70"/>
      <c r="G15" s="67">
        <v>415485.72055740398</v>
      </c>
      <c r="H15" s="68">
        <v>1.04623710961371</v>
      </c>
      <c r="I15" s="41"/>
      <c r="J15" s="67">
        <v>437979.85338019102</v>
      </c>
      <c r="K15" s="68">
        <v>1.1441879149879299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163" t="s">
        <v>157</v>
      </c>
      <c r="C16" s="91"/>
      <c r="D16" s="67">
        <v>127691.149667451</v>
      </c>
      <c r="E16" s="68">
        <v>0.196204012069955</v>
      </c>
      <c r="F16" s="70"/>
      <c r="G16" s="67">
        <v>104095.427250044</v>
      </c>
      <c r="H16" s="68">
        <v>0.31083265708049301</v>
      </c>
      <c r="I16" s="41"/>
      <c r="J16" s="67">
        <v>72170.6464843992</v>
      </c>
      <c r="K16" s="68">
        <v>0.22823372657322899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63" t="s">
        <v>137</v>
      </c>
      <c r="C17" s="91"/>
      <c r="D17" s="67">
        <v>134260.87984519199</v>
      </c>
      <c r="E17" s="68">
        <v>0.209416872326949</v>
      </c>
      <c r="F17" s="70"/>
      <c r="G17" s="67">
        <v>82735.620265197795</v>
      </c>
      <c r="H17" s="68">
        <v>0.25110263552867501</v>
      </c>
      <c r="I17" s="41"/>
      <c r="J17" s="67">
        <v>106113.282059958</v>
      </c>
      <c r="K17" s="68">
        <v>0.33592469535824099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3" t="s">
        <v>127</v>
      </c>
      <c r="C18" s="91"/>
      <c r="D18" s="67">
        <v>152007.017626521</v>
      </c>
      <c r="E18" s="68">
        <v>0.23382189162755601</v>
      </c>
      <c r="F18" s="70"/>
      <c r="G18" s="67">
        <v>132684.20575916101</v>
      </c>
      <c r="H18" s="68">
        <v>0.39588619435454497</v>
      </c>
      <c r="I18" s="41"/>
      <c r="J18" s="67">
        <v>75566.949933862794</v>
      </c>
      <c r="K18" s="68">
        <v>0.24141181984364099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914697.02324809902</v>
      </c>
      <c r="E20" s="61">
        <v>0</v>
      </c>
      <c r="F20" s="62"/>
      <c r="G20" s="60">
        <v>550224.50154464005</v>
      </c>
      <c r="H20" s="61">
        <v>0</v>
      </c>
      <c r="I20" s="57"/>
      <c r="J20" s="60">
        <v>512430.289182621</v>
      </c>
      <c r="K20" s="61">
        <v>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63" t="s">
        <v>160</v>
      </c>
      <c r="C22" s="91"/>
      <c r="D22" s="67">
        <v>545757.631169823</v>
      </c>
      <c r="E22" s="68">
        <v>1.8775036235882201</v>
      </c>
      <c r="F22" s="70"/>
      <c r="G22" s="67">
        <v>311018.92700777802</v>
      </c>
      <c r="H22" s="68">
        <v>2.1471564766176301</v>
      </c>
      <c r="I22" s="41"/>
      <c r="J22" s="67">
        <v>324081.055148113</v>
      </c>
      <c r="K22" s="68">
        <v>2.4213973889123599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3" t="s">
        <v>25</v>
      </c>
      <c r="C23" s="91"/>
      <c r="D23" s="67">
        <v>283800.06328517501</v>
      </c>
      <c r="E23" s="68">
        <v>1.3473603529591101</v>
      </c>
      <c r="F23" s="70"/>
      <c r="G23" s="67">
        <v>207525.261791464</v>
      </c>
      <c r="H23" s="68">
        <v>1.8666819212230099</v>
      </c>
      <c r="I23" s="41"/>
      <c r="J23" s="67">
        <v>174914.99627246201</v>
      </c>
      <c r="K23" s="68">
        <v>1.7384525603952099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63" t="s">
        <v>161</v>
      </c>
      <c r="C24" s="91"/>
      <c r="D24" s="67">
        <v>469626.83576551802</v>
      </c>
      <c r="E24" s="68">
        <v>1.7333157232224401</v>
      </c>
      <c r="F24" s="70"/>
      <c r="G24" s="67">
        <v>274572.18400629901</v>
      </c>
      <c r="H24" s="68">
        <v>1.96051427065835</v>
      </c>
      <c r="I24" s="41"/>
      <c r="J24" s="67">
        <v>302643.87189834198</v>
      </c>
      <c r="K24" s="68">
        <v>2.5295087837962802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30" customHeight="1" x14ac:dyDescent="0.25">
      <c r="A25" s="41"/>
      <c r="B25" s="163" t="s">
        <v>157</v>
      </c>
      <c r="C25" s="91"/>
      <c r="D25" s="67">
        <v>66775.720320696098</v>
      </c>
      <c r="E25" s="68">
        <v>0.33023784909894</v>
      </c>
      <c r="F25" s="70"/>
      <c r="G25" s="67">
        <v>62655.8603910905</v>
      </c>
      <c r="H25" s="68">
        <v>0.57947287125766</v>
      </c>
      <c r="I25" s="41"/>
      <c r="J25" s="67">
        <v>20332.089587644499</v>
      </c>
      <c r="K25" s="68">
        <v>0.22083810303457099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63" t="s">
        <v>137</v>
      </c>
      <c r="C26" s="91"/>
      <c r="D26" s="67">
        <v>54356.873333904099</v>
      </c>
      <c r="E26" s="68">
        <v>0.28684671224849101</v>
      </c>
      <c r="F26" s="70"/>
      <c r="G26" s="67">
        <v>32001.818574366502</v>
      </c>
      <c r="H26" s="68">
        <v>0.32068742176332299</v>
      </c>
      <c r="I26" s="41"/>
      <c r="J26" s="67">
        <v>45572.271211570704</v>
      </c>
      <c r="K26" s="68">
        <v>0.49355222697540801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63" t="s">
        <v>127</v>
      </c>
      <c r="C27" s="91"/>
      <c r="D27" s="67">
        <v>85640.391512903196</v>
      </c>
      <c r="E27" s="68">
        <v>0.441881722552668</v>
      </c>
      <c r="F27" s="70"/>
      <c r="G27" s="67">
        <v>65688.169519763207</v>
      </c>
      <c r="H27" s="68">
        <v>0.65078190569747696</v>
      </c>
      <c r="I27" s="41"/>
      <c r="J27" s="67">
        <v>54202.651897432901</v>
      </c>
      <c r="K27" s="68">
        <v>0.59298476141078504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967498.32597032096</v>
      </c>
      <c r="E29" s="61">
        <v>0</v>
      </c>
      <c r="F29" s="62"/>
      <c r="G29" s="60">
        <v>668028.35263511201</v>
      </c>
      <c r="H29" s="61">
        <v>0</v>
      </c>
      <c r="I29" s="57"/>
      <c r="J29" s="60">
        <v>599144.50395242404</v>
      </c>
      <c r="K29" s="61">
        <v>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3" t="s">
        <v>160</v>
      </c>
      <c r="C31" s="91"/>
      <c r="D31" s="67">
        <v>601840.25363207306</v>
      </c>
      <c r="E31" s="68">
        <v>0.92935598297155197</v>
      </c>
      <c r="F31" s="70"/>
      <c r="G31" s="67">
        <v>395168.63243937498</v>
      </c>
      <c r="H31" s="68">
        <v>1.2456142047712899</v>
      </c>
      <c r="I31" s="41"/>
      <c r="J31" s="67">
        <v>423926.06468215899</v>
      </c>
      <c r="K31" s="68">
        <v>1.3271326847135301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3" t="s">
        <v>25</v>
      </c>
      <c r="C32" s="91"/>
      <c r="D32" s="67">
        <v>256936.16084173101</v>
      </c>
      <c r="E32" s="68">
        <v>0.53478363764983905</v>
      </c>
      <c r="F32" s="70"/>
      <c r="G32" s="67">
        <v>211552.26353195799</v>
      </c>
      <c r="H32" s="68">
        <v>0.85307000150797396</v>
      </c>
      <c r="I32" s="41"/>
      <c r="J32" s="67">
        <v>137746.20069903601</v>
      </c>
      <c r="K32" s="68">
        <v>0.60335491774420902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3" t="s">
        <v>161</v>
      </c>
      <c r="C33" s="91"/>
      <c r="D33" s="67">
        <v>544010.03819323599</v>
      </c>
      <c r="E33" s="68">
        <v>0.87998028140935003</v>
      </c>
      <c r="F33" s="70"/>
      <c r="G33" s="67">
        <v>373782.32050895703</v>
      </c>
      <c r="H33" s="68">
        <v>1.20302900062439</v>
      </c>
      <c r="I33" s="41"/>
      <c r="J33" s="67">
        <v>357501.93357050797</v>
      </c>
      <c r="K33" s="68">
        <v>1.2527276346184499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30" customHeight="1" x14ac:dyDescent="0.25">
      <c r="A34" s="41"/>
      <c r="B34" s="163" t="s">
        <v>157</v>
      </c>
      <c r="C34" s="91"/>
      <c r="D34" s="67">
        <v>110319.958227068</v>
      </c>
      <c r="E34" s="68">
        <v>0.238647254154644</v>
      </c>
      <c r="F34" s="70"/>
      <c r="G34" s="67">
        <v>84551.797672425499</v>
      </c>
      <c r="H34" s="68">
        <v>0.36498096823443199</v>
      </c>
      <c r="I34" s="41"/>
      <c r="J34" s="67">
        <v>69247.442891244194</v>
      </c>
      <c r="K34" s="68">
        <v>0.30495246901058798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3" t="s">
        <v>137</v>
      </c>
      <c r="C35" s="91"/>
      <c r="D35" s="67">
        <v>122967.224142833</v>
      </c>
      <c r="E35" s="68">
        <v>0.27521981795101202</v>
      </c>
      <c r="F35" s="70"/>
      <c r="G35" s="67">
        <v>76385.170433469204</v>
      </c>
      <c r="H35" s="68">
        <v>0.33543077601516402</v>
      </c>
      <c r="I35" s="41"/>
      <c r="J35" s="67">
        <v>95832.204899472505</v>
      </c>
      <c r="K35" s="68">
        <v>0.43001262986345801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3" t="s">
        <v>127</v>
      </c>
      <c r="C36" s="91"/>
      <c r="D36" s="67">
        <v>126978.72600630901</v>
      </c>
      <c r="E36" s="68">
        <v>0.27553850690723303</v>
      </c>
      <c r="F36" s="70"/>
      <c r="G36" s="67">
        <v>115767.421134688</v>
      </c>
      <c r="H36" s="68">
        <v>0.49006448687777499</v>
      </c>
      <c r="I36" s="41"/>
      <c r="J36" s="67">
        <v>52949.850583289102</v>
      </c>
      <c r="K36" s="68">
        <v>0.23767301597041399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140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s="4" customFormat="1" ht="12" customHeight="1" x14ac:dyDescent="0.2">
      <c r="A40" s="99"/>
      <c r="B40" s="277" t="s">
        <v>139</v>
      </c>
      <c r="C40" s="109"/>
      <c r="D40" s="88"/>
      <c r="E40" s="88"/>
      <c r="F40" s="88"/>
      <c r="G40" s="278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</row>
    <row r="41" spans="1:23" ht="12" customHeight="1" x14ac:dyDescent="0.25">
      <c r="A41" s="41"/>
      <c r="B41" s="307" t="s">
        <v>145</v>
      </c>
      <c r="C41" s="307"/>
      <c r="D41" s="307"/>
      <c r="E41" s="307"/>
      <c r="F41" s="307"/>
      <c r="G41" s="30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</sheetData>
  <mergeCells count="7">
    <mergeCell ref="B41:G41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ED1BD61-6A3C-453F-BDE9-89AC1554108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2025-03-11T17:29:20Z</dcterms:modified>
</cp:coreProperties>
</file>