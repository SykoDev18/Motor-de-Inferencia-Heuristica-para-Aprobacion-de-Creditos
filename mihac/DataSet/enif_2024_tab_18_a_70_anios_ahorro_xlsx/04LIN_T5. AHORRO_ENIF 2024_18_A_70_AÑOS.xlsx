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illermo.reyes\Downloads\20250310-Pob1870-ENIF 2024\Tema 05\"/>
    </mc:Choice>
  </mc:AlternateContent>
  <xr:revisionPtr revIDLastSave="0" documentId="13_ncr:1_{F5C30DDE-63F2-4236-9325-927075DACCB4}" xr6:coauthVersionLast="47" xr6:coauthVersionMax="47" xr10:uidLastSave="{00000000-0000-0000-0000-000000000000}"/>
  <bookViews>
    <workbookView xWindow="-120" yWindow="-120" windowWidth="29040" windowHeight="15840" tabRatio="918" xr2:uid="{00000000-000D-0000-FFFF-FFFF00000000}"/>
  </bookViews>
  <sheets>
    <sheet name="ÍNDICE" sheetId="63" r:id="rId1"/>
    <sheet name="Cuadro 5.1" sheetId="43" r:id="rId2"/>
    <sheet name="Cuadro 5.2" sheetId="64" r:id="rId3"/>
    <sheet name="Cuadro 5.3" sheetId="65" r:id="rId4"/>
    <sheet name="Cuadro 5.4" sheetId="66" r:id="rId5"/>
    <sheet name="Cuadro 5.5" sheetId="67" r:id="rId6"/>
    <sheet name="Cuadro 5.6" sheetId="68" r:id="rId7"/>
    <sheet name="Cuadro 5.7" sheetId="69" r:id="rId8"/>
    <sheet name="Cuadro 5.8" sheetId="70" r:id="rId9"/>
    <sheet name="Cuadro 5.9" sheetId="71" r:id="rId10"/>
    <sheet name="Cuadro 5.10" sheetId="72" r:id="rId11"/>
    <sheet name="Cuadro 5.11" sheetId="73" r:id="rId12"/>
    <sheet name="Cuadro 5.12" sheetId="74" r:id="rId13"/>
    <sheet name="Cuadro 5.13" sheetId="75" r:id="rId14"/>
    <sheet name="Cuadro 5.14" sheetId="76" r:id="rId15"/>
    <sheet name="Cuadro 5.15" sheetId="77" r:id="rId16"/>
    <sheet name="Cuadro 5.16" sheetId="78" r:id="rId17"/>
    <sheet name="Cuadro 5.17" sheetId="79" r:id="rId18"/>
  </sheets>
  <externalReferences>
    <externalReference r:id="rId19"/>
  </externalReferences>
  <definedNames>
    <definedName name="\p">#N/A</definedName>
    <definedName name="\s">#N/A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 localSheetId="15">#REF!</definedName>
    <definedName name="A_impresión_IM" localSheetId="16">#REF!</definedName>
    <definedName name="A_impresión_IM" localSheetId="17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0">#REF!</definedName>
    <definedName name="A_impresión_IM">#REF!</definedName>
    <definedName name="Cuadro_2.1" localSheetId="0">#REF!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DESTINO" localSheetId="0">#REF!</definedName>
    <definedName name="DESTINO">#REF!</definedName>
    <definedName name="índice" localSheetId="0">#REF!</definedName>
    <definedName name="índice">#REF!</definedName>
    <definedName name="Ir_a_inicio" localSheetId="0">'[1]Cuadro 1'!#REF!</definedName>
    <definedName name="Ir_a_inicio">'[1]Cuadro 1'!#REF!</definedName>
    <definedName name="Libro1" localSheetId="0">'[1]Cuadro 1'!#REF!</definedName>
    <definedName name="Libro1">'[1]Cuadro 1'!#REF!</definedName>
    <definedName name="No" localSheetId="0">#REF!</definedName>
    <definedName name="No">#REF!</definedName>
    <definedName name="paso" localSheetId="0">#REF!</definedName>
    <definedName name="paso">#REF!</definedName>
    <definedName name="prueba" localSheetId="0">#REF!</definedName>
    <definedName name="prueba">#REF!</definedName>
    <definedName name="si" localSheetId="0">#REF!</definedName>
    <definedName name="s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8" i="63" l="1"/>
</calcChain>
</file>

<file path=xl/sharedStrings.xml><?xml version="1.0" encoding="utf-8"?>
<sst xmlns="http://schemas.openxmlformats.org/spreadsheetml/2006/main" count="781" uniqueCount="216">
  <si>
    <t>Hombres</t>
  </si>
  <si>
    <t xml:space="preserve">Estados Unidos Mexicanos </t>
  </si>
  <si>
    <t>1 a 14 999 habitantes</t>
  </si>
  <si>
    <t xml:space="preserve">15 000 y más habitantes </t>
  </si>
  <si>
    <t>Estados Unidos Mexicanos</t>
  </si>
  <si>
    <r>
      <t>Sí ahorra informalmente</t>
    </r>
    <r>
      <rPr>
        <b/>
        <vertAlign val="superscript"/>
        <sz val="8"/>
        <rFont val="Arial"/>
        <family val="2"/>
      </rPr>
      <t>1</t>
    </r>
  </si>
  <si>
    <t>Prestando dinero</t>
  </si>
  <si>
    <t>Comprando animales o bienes</t>
  </si>
  <si>
    <t>En una caja de ahorro</t>
  </si>
  <si>
    <t>En una tanda</t>
  </si>
  <si>
    <t>En su casa</t>
  </si>
  <si>
    <t>No ahorra informalmente</t>
  </si>
  <si>
    <t xml:space="preserve">Mujeres </t>
  </si>
  <si>
    <t>Tamaño de localidad y destino del ahorro informal</t>
  </si>
  <si>
    <t xml:space="preserve">Gastos de comida, personales o pago de servicios </t>
  </si>
  <si>
    <t xml:space="preserve">Atender emergencias o imprevistos </t>
  </si>
  <si>
    <t>Comprar, reparar, remodelar o ampliar una casa; comprar terrenos, vehículos, joyas, animales, etcétera</t>
  </si>
  <si>
    <t>Gastos de salud</t>
  </si>
  <si>
    <t xml:space="preserve">Gastos de educación </t>
  </si>
  <si>
    <t xml:space="preserve">Pagar vacaciones o fiestas </t>
  </si>
  <si>
    <t xml:space="preserve">Comenzar, ampliar u operar un negocio </t>
  </si>
  <si>
    <t>Para la vejez o retiro</t>
  </si>
  <si>
    <t>Otro destino</t>
  </si>
  <si>
    <t xml:space="preserve">Cuenta o tarjeta de nómina  </t>
  </si>
  <si>
    <t xml:space="preserve">Cuenta o tarjeta de pensión </t>
  </si>
  <si>
    <t>Cuenta o tarjeta para recibir apoyos del gobierno</t>
  </si>
  <si>
    <t xml:space="preserve">Cuenta de ahorro </t>
  </si>
  <si>
    <t xml:space="preserve">Cuenta de cheques </t>
  </si>
  <si>
    <t xml:space="preserve">Depósito a plazo fijo </t>
  </si>
  <si>
    <t xml:space="preserve">Fondo de inversión </t>
  </si>
  <si>
    <t>Otro tipo de cuenta</t>
  </si>
  <si>
    <t>No tiene alguna cuenta de ahorro</t>
  </si>
  <si>
    <r>
      <t>Sí ahorró en el último año</t>
    </r>
    <r>
      <rPr>
        <b/>
        <vertAlign val="superscript"/>
        <sz val="8"/>
        <rFont val="Arial"/>
        <family val="2"/>
      </rPr>
      <t>2</t>
    </r>
  </si>
  <si>
    <t>No ahorró en el último año</t>
  </si>
  <si>
    <t xml:space="preserve">Para la vejez o retiro </t>
  </si>
  <si>
    <t>Le gusta ahorrar</t>
  </si>
  <si>
    <t>Para invertir o le permite ganar intereses</t>
  </si>
  <si>
    <t>Tiene un negocio y ahí deposita y administra su dinero</t>
  </si>
  <si>
    <t>Para recibir un apoyo gubernamental</t>
  </si>
  <si>
    <t>Es una forma segura de ahorro</t>
  </si>
  <si>
    <t>Es una forma sencilla para comprar y pagar cosas</t>
  </si>
  <si>
    <t>Otra razón</t>
  </si>
  <si>
    <t>No especificado</t>
  </si>
  <si>
    <t>1 vez</t>
  </si>
  <si>
    <t>2 a 4 veces</t>
  </si>
  <si>
    <t>5 a 10 veces</t>
  </si>
  <si>
    <t>11 o más veces</t>
  </si>
  <si>
    <t>No la utiliza</t>
  </si>
  <si>
    <t>Anuncios comerciales de bancos o instituciones financieras</t>
  </si>
  <si>
    <t>Recomendación de especialistas o analistas</t>
  </si>
  <si>
    <t>Información proporcionada por el banco o institución financiera</t>
  </si>
  <si>
    <t>Recomendación de amistades o personas conocidas</t>
  </si>
  <si>
    <t xml:space="preserve">La sucursal le queda lejos o no hay </t>
  </si>
  <si>
    <t xml:space="preserve">Los intereses bajos o las comisiones altas </t>
  </si>
  <si>
    <t xml:space="preserve">No confía en instituciones financieras o le dan mal servicio </t>
  </si>
  <si>
    <t xml:space="preserve">Piden requisitos que no tiene </t>
  </si>
  <si>
    <t xml:space="preserve">Prefiere otras formas de ahorro </t>
  </si>
  <si>
    <t xml:space="preserve">No la necesita </t>
  </si>
  <si>
    <t>No le alcanza, sus ingresos son insuficientes o variables</t>
  </si>
  <si>
    <t>No sabe qué es o cómo usarla</t>
  </si>
  <si>
    <t>No quiere que le cobren impuestos</t>
  </si>
  <si>
    <t xml:space="preserve">Sí sabe que los ahorros están protegidos </t>
  </si>
  <si>
    <t>IPAB (Instituto para la Protección al Ahorro Bancario)</t>
  </si>
  <si>
    <t>Otro</t>
  </si>
  <si>
    <t>No sabe el nombre de la institución</t>
  </si>
  <si>
    <t xml:space="preserve">No sabe que los ahorros están protegidos </t>
  </si>
  <si>
    <r>
      <t xml:space="preserve"> Sí tiene alguna cuenta de ahorro</t>
    </r>
    <r>
      <rPr>
        <b/>
        <vertAlign val="superscript"/>
        <sz val="8"/>
        <rFont val="Arial"/>
        <family val="2"/>
      </rPr>
      <t>1</t>
    </r>
  </si>
  <si>
    <t>Tamaño de localidad y destino del ahorro formal</t>
  </si>
  <si>
    <t>Tamaño de localidad, condición de tenencia de tarjeta de débito y frecuencia mensual de uso</t>
  </si>
  <si>
    <t>Tamaño de localidad, condición y medio de comparación utilizado en la última cuenta de ahorro adquirida</t>
  </si>
  <si>
    <t>Tamaño de localidad y razón de no tenencia</t>
  </si>
  <si>
    <t xml:space="preserve">A través de la empresa donde trabaja
</t>
  </si>
  <si>
    <t>Página de internet</t>
  </si>
  <si>
    <t>Aplicación de celular</t>
  </si>
  <si>
    <t>Cajero automático</t>
  </si>
  <si>
    <t>Sucursal o ventanilla</t>
  </si>
  <si>
    <t xml:space="preserve">Tamaño de localidad y periodo equivalente de ahorro </t>
  </si>
  <si>
    <t>Cuadro 5.16</t>
  </si>
  <si>
    <t>Cuadro 5.15</t>
  </si>
  <si>
    <t>Cuadro 5.14</t>
  </si>
  <si>
    <t>Cuadro 5.13</t>
  </si>
  <si>
    <t>Cuadro 5.12</t>
  </si>
  <si>
    <t>Cuadro 5.11</t>
  </si>
  <si>
    <t>Cuadro 5.10</t>
  </si>
  <si>
    <t>Cuadro 5.9</t>
  </si>
  <si>
    <t>Cuadro 5.8</t>
  </si>
  <si>
    <t>Cuadro 5.7</t>
  </si>
  <si>
    <t>Cuadro 5.6</t>
  </si>
  <si>
    <t>Cuadro 5.5</t>
  </si>
  <si>
    <t>Cuadro 5.4</t>
  </si>
  <si>
    <t>Cuadro 5.3</t>
  </si>
  <si>
    <t>Cuadro 5.2</t>
  </si>
  <si>
    <t>Cuadro 5.1</t>
  </si>
  <si>
    <t>Con familiares o personas conocidas</t>
  </si>
  <si>
    <t>ÍNDICE</t>
  </si>
  <si>
    <t>Relativos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</si>
  <si>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por tipo de ahorro informal puede ser mayor al total porque una persona puede declarar más de un tipo.</t>
    </r>
  </si>
  <si>
    <t>Ahorró una semana de lo que gana o recibe</t>
  </si>
  <si>
    <t>Ahorró una quincena de lo que gana o recibe</t>
  </si>
  <si>
    <t>Ahorró un mes de lo que gana o recibe</t>
  </si>
  <si>
    <t>Ahorró más de un mes de lo que gana o recibe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</si>
  <si>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Considera cuentas de instituciones reguladas no bancarias y bancarias.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</si>
  <si>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Población que nunca ha tenido cuentas de ahorro en instituciones reguladas no bancarias y bancarias.</t>
    </r>
  </si>
  <si>
    <t>Población de 18 a 70 años que tiene cuenta de ahorro por razón de contratación de la(s) cuenta(s) según sexo</t>
  </si>
  <si>
    <t>Población de 18 a 70 años por tamaño de localidad, condición de tenencia y tipo de cuenta de ahorro, según sexo</t>
  </si>
  <si>
    <t>Población de 18 a 70 años por tamaño de localidad, condición y tipo de ahorro informal según sexo</t>
  </si>
  <si>
    <r>
      <t xml:space="preserve">Tema 5. 
</t>
    </r>
    <r>
      <rPr>
        <sz val="11"/>
        <color theme="10"/>
        <rFont val="Arial"/>
        <family val="2"/>
      </rPr>
      <t>Ahorro</t>
    </r>
  </si>
  <si>
    <t>Título</t>
  </si>
  <si>
    <t>ID Cuadro</t>
  </si>
  <si>
    <t>Tema</t>
  </si>
  <si>
    <t>Nivel de confianza del 90%</t>
  </si>
  <si>
    <t>TABULADOS BÁSICOS</t>
  </si>
  <si>
    <t>Para recibir un pago</t>
  </si>
  <si>
    <t>Sí tiene tarjeta de débito</t>
  </si>
  <si>
    <r>
      <t>Menos de una vez al mes</t>
    </r>
    <r>
      <rPr>
        <vertAlign val="superscript"/>
        <sz val="8"/>
        <rFont val="Arial"/>
        <family val="2"/>
      </rPr>
      <t>1</t>
    </r>
  </si>
  <si>
    <r>
      <t>No tiene tarjeta de débito</t>
    </r>
    <r>
      <rPr>
        <b/>
        <vertAlign val="superscript"/>
        <sz val="8"/>
        <rFont val="Arial"/>
        <family val="2"/>
      </rPr>
      <t>2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</si>
  <si>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 xml:space="preserve">La utiliza pocas veces al año. </t>
    </r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</si>
  <si>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Incluye la población que tiene cuentas de depósitos a plazo fijo, fondos de inversión y otros, a los que no se les captó la tenencia de tarjeta de débito. </t>
    </r>
  </si>
  <si>
    <t>No sabe</t>
  </si>
  <si>
    <t>Con alguna acción de ahorro</t>
  </si>
  <si>
    <t xml:space="preserve">Solo con acción de ahorro informal </t>
  </si>
  <si>
    <t xml:space="preserve">Solo con acción de ahorro formal </t>
  </si>
  <si>
    <t>Sin acción de ahorro</t>
  </si>
  <si>
    <t>Para acceder a otro producto o servicio financiero</t>
  </si>
  <si>
    <t>SOCAP/ Focoop</t>
  </si>
  <si>
    <t>Fondo de protección de SOFIPOS</t>
  </si>
  <si>
    <t>Ningún medio (lo hace otra persona)</t>
  </si>
  <si>
    <t xml:space="preserve">No sabe (No recuerda) 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</si>
  <si>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declarar más de un destino.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</si>
  <si>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persona puede tener más de un tipo de cuenta.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</si>
  <si>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considera que una persona tiene ahorro formal en el último año, si durante este periodo, guardó o ahorró en alguna de sus cuentas con instituciones reguladas no bancarias y bancarias.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</si>
  <si>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puede declarar más de un tipo de cuenta.</t>
    </r>
  </si>
  <si>
    <t>Se la dieron en el trabajo para depositarle su salario o pensión</t>
  </si>
  <si>
    <r>
      <rPr>
        <vertAlign val="superscript"/>
        <sz val="8"/>
        <color indexed="8"/>
        <rFont val="Arial"/>
        <family val="2"/>
      </rPr>
      <t>1</t>
    </r>
    <r>
      <rPr>
        <sz val="8"/>
        <color indexed="8"/>
        <rFont val="Arial"/>
        <family val="2"/>
      </rPr>
      <t xml:space="preserve"> La suma puede ser mayor al total porque una persona pudo haber declarado más de una razón de contratación de la(s) cuenta(s) de ahorro .</t>
    </r>
  </si>
  <si>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 xml:space="preserve"> La suma puede ser mayor al total porque una persona pudo haber declarado más de un destino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</si>
  <si>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comercios, llamada telefónica y otros medios de consulta.</t>
    </r>
  </si>
  <si>
    <r>
      <t>Otro</t>
    </r>
    <r>
      <rPr>
        <vertAlign val="superscript"/>
        <sz val="8"/>
        <rFont val="Arial"/>
        <family val="2"/>
      </rPr>
      <t>1</t>
    </r>
  </si>
  <si>
    <r>
      <t>Otro tipo de cuenta</t>
    </r>
    <r>
      <rPr>
        <vertAlign val="superscript"/>
        <sz val="8"/>
        <rFont val="Arial"/>
        <family val="2"/>
      </rPr>
      <t>2</t>
    </r>
  </si>
  <si>
    <t>Cuadro 5.17</t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</si>
  <si>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otro tipo de cuenta de ahorro y tarjetas de crédito.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</si>
  <si>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Excluye a las personas nunca usuarias de cuentas de ahorro.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</si>
  <si>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Incluye a personas que no trabajan, pero reciben su mesada, su gasto o apoyo económico para sus gastos personales como las personas dedicadas exclusivamente al trabajo doméstico del hogar o al cuidado de algún familiar, estudiantes, etcétera. 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</si>
  <si>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Se refiere a las instituciones que el informante declaró como protectoras del ahorro.</t>
    </r>
  </si>
  <si>
    <t>Con acción de ahorro informal y acción 
de ahorro formal</t>
  </si>
  <si>
    <t>Tamaño de localidad, condición de acción 
de ahorro en último año y tipo</t>
  </si>
  <si>
    <r>
      <t xml:space="preserve">Fuente: </t>
    </r>
    <r>
      <rPr>
        <b/>
        <sz val="8"/>
        <color rgb="FF000000"/>
        <rFont val="Arial"/>
        <family val="2"/>
      </rPr>
      <t>INEGI</t>
    </r>
    <r>
      <rPr>
        <sz val="8"/>
        <color indexed="8"/>
        <rFont val="Arial"/>
        <family val="2"/>
      </rPr>
      <t xml:space="preserve"> Encuesta Nacional de Inclusión Financiera (ENIF) 2024.</t>
    </r>
  </si>
  <si>
    <t>Tamaño de localidad, condición de tenencia 
y tipo de cuenta de ahorro</t>
  </si>
  <si>
    <t>Cuenta contratada por Internet o aplicación 
como Mercado Pago, Nu o Spin de Oxxo</t>
  </si>
  <si>
    <t xml:space="preserve">Tamaño de localidad, condición de ahorro 
formal en el último año y tipo de cuenta </t>
  </si>
  <si>
    <t>Sitios o página de instituciones como Condusef 
o Banco de México</t>
  </si>
  <si>
    <t>No comparó la última cuenta adquirida antes 
de contratarla</t>
  </si>
  <si>
    <t>Sí comparó la última cuenta adquirida antes 
de contratarla</t>
  </si>
  <si>
    <r>
      <t>Población de 18 a 70 años nunca usuaria de cuenta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por tamaño de localidad y razón de no tenencia según sexo</t>
    </r>
  </si>
  <si>
    <r>
      <t>Población de 18 a 70 años por tamaño de localidad, conocimiento de protección al ahorro e institución declarada como protectora del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según sexo</t>
    </r>
  </si>
  <si>
    <t>Tamaño de localidad, conocimiento de protección 
al ahorro e institución declarada como
protectora del ahorro</t>
  </si>
  <si>
    <t>Sucursal de la institución financiera</t>
  </si>
  <si>
    <t>Tamaño de localidad y medios utilizados 
para consultas o movimientos</t>
  </si>
  <si>
    <t>Cuenta contratada por Internet o aplicación como 
Mercado Pago, Nu o Spin de Oxxo</t>
  </si>
  <si>
    <t>Cuenta o tarjeta para recibir apoyos 
del gobierno</t>
  </si>
  <si>
    <r>
      <t>Otros medios</t>
    </r>
    <r>
      <rPr>
        <vertAlign val="superscript"/>
        <sz val="8"/>
        <rFont val="Arial"/>
        <family val="2"/>
      </rPr>
      <t>2</t>
    </r>
  </si>
  <si>
    <t xml:space="preserve">Cuenta o tarjeta de nómina o pensión </t>
  </si>
  <si>
    <t>Cuenta de ahorro o cheques</t>
  </si>
  <si>
    <r>
      <t>Población de 18 a 70 años que tiene o ha tenido alguna cuenta de ahorro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por tamaño de localidad  y tipo de primer producto de ahorro adquirido según sexo</t>
    </r>
  </si>
  <si>
    <t>Encuesta Nacional de Inclusión Financiera (ENIF) 2024</t>
  </si>
  <si>
    <t>Población de 18 a 70 años por tamaño de localidad, condición de acción de ahorro en último año y tipo según sexo</t>
  </si>
  <si>
    <t>Población de 18 a 70 años que tiene ahorro informal  por tamaño de localidad y destino del ahorro informal según sexo</t>
  </si>
  <si>
    <t>Población de 18 a 70 años que tiene o ha tenido alguna cuenta de ahorro por tamaño de localidad  y tipo de primer producto de ahorro adquirido según sexo</t>
  </si>
  <si>
    <t>Población de 18 a 70 años que tiene cuenta de ahorro por tamaño de localidad  y medios utilizados para consultas o movimientos según sexo</t>
  </si>
  <si>
    <t>Población de 18 a 70 años que tiene cuenta de ahorro por tamaño de localidad y sitio de apertura de la última cuenta contratada según sexo</t>
  </si>
  <si>
    <t>Población de 18 a 70 años</t>
  </si>
  <si>
    <t xml:space="preserve">Sexo </t>
  </si>
  <si>
    <t xml:space="preserve">Absolutos </t>
  </si>
  <si>
    <t>Tamaño de localidad, condición
y tipo de ahorro informal</t>
  </si>
  <si>
    <r>
      <t>Población de 18 a 70 años que tiene ahorro informal</t>
    </r>
    <r>
      <rPr>
        <b/>
        <vertAlign val="superscript"/>
        <sz val="9"/>
        <color theme="1"/>
        <rFont val="Arial"/>
        <family val="2"/>
      </rPr>
      <t xml:space="preserve">  </t>
    </r>
    <r>
      <rPr>
        <b/>
        <sz val="9"/>
        <color theme="1"/>
        <rFont val="Arial"/>
        <family val="2"/>
      </rPr>
      <t>por tamaño de localidad 
y destino del ahorro informal según sexo</t>
    </r>
  </si>
  <si>
    <r>
      <t>Población de 18 a 70 años que ahorró informalmente en el último año, por tamaño de localidad 
y periodo equivalente de ahorro</t>
    </r>
    <r>
      <rPr>
        <b/>
        <vertAlign val="superscript"/>
        <sz val="9"/>
        <color theme="1"/>
        <rFont val="Arial"/>
        <family val="2"/>
      </rPr>
      <t>1</t>
    </r>
    <r>
      <rPr>
        <b/>
        <sz val="9"/>
        <color theme="1"/>
        <rFont val="Arial"/>
        <family val="2"/>
      </rPr>
      <t xml:space="preserve"> según sexo</t>
    </r>
  </si>
  <si>
    <t>Población de 18 a 70 años que ahorró informalmente en el último año, por tamaño de localidad y periodo equivalente de ahorro según sexo</t>
  </si>
  <si>
    <r>
      <t>Población de 18 a 70 años que tiene ahorro informal</t>
    </r>
    <r>
      <rPr>
        <b/>
        <vertAlign val="superscript"/>
        <sz val="8"/>
        <color theme="1"/>
        <rFont val="Arial"/>
        <family val="2"/>
      </rPr>
      <t>1</t>
    </r>
  </si>
  <si>
    <t>Población de 18 a 70 años que ahorró informalmente en el último año</t>
  </si>
  <si>
    <t>Población de 18 a 70 años que tiene cuenta de ahorro</t>
  </si>
  <si>
    <r>
      <t>Población de 18 a 70 años que tiene cuenta de ahorro, por tamaño de localidad, condición de ahorro formal
en el último año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cuenta según sexo</t>
    </r>
  </si>
  <si>
    <t>Población de 18 a 70 años que tiene cuenta de ahorro, por tamaño de localidad, condición de ahorro formal en el último año y tipo de cuenta según sexo</t>
  </si>
  <si>
    <t>Población de 18 a 70 años por tamaño de localidad, condición de tenencia y tipo de cuenta de ahorro según sexo</t>
  </si>
  <si>
    <r>
      <t>Población de 18 a 70 años que tiene cuenta de ahorro</t>
    </r>
    <r>
      <rPr>
        <b/>
        <vertAlign val="superscript"/>
        <sz val="8"/>
        <color theme="1"/>
        <rFont val="Arial"/>
        <family val="2"/>
      </rPr>
      <t>1</t>
    </r>
  </si>
  <si>
    <t>Razón de contratación de la(s) cuenta(s)</t>
  </si>
  <si>
    <r>
      <t>Población de 18 a 70 años que ahorró formalmente en el último año</t>
    </r>
    <r>
      <rPr>
        <b/>
        <vertAlign val="superscript"/>
        <sz val="8"/>
        <color theme="1"/>
        <rFont val="Arial"/>
        <family val="2"/>
      </rPr>
      <t>2</t>
    </r>
  </si>
  <si>
    <r>
      <t>Población de 18 a 70 años que ahorró formalmente en el último año</t>
    </r>
    <r>
      <rPr>
        <b/>
        <vertAlign val="superscript"/>
        <sz val="9"/>
        <color indexed="8"/>
        <rFont val="Arial"/>
        <family val="2"/>
      </rPr>
      <t xml:space="preserve">1 </t>
    </r>
    <r>
      <rPr>
        <b/>
        <sz val="9"/>
        <color theme="1"/>
        <rFont val="Arial"/>
        <family val="2"/>
      </rPr>
      <t>por tamaño de localidad y destino del ahorro formal según sexo</t>
    </r>
  </si>
  <si>
    <t>Población de 18 a 70 años que ahorró de manera formal en el último año</t>
  </si>
  <si>
    <t>Población de 18 a 70 años que ahorró de manera formal en el último año, por tamaño de localidad y periodo equivalente de ahorro según sexo</t>
  </si>
  <si>
    <t>Población de 18 a 70 años que ahorró formalmente en el último año por tamaño de localidad y destino del ahorro formal según sexo</t>
  </si>
  <si>
    <t>Población de 18 a 70 años que tiene cuenta de ahorro, por tamaño de localidad, condición de tenencia de tarjeta de débito y frecuencia mensual de uso según sexo</t>
  </si>
  <si>
    <t>Población de 18 a 70 años por tamaño de localidad, condición de usuario de cuenta y tipo de no usuarios según sexo</t>
  </si>
  <si>
    <t>Población de 18 a 70 años que tiene cuenta de ahorro por tamaño de localidad, condición y medio de comparación utilizado en la última cuenta de ahorro adquirida según sexo</t>
  </si>
  <si>
    <t>Población de 18 a 70 años nunca usuaria de cuenta de ahorro por tamaño de localidad y razón de no tenencia según sexo</t>
  </si>
  <si>
    <t>Población de 18 a 70 años por tamaño de localidad, conocimiento de protección al ahorro e institución declarada como protectora del ahorro según sexo</t>
  </si>
  <si>
    <t>Población de 18 a 70 años nunca usuaria de cuenta de ahorro</t>
  </si>
  <si>
    <t>Tamaño de localidad y sitio de apertura
de la última cuenta contratada</t>
  </si>
  <si>
    <t>Mediante una aplicación de celular o página de internet
de la institución financiera</t>
  </si>
  <si>
    <t>Población de 18 a 70 años que tiene o ha tenido alguna cuenta de ahorro</t>
  </si>
  <si>
    <t>Tamaño de localidad y tipo de primer
producto de ahorro adquirido</t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</si>
  <si>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persona pudo utilizar más de un medio de comparación.</t>
    </r>
  </si>
  <si>
    <t>Banco</t>
  </si>
  <si>
    <t>Otras instituciones</t>
  </si>
  <si>
    <t>Otro sitio de apertura</t>
  </si>
  <si>
    <t>Personal promotor</t>
  </si>
  <si>
    <t>A través del programa social</t>
  </si>
  <si>
    <t>Límite inferior.</t>
  </si>
  <si>
    <r>
      <t>Población de 18 a 70 años por tamaño de localidad, condición de usuaria de cuenta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y tipo de no usuaria según sexo</t>
    </r>
  </si>
  <si>
    <t>Tamaño de localidad, condición de usuaria
de cuenta y tipo de no usuaria</t>
  </si>
  <si>
    <t>Usuaria</t>
  </si>
  <si>
    <t>No usuaria</t>
  </si>
  <si>
    <t>Nunca usuaria</t>
  </si>
  <si>
    <t>Alguna vez usuaria</t>
  </si>
  <si>
    <t>Marzo 2025</t>
  </si>
  <si>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>Incluye: "recomendación de influencers o youtubers" y " comparadores privados".</t>
    </r>
  </si>
  <si>
    <t>INEGI. Encuesta Nacional de Inclusión Financiera (ENIF) 2024. Tabulados básicos.</t>
  </si>
  <si>
    <t>Establecimiento comercial como Oxxo, Walmart (Yastas, Financiera para el Bienestar y otros corresponsales bancarios)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</si>
</sst>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##,###,###,##0"/>
    <numFmt numFmtId="166" formatCode="#,##0.0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vertAlign val="superscript"/>
      <sz val="8"/>
      <name val="Arial"/>
      <family val="2"/>
    </font>
    <font>
      <sz val="11"/>
      <name val="Calibri"/>
      <family val="2"/>
      <scheme val="minor"/>
    </font>
    <font>
      <sz val="7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indexed="8"/>
      <name val="Arial"/>
      <family val="2"/>
    </font>
    <font>
      <vertAlign val="superscript"/>
      <sz val="8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b/>
      <sz val="8"/>
      <color rgb="FFFF0000"/>
      <name val="Arial"/>
      <family val="2"/>
    </font>
    <font>
      <sz val="9"/>
      <color rgb="FF003399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sz val="11"/>
      <color indexed="8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vertAlign val="superscript"/>
      <sz val="8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b/>
      <vertAlign val="superscript"/>
      <sz val="9"/>
      <color theme="1"/>
      <name val="Arial"/>
      <family val="2"/>
    </font>
    <font>
      <b/>
      <vertAlign val="superscript"/>
      <sz val="9"/>
      <color indexed="8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b/>
      <sz val="11"/>
      <color theme="0"/>
      <name val="Arial"/>
      <family val="2"/>
    </font>
    <font>
      <sz val="10"/>
      <color theme="1"/>
      <name val="Arial"/>
      <family val="2"/>
    </font>
    <font>
      <sz val="10"/>
      <color rgb="FF000080"/>
      <name val="Arial"/>
      <family val="2"/>
    </font>
    <font>
      <sz val="11"/>
      <color rgb="FF000080"/>
      <name val="Arial"/>
      <family val="2"/>
    </font>
    <font>
      <b/>
      <sz val="10"/>
      <color theme="0"/>
      <name val="Arial"/>
      <family val="2"/>
    </font>
    <font>
      <i/>
      <sz val="12"/>
      <color rgb="FF000080"/>
      <name val="Arial"/>
      <family val="2"/>
    </font>
    <font>
      <b/>
      <sz val="11"/>
      <color rgb="FF000080"/>
      <name val="Arial"/>
      <family val="2"/>
    </font>
    <font>
      <u/>
      <sz val="11"/>
      <color theme="10"/>
      <name val="Arial"/>
      <family val="2"/>
    </font>
    <font>
      <u/>
      <sz val="11"/>
      <color rgb="FF0070C0"/>
      <name val="Arial"/>
      <family val="2"/>
    </font>
    <font>
      <sz val="11"/>
      <color rgb="FFFF0000"/>
      <name val="Calibri"/>
      <family val="2"/>
      <scheme val="minor"/>
    </font>
    <font>
      <b/>
      <vertAlign val="superscript"/>
      <sz val="9"/>
      <name val="Arial"/>
      <family val="2"/>
    </font>
    <font>
      <b/>
      <sz val="11"/>
      <color theme="0"/>
      <name val="Calibri"/>
      <family val="2"/>
      <scheme val="minor"/>
    </font>
    <font>
      <b/>
      <vertAlign val="superscript"/>
      <sz val="8"/>
      <color theme="1"/>
      <name val="Arial"/>
      <family val="2"/>
    </font>
    <font>
      <sz val="10"/>
      <color indexed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337AB7"/>
        <bgColor indexed="64"/>
      </patternFill>
    </fill>
    <fill>
      <patternFill patternType="solid">
        <fgColor rgb="FF6E6E6D"/>
        <bgColor indexed="64"/>
      </patternFill>
    </fill>
    <fill>
      <patternFill patternType="solid">
        <fgColor indexed="9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 style="thin">
        <color rgb="FF0070C0"/>
      </left>
      <right style="thin">
        <color rgb="FF337AB7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thin">
        <color rgb="FF337AB7"/>
      </left>
      <right/>
      <top/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 style="medium">
        <color rgb="FF0070C0"/>
      </right>
      <top style="thin">
        <color rgb="FF337AB7"/>
      </top>
      <bottom/>
      <diagonal/>
    </border>
    <border>
      <left/>
      <right/>
      <top style="thin">
        <color rgb="FF337AB7"/>
      </top>
      <bottom/>
      <diagonal/>
    </border>
    <border>
      <left style="thin">
        <color rgb="FF337AB7"/>
      </left>
      <right/>
      <top style="thin">
        <color rgb="FF337AB7"/>
      </top>
      <bottom/>
      <diagonal/>
    </border>
    <border>
      <left style="thin">
        <color rgb="FF0070C0"/>
      </left>
      <right style="thin">
        <color rgb="FF337AB7"/>
      </right>
      <top style="thin">
        <color rgb="FF0070C0"/>
      </top>
      <bottom/>
      <diagonal/>
    </border>
    <border>
      <left/>
      <right/>
      <top style="thin">
        <color auto="1"/>
      </top>
      <bottom/>
      <diagonal/>
    </border>
  </borders>
  <cellStyleXfs count="35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3" fillId="0" borderId="0"/>
    <xf numFmtId="0" fontId="3" fillId="0" borderId="0"/>
    <xf numFmtId="0" fontId="1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3" fillId="0" borderId="0"/>
    <xf numFmtId="0" fontId="1" fillId="0" borderId="0"/>
    <xf numFmtId="0" fontId="13" fillId="0" borderId="0" applyNumberFormat="0" applyFill="0" applyBorder="0" applyAlignment="0" applyProtection="0"/>
    <xf numFmtId="0" fontId="23" fillId="0" borderId="0"/>
  </cellStyleXfs>
  <cellXfs count="324">
    <xf numFmtId="0" fontId="0" fillId="0" borderId="0" xfId="0"/>
    <xf numFmtId="0" fontId="19" fillId="0" borderId="0" xfId="0" applyFont="1"/>
    <xf numFmtId="0" fontId="20" fillId="0" borderId="0" xfId="0" applyFont="1"/>
    <xf numFmtId="0" fontId="16" fillId="2" borderId="0" xfId="9" applyFont="1" applyFill="1" applyAlignment="1">
      <alignment horizontal="right" vertical="center"/>
    </xf>
    <xf numFmtId="0" fontId="10" fillId="0" borderId="0" xfId="0" applyFont="1"/>
    <xf numFmtId="0" fontId="0" fillId="0" borderId="0" xfId="0" applyAlignment="1">
      <alignment horizontal="left" vertical="center"/>
    </xf>
    <xf numFmtId="0" fontId="28" fillId="0" borderId="0" xfId="0" applyFont="1"/>
    <xf numFmtId="0" fontId="16" fillId="0" borderId="0" xfId="12" applyFont="1"/>
    <xf numFmtId="165" fontId="0" fillId="0" borderId="0" xfId="0" applyNumberFormat="1"/>
    <xf numFmtId="0" fontId="43" fillId="2" borderId="0" xfId="0" applyFont="1" applyFill="1"/>
    <xf numFmtId="0" fontId="1" fillId="0" borderId="0" xfId="8"/>
    <xf numFmtId="166" fontId="16" fillId="0" borderId="0" xfId="8" applyNumberFormat="1" applyFont="1"/>
    <xf numFmtId="166" fontId="36" fillId="0" borderId="0" xfId="8" applyNumberFormat="1" applyFont="1"/>
    <xf numFmtId="166" fontId="1" fillId="0" borderId="0" xfId="8" applyNumberFormat="1"/>
    <xf numFmtId="166" fontId="16" fillId="0" borderId="0" xfId="12" applyNumberFormat="1" applyFont="1"/>
    <xf numFmtId="166" fontId="39" fillId="0" borderId="0" xfId="12" applyNumberFormat="1" applyFont="1" applyAlignment="1">
      <alignment horizontal="center" vertical="center"/>
    </xf>
    <xf numFmtId="166" fontId="38" fillId="0" borderId="0" xfId="12" applyNumberFormat="1" applyFont="1" applyAlignment="1">
      <alignment vertical="center"/>
    </xf>
    <xf numFmtId="166" fontId="38" fillId="0" borderId="0" xfId="12" applyNumberFormat="1" applyFont="1" applyAlignment="1">
      <alignment horizontal="center" vertical="center"/>
    </xf>
    <xf numFmtId="166" fontId="34" fillId="0" borderId="0" xfId="12" applyNumberFormat="1" applyFont="1" applyAlignment="1">
      <alignment vertical="center"/>
    </xf>
    <xf numFmtId="166" fontId="21" fillId="0" borderId="0" xfId="12" applyNumberFormat="1" applyFont="1"/>
    <xf numFmtId="166" fontId="35" fillId="0" borderId="0" xfId="12" applyNumberFormat="1" applyFont="1"/>
    <xf numFmtId="166" fontId="36" fillId="0" borderId="0" xfId="12" quotePrefix="1" applyNumberFormat="1" applyFont="1"/>
    <xf numFmtId="166" fontId="37" fillId="0" borderId="0" xfId="12" quotePrefix="1" applyNumberFormat="1" applyFont="1"/>
    <xf numFmtId="166" fontId="34" fillId="4" borderId="17" xfId="12" applyNumberFormat="1" applyFont="1" applyFill="1" applyBorder="1" applyAlignment="1">
      <alignment horizontal="center" vertical="center"/>
    </xf>
    <xf numFmtId="166" fontId="34" fillId="4" borderId="16" xfId="12" applyNumberFormat="1" applyFont="1" applyFill="1" applyBorder="1" applyAlignment="1">
      <alignment horizontal="center" vertical="center"/>
    </xf>
    <xf numFmtId="166" fontId="42" fillId="0" borderId="12" xfId="6" applyNumberFormat="1" applyFont="1" applyBorder="1" applyAlignment="1" applyProtection="1">
      <alignment horizontal="center" vertical="center"/>
    </xf>
    <xf numFmtId="166" fontId="8" fillId="0" borderId="0" xfId="0" applyNumberFormat="1" applyFont="1" applyAlignment="1">
      <alignment horizontal="right" vertical="center" wrapText="1"/>
    </xf>
    <xf numFmtId="166" fontId="41" fillId="0" borderId="12" xfId="6" applyNumberFormat="1" applyFont="1" applyBorder="1" applyAlignment="1" applyProtection="1">
      <alignment horizontal="center" vertical="center"/>
    </xf>
    <xf numFmtId="166" fontId="41" fillId="0" borderId="26" xfId="6" applyNumberFormat="1" applyFont="1" applyBorder="1" applyAlignment="1" applyProtection="1">
      <alignment horizontal="center" vertical="center"/>
    </xf>
    <xf numFmtId="166" fontId="42" fillId="0" borderId="7" xfId="6" applyNumberFormat="1" applyFont="1" applyBorder="1" applyAlignment="1" applyProtection="1">
      <alignment horizontal="center" vertical="center"/>
    </xf>
    <xf numFmtId="166" fontId="19" fillId="0" borderId="0" xfId="0" applyNumberFormat="1" applyFont="1"/>
    <xf numFmtId="166" fontId="19" fillId="0" borderId="0" xfId="0" applyNumberFormat="1" applyFont="1" applyAlignment="1">
      <alignment horizontal="left" vertical="center"/>
    </xf>
    <xf numFmtId="166" fontId="20" fillId="0" borderId="0" xfId="0" applyNumberFormat="1" applyFont="1"/>
    <xf numFmtId="166" fontId="19" fillId="0" borderId="0" xfId="0" applyNumberFormat="1" applyFont="1" applyAlignment="1">
      <alignment vertical="top"/>
    </xf>
    <xf numFmtId="166" fontId="21" fillId="0" borderId="0" xfId="0" applyNumberFormat="1" applyFont="1"/>
    <xf numFmtId="166" fontId="20" fillId="0" borderId="0" xfId="0" applyNumberFormat="1" applyFont="1" applyAlignment="1">
      <alignment vertical="top"/>
    </xf>
    <xf numFmtId="166" fontId="29" fillId="2" borderId="0" xfId="2" applyNumberFormat="1" applyFont="1" applyFill="1" applyAlignment="1">
      <alignment horizontal="left" vertical="center"/>
    </xf>
    <xf numFmtId="166" fontId="14" fillId="2" borderId="0" xfId="0" applyNumberFormat="1" applyFont="1" applyFill="1" applyAlignment="1" applyProtection="1">
      <alignment vertical="top" readingOrder="1"/>
      <protection locked="0"/>
    </xf>
    <xf numFmtId="166" fontId="22" fillId="0" borderId="0" xfId="0" applyNumberFormat="1" applyFont="1" applyAlignment="1">
      <alignment horizontal="left" vertical="center"/>
    </xf>
    <xf numFmtId="166" fontId="14" fillId="0" borderId="0" xfId="0" applyNumberFormat="1" applyFont="1" applyAlignment="1">
      <alignment vertical="top"/>
    </xf>
    <xf numFmtId="166" fontId="21" fillId="0" borderId="0" xfId="0" applyNumberFormat="1" applyFont="1" applyAlignment="1">
      <alignment horizontal="right"/>
    </xf>
    <xf numFmtId="166" fontId="0" fillId="0" borderId="0" xfId="0" applyNumberFormat="1"/>
    <xf numFmtId="166" fontId="9" fillId="2" borderId="27" xfId="0" applyNumberFormat="1" applyFont="1" applyFill="1" applyBorder="1" applyAlignment="1" applyProtection="1">
      <alignment vertical="center" wrapText="1" readingOrder="1"/>
      <protection locked="0"/>
    </xf>
    <xf numFmtId="166" fontId="8" fillId="0" borderId="27" xfId="0" applyNumberFormat="1" applyFont="1" applyBorder="1" applyAlignment="1">
      <alignment horizontal="right" vertical="center" wrapText="1"/>
    </xf>
    <xf numFmtId="166" fontId="9" fillId="2" borderId="0" xfId="0" applyNumberFormat="1" applyFont="1" applyFill="1" applyAlignment="1" applyProtection="1">
      <alignment vertical="center" wrapText="1" readingOrder="1"/>
      <protection locked="0"/>
    </xf>
    <xf numFmtId="166" fontId="16" fillId="2" borderId="0" xfId="9" applyNumberFormat="1" applyFont="1" applyFill="1" applyAlignment="1">
      <alignment horizontal="right" vertical="center"/>
    </xf>
    <xf numFmtId="166" fontId="8" fillId="2" borderId="0" xfId="4" applyNumberFormat="1" applyFont="1" applyFill="1" applyAlignment="1">
      <alignment horizontal="left" vertical="center" wrapText="1"/>
    </xf>
    <xf numFmtId="166" fontId="11" fillId="2" borderId="0" xfId="0" applyNumberFormat="1" applyFont="1" applyFill="1" applyAlignment="1">
      <alignment horizontal="right" vertical="center"/>
    </xf>
    <xf numFmtId="166" fontId="4" fillId="2" borderId="0" xfId="9" applyNumberFormat="1" applyFont="1" applyFill="1" applyAlignment="1">
      <alignment horizontal="right" vertical="center"/>
    </xf>
    <xf numFmtId="166" fontId="4" fillId="3" borderId="0" xfId="0" applyNumberFormat="1" applyFont="1" applyFill="1" applyAlignment="1">
      <alignment horizontal="right" vertical="center"/>
    </xf>
    <xf numFmtId="166" fontId="17" fillId="2" borderId="0" xfId="9" applyNumberFormat="1" applyFont="1" applyFill="1" applyAlignment="1">
      <alignment horizontal="right" vertical="center"/>
    </xf>
    <xf numFmtId="166" fontId="8" fillId="2" borderId="2" xfId="4" applyNumberFormat="1" applyFont="1" applyFill="1" applyBorder="1" applyAlignment="1">
      <alignment horizontal="left" vertical="center" wrapText="1"/>
    </xf>
    <xf numFmtId="166" fontId="8" fillId="2" borderId="2" xfId="4" applyNumberFormat="1" applyFont="1" applyFill="1" applyBorder="1" applyAlignment="1">
      <alignment horizontal="left"/>
    </xf>
    <xf numFmtId="166" fontId="8" fillId="0" borderId="4" xfId="0" applyNumberFormat="1" applyFont="1" applyBorder="1" applyAlignment="1">
      <alignment horizontal="right" vertical="center" wrapText="1"/>
    </xf>
    <xf numFmtId="166" fontId="26" fillId="0" borderId="2" xfId="0" applyNumberFormat="1" applyFont="1" applyBorder="1" applyAlignment="1">
      <alignment horizontal="right"/>
    </xf>
    <xf numFmtId="166" fontId="4" fillId="2" borderId="0" xfId="2" applyNumberFormat="1" applyFont="1" applyFill="1" applyAlignment="1">
      <alignment horizontal="left"/>
    </xf>
    <xf numFmtId="166" fontId="26" fillId="0" borderId="0" xfId="0" applyNumberFormat="1" applyFont="1" applyAlignment="1">
      <alignment horizontal="right"/>
    </xf>
    <xf numFmtId="166" fontId="28" fillId="0" borderId="0" xfId="0" applyNumberFormat="1" applyFont="1"/>
    <xf numFmtId="166" fontId="4" fillId="2" borderId="0" xfId="2" applyNumberFormat="1" applyFont="1" applyFill="1" applyAlignment="1">
      <alignment horizontal="left" vertical="center"/>
    </xf>
    <xf numFmtId="166" fontId="4" fillId="0" borderId="0" xfId="3" applyNumberFormat="1" applyFont="1" applyAlignment="1">
      <alignment horizontal="right" vertical="center"/>
    </xf>
    <xf numFmtId="166" fontId="24" fillId="0" borderId="0" xfId="33" applyNumberFormat="1" applyFont="1" applyFill="1" applyAlignment="1">
      <alignment horizontal="right" vertical="center" readingOrder="1"/>
    </xf>
    <xf numFmtId="166" fontId="9" fillId="0" borderId="0" xfId="33" applyNumberFormat="1" applyFont="1" applyFill="1" applyAlignment="1" applyProtection="1">
      <alignment horizontal="right" vertical="center"/>
    </xf>
    <xf numFmtId="166" fontId="24" fillId="2" borderId="0" xfId="6" applyNumberFormat="1" applyFont="1" applyFill="1" applyAlignment="1">
      <alignment horizontal="right" vertical="center" readingOrder="1"/>
    </xf>
    <xf numFmtId="166" fontId="4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2" borderId="0" xfId="2" applyNumberFormat="1" applyFont="1" applyFill="1" applyAlignment="1">
      <alignment horizontal="left" vertical="center" wrapText="1" indent="2"/>
    </xf>
    <xf numFmtId="166" fontId="4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4" fillId="2" borderId="0" xfId="2" applyNumberFormat="1" applyFont="1" applyFill="1" applyAlignment="1">
      <alignment horizontal="left" wrapText="1" indent="1"/>
    </xf>
    <xf numFmtId="166" fontId="25" fillId="0" borderId="0" xfId="33" applyNumberFormat="1" applyFont="1" applyFill="1" applyAlignment="1">
      <alignment horizontal="right" vertical="center" readingOrder="1"/>
    </xf>
    <xf numFmtId="166" fontId="11" fillId="0" borderId="0" xfId="33" applyNumberFormat="1" applyFont="1" applyFill="1" applyAlignment="1" applyProtection="1">
      <alignment horizontal="right" vertical="center"/>
    </xf>
    <xf numFmtId="166" fontId="2" fillId="2" borderId="0" xfId="2" applyNumberFormat="1" applyFont="1" applyFill="1" applyAlignment="1">
      <alignment horizontal="left" vertical="center" wrapText="1" indent="3"/>
    </xf>
    <xf numFmtId="166" fontId="25" fillId="2" borderId="0" xfId="6" applyNumberFormat="1" applyFont="1" applyFill="1" applyAlignment="1">
      <alignment horizontal="right" vertical="center" readingOrder="1"/>
    </xf>
    <xf numFmtId="166" fontId="2" fillId="2" borderId="0" xfId="2" applyNumberFormat="1" applyFont="1" applyFill="1" applyAlignment="1">
      <alignment horizontal="left" wrapText="1" indent="1"/>
    </xf>
    <xf numFmtId="166" fontId="4" fillId="0" borderId="0" xfId="2" applyNumberFormat="1" applyFont="1"/>
    <xf numFmtId="166" fontId="4" fillId="2" borderId="0" xfId="1" applyNumberFormat="1" applyFont="1" applyFill="1" applyBorder="1" applyAlignment="1">
      <alignment horizontal="left" vertical="center" indent="1"/>
    </xf>
    <xf numFmtId="166" fontId="4" fillId="2" borderId="0" xfId="1" applyNumberFormat="1" applyFont="1" applyFill="1" applyBorder="1" applyAlignment="1">
      <alignment horizontal="left" vertical="center"/>
    </xf>
    <xf numFmtId="166" fontId="4" fillId="2" borderId="0" xfId="1" applyNumberFormat="1" applyFont="1" applyFill="1" applyBorder="1" applyAlignment="1">
      <alignment horizontal="left"/>
    </xf>
    <xf numFmtId="166" fontId="16" fillId="2" borderId="0" xfId="0" applyNumberFormat="1" applyFont="1" applyFill="1"/>
    <xf numFmtId="166" fontId="2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7" fillId="0" borderId="2" xfId="2" applyNumberFormat="1" applyFont="1" applyBorder="1"/>
    <xf numFmtId="166" fontId="6" fillId="0" borderId="2" xfId="2" applyNumberFormat="1" applyFont="1" applyBorder="1"/>
    <xf numFmtId="166" fontId="0" fillId="0" borderId="2" xfId="0" applyNumberFormat="1" applyBorder="1"/>
    <xf numFmtId="166" fontId="7" fillId="0" borderId="0" xfId="2" applyNumberFormat="1" applyFont="1"/>
    <xf numFmtId="166" fontId="6" fillId="0" borderId="0" xfId="2" applyNumberFormat="1" applyFont="1"/>
    <xf numFmtId="166" fontId="11" fillId="0" borderId="0" xfId="10" applyNumberFormat="1" applyFont="1"/>
    <xf numFmtId="166" fontId="24" fillId="0" borderId="0" xfId="0" applyNumberFormat="1" applyFont="1" applyAlignment="1">
      <alignment horizontal="left" vertical="center"/>
    </xf>
    <xf numFmtId="166" fontId="43" fillId="2" borderId="0" xfId="0" applyNumberFormat="1" applyFont="1" applyFill="1"/>
    <xf numFmtId="166" fontId="22" fillId="2" borderId="0" xfId="4" applyNumberFormat="1" applyFont="1" applyFill="1" applyAlignment="1">
      <alignment horizontal="left" vertical="center"/>
    </xf>
    <xf numFmtId="166" fontId="8" fillId="2" borderId="0" xfId="4" applyNumberFormat="1" applyFont="1" applyFill="1" applyAlignment="1">
      <alignment horizontal="left"/>
    </xf>
    <xf numFmtId="166" fontId="8" fillId="0" borderId="0" xfId="4" applyNumberFormat="1" applyFont="1" applyAlignment="1">
      <alignment horizontal="left" vertical="center"/>
    </xf>
    <xf numFmtId="166" fontId="4" fillId="0" borderId="0" xfId="5" applyNumberFormat="1" applyFont="1" applyAlignment="1">
      <alignment horizontal="right" vertical="center"/>
    </xf>
    <xf numFmtId="166" fontId="4" fillId="2" borderId="0" xfId="4" applyNumberFormat="1" applyFont="1" applyFill="1" applyAlignment="1">
      <alignment horizontal="left" vertical="center" indent="2"/>
    </xf>
    <xf numFmtId="166" fontId="9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4" fillId="2" borderId="0" xfId="4" applyNumberFormat="1" applyFont="1" applyFill="1" applyAlignment="1">
      <alignment horizontal="left" vertical="center" indent="1"/>
    </xf>
    <xf numFmtId="166" fontId="10" fillId="2" borderId="0" xfId="4" applyNumberFormat="1" applyFont="1" applyFill="1" applyAlignment="1">
      <alignment horizontal="left" vertical="center" indent="3"/>
    </xf>
    <xf numFmtId="166" fontId="11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9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8" fillId="0" borderId="0" xfId="0" applyNumberFormat="1" applyFont="1"/>
    <xf numFmtId="166" fontId="9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2" fillId="0" borderId="0" xfId="3" applyNumberFormat="1" applyFont="1" applyAlignment="1">
      <alignment horizontal="right" vertical="center"/>
    </xf>
    <xf numFmtId="166" fontId="10" fillId="0" borderId="0" xfId="0" applyNumberFormat="1" applyFont="1"/>
    <xf numFmtId="166" fontId="4" fillId="2" borderId="0" xfId="14" applyNumberFormat="1" applyFont="1" applyFill="1" applyBorder="1" applyAlignment="1">
      <alignment horizontal="left" vertical="center" indent="1"/>
    </xf>
    <xf numFmtId="166" fontId="4" fillId="2" borderId="0" xfId="14" applyNumberFormat="1" applyFont="1" applyFill="1" applyBorder="1" applyAlignment="1">
      <alignment horizontal="left" vertical="center"/>
    </xf>
    <xf numFmtId="166" fontId="8" fillId="0" borderId="2" xfId="4" applyNumberFormat="1" applyFont="1" applyBorder="1" applyAlignment="1">
      <alignment horizontal="left"/>
    </xf>
    <xf numFmtId="166" fontId="9" fillId="0" borderId="2" xfId="0" applyNumberFormat="1" applyFont="1" applyBorder="1" applyAlignment="1" applyProtection="1">
      <alignment horizontal="right" vertical="center" wrapText="1" readingOrder="1"/>
      <protection locked="0"/>
    </xf>
    <xf numFmtId="166" fontId="8" fillId="0" borderId="1" xfId="4" applyNumberFormat="1" applyFont="1" applyBorder="1" applyAlignment="1">
      <alignment horizontal="left"/>
    </xf>
    <xf numFmtId="166" fontId="8" fillId="2" borderId="1" xfId="4" applyNumberFormat="1" applyFont="1" applyFill="1" applyBorder="1" applyAlignment="1">
      <alignment horizontal="left"/>
    </xf>
    <xf numFmtId="166" fontId="11" fillId="0" borderId="0" xfId="4" applyNumberFormat="1" applyFont="1" applyAlignment="1">
      <alignment horizontal="left" vertical="center"/>
    </xf>
    <xf numFmtId="166" fontId="12" fillId="0" borderId="0" xfId="4" applyNumberFormat="1" applyFont="1" applyAlignment="1">
      <alignment wrapText="1"/>
    </xf>
    <xf numFmtId="166" fontId="4" fillId="2" borderId="0" xfId="4" applyNumberFormat="1" applyFont="1" applyFill="1" applyAlignment="1">
      <alignment horizontal="right" vertical="center" wrapText="1"/>
    </xf>
    <xf numFmtId="166" fontId="8" fillId="2" borderId="0" xfId="4" applyNumberFormat="1" applyFont="1" applyFill="1" applyAlignment="1">
      <alignment horizontal="left" vertical="center"/>
    </xf>
    <xf numFmtId="166" fontId="10" fillId="2" borderId="0" xfId="4" applyNumberFormat="1" applyFont="1" applyFill="1" applyAlignment="1">
      <alignment horizontal="left" vertical="center" wrapText="1" indent="2"/>
    </xf>
    <xf numFmtId="166" fontId="11" fillId="0" borderId="3" xfId="0" applyNumberFormat="1" applyFont="1" applyBorder="1" applyAlignment="1" applyProtection="1">
      <alignment horizontal="right" vertical="center" wrapText="1" readingOrder="1"/>
      <protection locked="0"/>
    </xf>
    <xf numFmtId="166" fontId="10" fillId="0" borderId="0" xfId="4" applyNumberFormat="1" applyFont="1" applyAlignment="1">
      <alignment horizontal="left" vertical="center" wrapText="1" indent="2"/>
    </xf>
    <xf numFmtId="166" fontId="8" fillId="2" borderId="0" xfId="4" applyNumberFormat="1" applyFont="1" applyFill="1" applyAlignment="1">
      <alignment horizontal="left" wrapText="1"/>
    </xf>
    <xf numFmtId="166" fontId="8" fillId="0" borderId="0" xfId="4" applyNumberFormat="1" applyFont="1"/>
    <xf numFmtId="166" fontId="2" fillId="2" borderId="0" xfId="3" applyNumberFormat="1" applyFont="1" applyFill="1" applyAlignment="1">
      <alignment horizontal="right" vertical="center"/>
    </xf>
    <xf numFmtId="166" fontId="10" fillId="2" borderId="0" xfId="0" applyNumberFormat="1" applyFont="1" applyFill="1" applyAlignment="1">
      <alignment vertical="center"/>
    </xf>
    <xf numFmtId="166" fontId="4" fillId="2" borderId="0" xfId="29" applyNumberFormat="1" applyFont="1" applyFill="1" applyBorder="1" applyAlignment="1">
      <alignment horizontal="left" vertical="center" indent="1"/>
    </xf>
    <xf numFmtId="166" fontId="4" fillId="2" borderId="0" xfId="29" applyNumberFormat="1" applyFont="1" applyFill="1" applyBorder="1" applyAlignment="1">
      <alignment horizontal="left" vertical="center"/>
    </xf>
    <xf numFmtId="166" fontId="4" fillId="2" borderId="2" xfId="4" applyNumberFormat="1" applyFont="1" applyFill="1" applyBorder="1" applyAlignment="1">
      <alignment horizontal="right" vertical="center" wrapText="1"/>
    </xf>
    <xf numFmtId="166" fontId="4" fillId="0" borderId="2" xfId="4" applyNumberFormat="1" applyFont="1" applyBorder="1" applyAlignment="1">
      <alignment horizontal="right" vertical="center" wrapText="1"/>
    </xf>
    <xf numFmtId="166" fontId="4" fillId="0" borderId="0" xfId="4" applyNumberFormat="1" applyFont="1" applyAlignment="1">
      <alignment horizontal="right" vertical="center" wrapText="1"/>
    </xf>
    <xf numFmtId="166" fontId="10" fillId="0" borderId="0" xfId="4" applyNumberFormat="1" applyFont="1" applyAlignment="1">
      <alignment horizontal="left" vertical="center"/>
    </xf>
    <xf numFmtId="166" fontId="8" fillId="2" borderId="0" xfId="3" applyNumberFormat="1" applyFont="1" applyFill="1" applyAlignment="1">
      <alignment horizontal="left"/>
    </xf>
    <xf numFmtId="166" fontId="8" fillId="0" borderId="0" xfId="3" applyNumberFormat="1" applyFont="1" applyAlignment="1">
      <alignment horizontal="left" vertical="center"/>
    </xf>
    <xf numFmtId="166" fontId="10" fillId="0" borderId="0" xfId="3" applyNumberFormat="1" applyFont="1" applyAlignment="1">
      <alignment horizontal="left" vertical="center" indent="2"/>
    </xf>
    <xf numFmtId="166" fontId="2" fillId="0" borderId="0" xfId="3" applyNumberFormat="1" applyFont="1" applyAlignment="1">
      <alignment horizontal="left" indent="2"/>
    </xf>
    <xf numFmtId="166" fontId="10" fillId="0" borderId="0" xfId="3" applyNumberFormat="1" applyFont="1"/>
    <xf numFmtId="166" fontId="10" fillId="0" borderId="0" xfId="3" applyNumberFormat="1" applyFont="1" applyAlignment="1">
      <alignment horizontal="left" vertical="center"/>
    </xf>
    <xf numFmtId="166" fontId="4" fillId="2" borderId="0" xfId="17" applyNumberFormat="1" applyFont="1" applyFill="1" applyBorder="1" applyAlignment="1">
      <alignment horizontal="left" vertical="center" indent="1"/>
    </xf>
    <xf numFmtId="166" fontId="4" fillId="2" borderId="0" xfId="17" applyNumberFormat="1" applyFont="1" applyFill="1" applyBorder="1" applyAlignment="1">
      <alignment horizontal="left" vertical="center"/>
    </xf>
    <xf numFmtId="166" fontId="0" fillId="2" borderId="0" xfId="0" applyNumberFormat="1" applyFill="1" applyAlignment="1">
      <alignment vertical="center"/>
    </xf>
    <xf numFmtId="166" fontId="8" fillId="0" borderId="2" xfId="3" applyNumberFormat="1" applyFont="1" applyBorder="1" applyAlignment="1">
      <alignment horizontal="left"/>
    </xf>
    <xf numFmtId="166" fontId="2" fillId="0" borderId="2" xfId="3" applyNumberFormat="1" applyFont="1" applyBorder="1" applyAlignment="1">
      <alignment horizontal="right" vertical="center"/>
    </xf>
    <xf numFmtId="166" fontId="10" fillId="0" borderId="2" xfId="0" applyNumberFormat="1" applyFont="1" applyBorder="1"/>
    <xf numFmtId="166" fontId="2" fillId="0" borderId="5" xfId="0" applyNumberFormat="1" applyFont="1" applyBorder="1" applyAlignment="1" applyProtection="1">
      <alignment horizontal="right" vertical="center" wrapText="1" readingOrder="1"/>
      <protection locked="0"/>
    </xf>
    <xf numFmtId="166" fontId="8" fillId="0" borderId="0" xfId="3" applyNumberFormat="1" applyFont="1" applyAlignment="1">
      <alignment horizontal="left"/>
    </xf>
    <xf numFmtId="166" fontId="29" fillId="2" borderId="0" xfId="4" applyNumberFormat="1" applyFont="1" applyFill="1" applyAlignment="1">
      <alignment horizontal="left" vertical="center"/>
    </xf>
    <xf numFmtId="166" fontId="4" fillId="2" borderId="0" xfId="4" applyNumberFormat="1" applyFont="1" applyFill="1" applyAlignment="1">
      <alignment horizontal="left" vertical="center" wrapText="1"/>
    </xf>
    <xf numFmtId="166" fontId="4" fillId="2" borderId="0" xfId="4" applyNumberFormat="1" applyFont="1" applyFill="1" applyAlignment="1">
      <alignment horizontal="left" vertical="center"/>
    </xf>
    <xf numFmtId="166" fontId="4" fillId="2" borderId="0" xfId="4" applyNumberFormat="1" applyFont="1" applyFill="1" applyAlignment="1">
      <alignment horizontal="left"/>
    </xf>
    <xf numFmtId="166" fontId="4" fillId="2" borderId="0" xfId="4" applyNumberFormat="1" applyFont="1" applyFill="1" applyAlignment="1">
      <alignment horizontal="left" vertical="center" indent="3"/>
    </xf>
    <xf numFmtId="166" fontId="2" fillId="2" borderId="0" xfId="4" applyNumberFormat="1" applyFont="1" applyFill="1" applyAlignment="1">
      <alignment horizontal="left" vertical="center" wrapText="1" indent="4"/>
    </xf>
    <xf numFmtId="166" fontId="0" fillId="0" borderId="0" xfId="0" applyNumberFormat="1" applyAlignment="1">
      <alignment horizontal="left" vertical="center"/>
    </xf>
    <xf numFmtId="166" fontId="9" fillId="2" borderId="3" xfId="0" applyNumberFormat="1" applyFont="1" applyFill="1" applyBorder="1" applyAlignment="1" applyProtection="1">
      <alignment horizontal="left" vertical="center" wrapText="1"/>
      <protection locked="0"/>
    </xf>
    <xf numFmtId="166" fontId="0" fillId="0" borderId="0" xfId="0" applyNumberFormat="1" applyAlignment="1">
      <alignment horizontal="right"/>
    </xf>
    <xf numFmtId="166" fontId="4" fillId="2" borderId="0" xfId="3" applyNumberFormat="1" applyFont="1" applyFill="1" applyAlignment="1">
      <alignment vertical="center"/>
    </xf>
    <xf numFmtId="166" fontId="8" fillId="2" borderId="0" xfId="0" applyNumberFormat="1" applyFont="1" applyFill="1" applyAlignment="1">
      <alignment vertical="center"/>
    </xf>
    <xf numFmtId="166" fontId="4" fillId="2" borderId="3" xfId="0" applyNumberFormat="1" applyFont="1" applyFill="1" applyBorder="1" applyAlignment="1" applyProtection="1">
      <alignment vertical="center" wrapText="1" readingOrder="1"/>
      <protection locked="0"/>
    </xf>
    <xf numFmtId="166" fontId="4" fillId="2" borderId="0" xfId="4" applyNumberFormat="1" applyFont="1" applyFill="1" applyAlignment="1">
      <alignment horizontal="left" vertical="center" wrapText="1" indent="1"/>
    </xf>
    <xf numFmtId="166" fontId="4" fillId="2" borderId="0" xfId="18" applyNumberFormat="1" applyFont="1" applyFill="1" applyBorder="1" applyAlignment="1">
      <alignment horizontal="left" vertical="center" indent="1"/>
    </xf>
    <xf numFmtId="166" fontId="4" fillId="2" borderId="0" xfId="18" applyNumberFormat="1" applyFont="1" applyFill="1" applyBorder="1" applyAlignment="1">
      <alignment horizontal="left" vertical="center"/>
    </xf>
    <xf numFmtId="166" fontId="0" fillId="0" borderId="0" xfId="0" applyNumberFormat="1" applyAlignment="1">
      <alignment horizontal="right" vertical="center"/>
    </xf>
    <xf numFmtId="166" fontId="4" fillId="2" borderId="2" xfId="18" applyNumberFormat="1" applyFont="1" applyFill="1" applyBorder="1" applyAlignment="1">
      <alignment horizontal="left" vertical="center"/>
    </xf>
    <xf numFmtId="166" fontId="6" fillId="2" borderId="2" xfId="4" applyNumberFormat="1" applyFont="1" applyFill="1" applyBorder="1"/>
    <xf numFmtId="166" fontId="6" fillId="0" borderId="2" xfId="4" applyNumberFormat="1" applyFont="1" applyBorder="1"/>
    <xf numFmtId="166" fontId="6" fillId="2" borderId="0" xfId="4" applyNumberFormat="1" applyFont="1" applyFill="1"/>
    <xf numFmtId="166" fontId="6" fillId="0" borderId="0" xfId="4" applyNumberFormat="1" applyFont="1"/>
    <xf numFmtId="166" fontId="8" fillId="2" borderId="0" xfId="4" applyNumberFormat="1" applyFont="1" applyFill="1" applyAlignment="1">
      <alignment horizontal="right"/>
    </xf>
    <xf numFmtId="166" fontId="4" fillId="0" borderId="0" xfId="4" applyNumberFormat="1" applyFont="1" applyAlignment="1">
      <alignment horizontal="right"/>
    </xf>
    <xf numFmtId="166" fontId="4" fillId="0" borderId="0" xfId="4" applyNumberFormat="1" applyFont="1" applyAlignment="1">
      <alignment horizontal="left" vertical="center" indent="2"/>
    </xf>
    <xf numFmtId="166" fontId="4" fillId="0" borderId="0" xfId="4" applyNumberFormat="1" applyFont="1" applyAlignment="1">
      <alignment horizontal="left" vertical="center" indent="1"/>
    </xf>
    <xf numFmtId="166" fontId="2" fillId="2" borderId="0" xfId="4" applyNumberFormat="1" applyFont="1" applyFill="1" applyAlignment="1">
      <alignment horizontal="left" vertical="center" wrapText="1" indent="3"/>
    </xf>
    <xf numFmtId="166" fontId="2" fillId="2" borderId="0" xfId="4" applyNumberFormat="1" applyFont="1" applyFill="1" applyAlignment="1">
      <alignment horizontal="left" vertical="center" wrapText="1" indent="2"/>
    </xf>
    <xf numFmtId="166" fontId="4" fillId="2" borderId="0" xfId="20" applyNumberFormat="1" applyFont="1" applyFill="1" applyBorder="1" applyAlignment="1">
      <alignment horizontal="left" vertical="center" indent="1"/>
    </xf>
    <xf numFmtId="166" fontId="4" fillId="2" borderId="0" xfId="20" applyNumberFormat="1" applyFont="1" applyFill="1" applyBorder="1" applyAlignment="1">
      <alignment horizontal="left" vertical="center"/>
    </xf>
    <xf numFmtId="166" fontId="8" fillId="2" borderId="2" xfId="4" applyNumberFormat="1" applyFont="1" applyFill="1" applyBorder="1" applyAlignment="1">
      <alignment horizontal="left" vertical="center"/>
    </xf>
    <xf numFmtId="166" fontId="8" fillId="2" borderId="2" xfId="4" applyNumberFormat="1" applyFont="1" applyFill="1" applyBorder="1" applyAlignment="1">
      <alignment horizontal="right"/>
    </xf>
    <xf numFmtId="166" fontId="8" fillId="0" borderId="2" xfId="4" applyNumberFormat="1" applyFont="1" applyBorder="1" applyAlignment="1">
      <alignment horizontal="right"/>
    </xf>
    <xf numFmtId="166" fontId="8" fillId="2" borderId="1" xfId="4" applyNumberFormat="1" applyFont="1" applyFill="1" applyBorder="1" applyAlignment="1">
      <alignment horizontal="left" vertical="center"/>
    </xf>
    <xf numFmtId="166" fontId="8" fillId="2" borderId="1" xfId="4" applyNumberFormat="1" applyFont="1" applyFill="1" applyBorder="1" applyAlignment="1">
      <alignment horizontal="right"/>
    </xf>
    <xf numFmtId="166" fontId="8" fillId="0" borderId="1" xfId="4" applyNumberFormat="1" applyFont="1" applyBorder="1" applyAlignment="1">
      <alignment horizontal="right"/>
    </xf>
    <xf numFmtId="166" fontId="11" fillId="2" borderId="0" xfId="4" applyNumberFormat="1" applyFont="1" applyFill="1" applyAlignment="1">
      <alignment horizontal="left" vertical="center"/>
    </xf>
    <xf numFmtId="166" fontId="12" fillId="2" borderId="0" xfId="4" applyNumberFormat="1" applyFont="1" applyFill="1" applyAlignment="1">
      <alignment vertical="center"/>
    </xf>
    <xf numFmtId="166" fontId="12" fillId="0" borderId="0" xfId="4" applyNumberFormat="1" applyFont="1" applyAlignment="1">
      <alignment vertical="center"/>
    </xf>
    <xf numFmtId="166" fontId="29" fillId="0" borderId="0" xfId="4" applyNumberFormat="1" applyFont="1" applyAlignment="1">
      <alignment vertical="center"/>
    </xf>
    <xf numFmtId="166" fontId="10" fillId="2" borderId="0" xfId="4" applyNumberFormat="1" applyFont="1" applyFill="1" applyAlignment="1">
      <alignment horizontal="left" vertical="center" wrapText="1" indent="1"/>
    </xf>
    <xf numFmtId="166" fontId="2" fillId="0" borderId="0" xfId="4" applyNumberFormat="1" applyFont="1" applyAlignment="1">
      <alignment horizontal="left" vertical="center" wrapText="1" indent="1"/>
    </xf>
    <xf numFmtId="166" fontId="1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vertical="center" wrapText="1" indent="1"/>
    </xf>
    <xf numFmtId="166" fontId="2" fillId="0" borderId="0" xfId="3" applyNumberFormat="1" applyFont="1" applyAlignment="1">
      <alignment horizontal="left" indent="1"/>
    </xf>
    <xf numFmtId="166" fontId="8" fillId="0" borderId="2" xfId="4" applyNumberFormat="1" applyFont="1" applyBorder="1" applyAlignment="1">
      <alignment horizontal="right" vertical="center"/>
    </xf>
    <xf numFmtId="166" fontId="0" fillId="0" borderId="2" xfId="0" applyNumberFormat="1" applyBorder="1" applyAlignment="1">
      <alignment vertical="center"/>
    </xf>
    <xf numFmtId="166" fontId="8" fillId="0" borderId="0" xfId="4" applyNumberFormat="1" applyFont="1" applyAlignment="1">
      <alignment horizontal="right" vertical="center"/>
    </xf>
    <xf numFmtId="166" fontId="0" fillId="0" borderId="0" xfId="0" applyNumberFormat="1" applyAlignment="1">
      <alignment vertical="center"/>
    </xf>
    <xf numFmtId="166" fontId="12" fillId="0" borderId="0" xfId="4" applyNumberFormat="1" applyFont="1" applyAlignment="1">
      <alignment vertical="center" wrapText="1"/>
    </xf>
    <xf numFmtId="166" fontId="22" fillId="0" borderId="0" xfId="4" applyNumberFormat="1" applyFont="1" applyAlignment="1">
      <alignment vertical="center" wrapText="1"/>
    </xf>
    <xf numFmtId="166" fontId="2" fillId="0" borderId="0" xfId="4" applyNumberFormat="1" applyFont="1" applyAlignment="1">
      <alignment horizontal="left" vertical="center" wrapText="1" indent="2"/>
    </xf>
    <xf numFmtId="166" fontId="4" fillId="2" borderId="0" xfId="21" applyNumberFormat="1" applyFont="1" applyFill="1" applyBorder="1" applyAlignment="1">
      <alignment horizontal="left" vertical="center" indent="1"/>
    </xf>
    <xf numFmtId="166" fontId="4" fillId="2" borderId="0" xfId="21" applyNumberFormat="1" applyFont="1" applyFill="1" applyBorder="1" applyAlignment="1">
      <alignment horizontal="left" vertical="center"/>
    </xf>
    <xf numFmtId="166" fontId="11" fillId="2" borderId="0" xfId="0" applyNumberFormat="1" applyFont="1" applyFill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vertical="center"/>
    </xf>
    <xf numFmtId="166" fontId="11" fillId="2" borderId="0" xfId="4" applyNumberFormat="1" applyFont="1" applyFill="1" applyAlignment="1">
      <alignment vertical="top"/>
    </xf>
    <xf numFmtId="166" fontId="11" fillId="0" borderId="0" xfId="4" applyNumberFormat="1" applyFont="1" applyAlignment="1">
      <alignment vertical="top"/>
    </xf>
    <xf numFmtId="166" fontId="26" fillId="0" borderId="0" xfId="0" applyNumberFormat="1" applyFont="1"/>
    <xf numFmtId="166" fontId="10" fillId="0" borderId="0" xfId="4" applyNumberFormat="1" applyFont="1" applyAlignment="1">
      <alignment vertical="center" wrapText="1"/>
    </xf>
    <xf numFmtId="166" fontId="10" fillId="2" borderId="0" xfId="3" applyNumberFormat="1" applyFont="1" applyFill="1" applyAlignment="1">
      <alignment vertical="center"/>
    </xf>
    <xf numFmtId="166" fontId="4" fillId="2" borderId="0" xfId="22" applyNumberFormat="1" applyFont="1" applyFill="1" applyBorder="1" applyAlignment="1">
      <alignment horizontal="left" vertical="center" indent="1"/>
    </xf>
    <xf numFmtId="166" fontId="4" fillId="2" borderId="0" xfId="22" applyNumberFormat="1" applyFont="1" applyFill="1" applyBorder="1" applyAlignment="1">
      <alignment horizontal="left" vertical="center"/>
    </xf>
    <xf numFmtId="166" fontId="4" fillId="2" borderId="0" xfId="7" applyNumberFormat="1" applyFont="1" applyFill="1" applyAlignment="1">
      <alignment horizontal="left"/>
    </xf>
    <xf numFmtId="166" fontId="4" fillId="2" borderId="0" xfId="7" applyNumberFormat="1" applyFont="1" applyFill="1" applyAlignment="1">
      <alignment horizontal="left" vertical="center"/>
    </xf>
    <xf numFmtId="166" fontId="4" fillId="2" borderId="0" xfId="2" applyNumberFormat="1" applyFont="1" applyFill="1" applyAlignment="1">
      <alignment horizontal="left" vertical="center" wrapText="1" indent="1"/>
    </xf>
    <xf numFmtId="166" fontId="2" fillId="2" borderId="0" xfId="7" applyNumberFormat="1" applyFont="1" applyFill="1" applyAlignment="1">
      <alignment horizontal="left" vertical="center" indent="3"/>
    </xf>
    <xf numFmtId="166" fontId="2" fillId="2" borderId="0" xfId="7" applyNumberFormat="1" applyFont="1" applyFill="1" applyAlignment="1">
      <alignment horizontal="left" vertical="center" wrapText="1" indent="3"/>
    </xf>
    <xf numFmtId="166" fontId="2" fillId="2" borderId="0" xfId="7" applyNumberFormat="1" applyFont="1" applyFill="1" applyAlignment="1">
      <alignment horizontal="left" wrapText="1" indent="3"/>
    </xf>
    <xf numFmtId="166" fontId="2" fillId="2" borderId="0" xfId="7" applyNumberFormat="1" applyFont="1" applyFill="1" applyAlignment="1">
      <alignment vertical="center"/>
    </xf>
    <xf numFmtId="166" fontId="4" fillId="2" borderId="0" xfId="23" applyNumberFormat="1" applyFont="1" applyFill="1" applyBorder="1" applyAlignment="1">
      <alignment horizontal="left" vertical="center" indent="1"/>
    </xf>
    <xf numFmtId="166" fontId="4" fillId="2" borderId="0" xfId="23" applyNumberFormat="1" applyFont="1" applyFill="1" applyBorder="1" applyAlignment="1">
      <alignment horizontal="left" vertical="center"/>
    </xf>
    <xf numFmtId="166" fontId="7" fillId="2" borderId="2" xfId="7" applyNumberFormat="1" applyFont="1" applyFill="1" applyBorder="1"/>
    <xf numFmtId="166" fontId="6" fillId="0" borderId="2" xfId="7" applyNumberFormat="1" applyFont="1" applyBorder="1"/>
    <xf numFmtId="166" fontId="7" fillId="2" borderId="0" xfId="7" applyNumberFormat="1" applyFont="1" applyFill="1"/>
    <xf numFmtId="166" fontId="6" fillId="0" borderId="0" xfId="7" applyNumberFormat="1" applyFont="1"/>
    <xf numFmtId="166" fontId="2" fillId="2" borderId="0" xfId="2" applyNumberFormat="1" applyFont="1" applyFill="1"/>
    <xf numFmtId="166" fontId="6" fillId="0" borderId="0" xfId="7" applyNumberFormat="1" applyFont="1" applyAlignment="1">
      <alignment horizontal="left" vertical="center"/>
    </xf>
    <xf numFmtId="166" fontId="8" fillId="0" borderId="0" xfId="4" applyNumberFormat="1" applyFont="1" applyAlignment="1">
      <alignment vertical="center"/>
    </xf>
    <xf numFmtId="166" fontId="10" fillId="0" borderId="0" xfId="4" applyNumberFormat="1" applyFont="1" applyAlignment="1">
      <alignment horizontal="right" vertical="center"/>
    </xf>
    <xf numFmtId="166" fontId="8" fillId="2" borderId="0" xfId="4" applyNumberFormat="1" applyFont="1" applyFill="1" applyAlignment="1">
      <alignment vertical="center"/>
    </xf>
    <xf numFmtId="166" fontId="1" fillId="0" borderId="2" xfId="4" applyNumberFormat="1" applyBorder="1" applyAlignment="1">
      <alignment vertical="center"/>
    </xf>
    <xf numFmtId="166" fontId="11" fillId="2" borderId="5" xfId="4" applyNumberFormat="1" applyFont="1" applyFill="1" applyBorder="1" applyAlignment="1" applyProtection="1">
      <alignment horizontal="right" vertical="center" wrapText="1" readingOrder="1"/>
      <protection locked="0"/>
    </xf>
    <xf numFmtId="166" fontId="11" fillId="0" borderId="5" xfId="4" applyNumberFormat="1" applyFont="1" applyBorder="1" applyAlignment="1" applyProtection="1">
      <alignment horizontal="right" vertical="center" wrapText="1" readingOrder="1"/>
      <protection locked="0"/>
    </xf>
    <xf numFmtId="166" fontId="1" fillId="0" borderId="0" xfId="4" applyNumberFormat="1" applyAlignment="1">
      <alignment vertical="center"/>
    </xf>
    <xf numFmtId="166" fontId="11" fillId="2" borderId="0" xfId="4" applyNumberFormat="1" applyFont="1" applyFill="1" applyAlignment="1" applyProtection="1">
      <alignment horizontal="right" vertical="center" wrapText="1" readingOrder="1"/>
      <protection locked="0"/>
    </xf>
    <xf numFmtId="166" fontId="11" fillId="0" borderId="0" xfId="4" applyNumberFormat="1" applyFont="1" applyAlignment="1" applyProtection="1">
      <alignment horizontal="right" vertical="center" wrapText="1" readingOrder="1"/>
      <protection locked="0"/>
    </xf>
    <xf numFmtId="166" fontId="10" fillId="2" borderId="0" xfId="4" applyNumberFormat="1" applyFont="1" applyFill="1" applyAlignment="1">
      <alignment horizontal="left" vertical="center"/>
    </xf>
    <xf numFmtId="166" fontId="10" fillId="0" borderId="0" xfId="4" applyNumberFormat="1" applyFont="1" applyAlignment="1">
      <alignment vertical="center"/>
    </xf>
    <xf numFmtId="166" fontId="8" fillId="2" borderId="0" xfId="5" applyNumberFormat="1" applyFont="1" applyFill="1" applyAlignment="1">
      <alignment horizontal="right" vertical="center"/>
    </xf>
    <xf numFmtId="166" fontId="4" fillId="2" borderId="0" xfId="4" applyNumberFormat="1" applyFont="1" applyFill="1" applyAlignment="1">
      <alignment horizontal="left" vertical="center" wrapText="1" indent="2"/>
    </xf>
    <xf numFmtId="166" fontId="8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2" fillId="2" borderId="0" xfId="4" applyNumberFormat="1" applyFont="1" applyFill="1" applyAlignment="1">
      <alignment horizontal="left" wrapText="1" indent="3"/>
    </xf>
    <xf numFmtId="166" fontId="10" fillId="2" borderId="3" xfId="0" applyNumberFormat="1" applyFont="1" applyFill="1" applyBorder="1" applyAlignment="1" applyProtection="1">
      <alignment horizontal="right" vertical="center" wrapText="1" readingOrder="1"/>
      <protection locked="0"/>
    </xf>
    <xf numFmtId="166" fontId="4" fillId="2" borderId="0" xfId="30" applyNumberFormat="1" applyFont="1" applyFill="1" applyBorder="1" applyAlignment="1">
      <alignment horizontal="left" vertical="center" indent="1"/>
    </xf>
    <xf numFmtId="166" fontId="8" fillId="2" borderId="3" xfId="0" applyNumberFormat="1" applyFont="1" applyFill="1" applyBorder="1" applyAlignment="1" applyProtection="1">
      <alignment horizontal="left" vertical="center" wrapText="1" readingOrder="1"/>
      <protection locked="0"/>
    </xf>
    <xf numFmtId="166" fontId="4" fillId="2" borderId="0" xfId="30" applyNumberFormat="1" applyFont="1" applyFill="1" applyBorder="1" applyAlignment="1">
      <alignment horizontal="left" vertical="center"/>
    </xf>
    <xf numFmtId="166" fontId="8" fillId="2" borderId="6" xfId="0" applyNumberFormat="1" applyFont="1" applyFill="1" applyBorder="1" applyAlignment="1" applyProtection="1">
      <alignment horizontal="left" vertical="center" wrapText="1" readingOrder="1"/>
      <protection locked="0"/>
    </xf>
    <xf numFmtId="166" fontId="8" fillId="2" borderId="0" xfId="0" applyNumberFormat="1" applyFont="1" applyFill="1" applyAlignment="1" applyProtection="1">
      <alignment horizontal="left" vertical="center" wrapText="1" readingOrder="1"/>
      <protection locked="0"/>
    </xf>
    <xf numFmtId="166" fontId="4" fillId="2" borderId="2" xfId="30" applyNumberFormat="1" applyFont="1" applyFill="1" applyBorder="1" applyAlignment="1">
      <alignment horizontal="left" vertical="center" wrapText="1" indent="2"/>
    </xf>
    <xf numFmtId="166" fontId="9" fillId="2" borderId="2" xfId="0" applyNumberFormat="1" applyFont="1" applyFill="1" applyBorder="1" applyAlignment="1" applyProtection="1">
      <alignment horizontal="right" vertical="center" wrapText="1" readingOrder="1"/>
      <protection locked="0"/>
    </xf>
    <xf numFmtId="166" fontId="17" fillId="0" borderId="2" xfId="4" applyNumberFormat="1" applyFont="1" applyBorder="1"/>
    <xf numFmtId="166" fontId="4" fillId="2" borderId="0" xfId="30" applyNumberFormat="1" applyFont="1" applyFill="1" applyAlignment="1">
      <alignment horizontal="left" vertical="center" wrapText="1" indent="2"/>
    </xf>
    <xf numFmtId="166" fontId="11" fillId="0" borderId="0" xfId="0" applyNumberFormat="1" applyFont="1" applyAlignment="1" applyProtection="1">
      <alignment horizontal="right" vertical="center" wrapText="1" readingOrder="1"/>
      <protection locked="0"/>
    </xf>
    <xf numFmtId="166" fontId="17" fillId="0" borderId="0" xfId="4" applyNumberFormat="1" applyFont="1"/>
    <xf numFmtId="166" fontId="2" fillId="0" borderId="0" xfId="4" applyNumberFormat="1" applyFont="1" applyAlignment="1">
      <alignment horizontal="left" vertical="center"/>
    </xf>
    <xf numFmtId="166" fontId="9" fillId="2" borderId="0" xfId="0" applyNumberFormat="1" applyFont="1" applyFill="1" applyAlignment="1" applyProtection="1">
      <alignment horizontal="left" vertical="center" wrapText="1" readingOrder="1"/>
      <protection locked="0"/>
    </xf>
    <xf numFmtId="166" fontId="11" fillId="0" borderId="0" xfId="0" applyNumberFormat="1" applyFont="1" applyAlignment="1" applyProtection="1">
      <alignment horizontal="left" vertical="center" wrapText="1" readingOrder="1"/>
      <protection locked="0"/>
    </xf>
    <xf numFmtId="166" fontId="17" fillId="0" borderId="0" xfId="4" applyNumberFormat="1" applyFont="1" applyAlignment="1">
      <alignment horizontal="left" vertical="center"/>
    </xf>
    <xf numFmtId="166" fontId="22" fillId="0" borderId="0" xfId="4" applyNumberFormat="1" applyFont="1" applyAlignment="1">
      <alignment vertical="center"/>
    </xf>
    <xf numFmtId="166" fontId="28" fillId="2" borderId="0" xfId="0" applyNumberFormat="1" applyFont="1" applyFill="1"/>
    <xf numFmtId="166" fontId="0" fillId="2" borderId="0" xfId="0" applyNumberFormat="1" applyFill="1"/>
    <xf numFmtId="166" fontId="4" fillId="2" borderId="0" xfId="25" applyNumberFormat="1" applyFont="1" applyFill="1" applyBorder="1" applyAlignment="1">
      <alignment horizontal="left" vertical="center" indent="1"/>
    </xf>
    <xf numFmtId="166" fontId="4" fillId="2" borderId="0" xfId="25" applyNumberFormat="1" applyFont="1" applyFill="1" applyBorder="1" applyAlignment="1">
      <alignment horizontal="left" vertical="center"/>
    </xf>
    <xf numFmtId="166" fontId="8" fillId="0" borderId="0" xfId="4" applyNumberFormat="1" applyFont="1" applyAlignment="1">
      <alignment horizontal="left"/>
    </xf>
    <xf numFmtId="166" fontId="7" fillId="2" borderId="0" xfId="4" applyNumberFormat="1" applyFont="1" applyFill="1" applyAlignment="1">
      <alignment horizontal="left" vertical="center"/>
    </xf>
    <xf numFmtId="166" fontId="7" fillId="0" borderId="0" xfId="4" applyNumberFormat="1" applyFont="1" applyAlignment="1">
      <alignment horizontal="left" vertical="center"/>
    </xf>
    <xf numFmtId="166" fontId="4" fillId="0" borderId="0" xfId="7" applyNumberFormat="1" applyFont="1" applyAlignment="1">
      <alignment horizontal="center" vertical="center"/>
    </xf>
    <xf numFmtId="166" fontId="4" fillId="0" borderId="0" xfId="7" applyNumberFormat="1" applyFont="1" applyAlignment="1">
      <alignment horizontal="right" vertical="center" indent="1"/>
    </xf>
    <xf numFmtId="166" fontId="4" fillId="0" borderId="0" xfId="7" applyNumberFormat="1" applyFont="1" applyAlignment="1">
      <alignment horizontal="left" vertical="center"/>
    </xf>
    <xf numFmtId="166" fontId="4" fillId="2" borderId="0" xfId="2" applyNumberFormat="1" applyFont="1" applyFill="1" applyAlignment="1">
      <alignment horizontal="left" vertical="center" indent="2"/>
    </xf>
    <xf numFmtId="166" fontId="4" fillId="2" borderId="0" xfId="2" applyNumberFormat="1" applyFont="1" applyFill="1" applyAlignment="1">
      <alignment horizontal="left" vertical="center" indent="1"/>
    </xf>
    <xf numFmtId="166" fontId="2" fillId="2" borderId="0" xfId="2" applyNumberFormat="1" applyFont="1" applyFill="1" applyAlignment="1">
      <alignment horizontal="left" vertical="center" indent="3"/>
    </xf>
    <xf numFmtId="166" fontId="28" fillId="2" borderId="0" xfId="0" applyNumberFormat="1" applyFont="1" applyFill="1" applyAlignment="1">
      <alignment horizontal="right" vertical="center"/>
    </xf>
    <xf numFmtId="166" fontId="4" fillId="2" borderId="0" xfId="26" applyNumberFormat="1" applyFont="1" applyFill="1" applyBorder="1" applyAlignment="1">
      <alignment horizontal="left" vertical="center" indent="1"/>
    </xf>
    <xf numFmtId="166" fontId="4" fillId="2" borderId="0" xfId="26" applyNumberFormat="1" applyFont="1" applyFill="1" applyBorder="1" applyAlignment="1">
      <alignment horizontal="left" vertical="center"/>
    </xf>
    <xf numFmtId="166" fontId="2" fillId="0" borderId="2" xfId="7" applyNumberFormat="1" applyFont="1" applyBorder="1"/>
    <xf numFmtId="166" fontId="2" fillId="0" borderId="0" xfId="7" applyNumberFormat="1" applyFont="1"/>
    <xf numFmtId="166" fontId="2" fillId="0" borderId="0" xfId="7" applyNumberFormat="1" applyFont="1" applyAlignment="1">
      <alignment horizontal="left" vertical="center"/>
    </xf>
    <xf numFmtId="166" fontId="7" fillId="0" borderId="0" xfId="7" applyNumberFormat="1" applyFont="1" applyAlignment="1">
      <alignment horizontal="left"/>
    </xf>
    <xf numFmtId="166" fontId="6" fillId="0" borderId="0" xfId="7" applyNumberFormat="1" applyFont="1" applyAlignment="1">
      <alignment horizontal="left"/>
    </xf>
    <xf numFmtId="166" fontId="10" fillId="2" borderId="0" xfId="8" applyNumberFormat="1" applyFont="1" applyFill="1" applyAlignment="1">
      <alignment horizontal="left" vertical="center" wrapText="1" indent="2"/>
    </xf>
    <xf numFmtId="166" fontId="10" fillId="2" borderId="0" xfId="4" applyNumberFormat="1" applyFont="1" applyFill="1" applyAlignment="1">
      <alignment horizontal="left" vertical="center" indent="2"/>
    </xf>
    <xf numFmtId="166" fontId="2" fillId="2" borderId="0" xfId="8" applyNumberFormat="1" applyFont="1" applyFill="1" applyAlignment="1">
      <alignment horizontal="left" vertical="center" wrapText="1" indent="2"/>
    </xf>
    <xf numFmtId="166" fontId="10" fillId="2" borderId="0" xfId="4" applyNumberFormat="1" applyFont="1" applyFill="1" applyAlignment="1">
      <alignment horizontal="left" wrapText="1" indent="1"/>
    </xf>
    <xf numFmtId="166" fontId="4" fillId="2" borderId="0" xfId="27" applyNumberFormat="1" applyFont="1" applyFill="1" applyBorder="1" applyAlignment="1">
      <alignment horizontal="left" vertical="center" indent="1"/>
    </xf>
    <xf numFmtId="166" fontId="4" fillId="2" borderId="0" xfId="27" applyNumberFormat="1" applyFont="1" applyFill="1" applyBorder="1" applyAlignment="1">
      <alignment horizontal="left" vertical="center"/>
    </xf>
    <xf numFmtId="166" fontId="2" fillId="2" borderId="0" xfId="4" applyNumberFormat="1" applyFont="1" applyFill="1" applyAlignment="1">
      <alignment horizontal="left" wrapText="1" indent="2"/>
    </xf>
    <xf numFmtId="166" fontId="4" fillId="2" borderId="0" xfId="28" applyNumberFormat="1" applyFont="1" applyFill="1" applyBorder="1" applyAlignment="1">
      <alignment horizontal="left" vertical="center" indent="1"/>
    </xf>
    <xf numFmtId="166" fontId="4" fillId="2" borderId="0" xfId="28" applyNumberFormat="1" applyFont="1" applyFill="1" applyBorder="1" applyAlignment="1">
      <alignment horizontal="left" vertical="center"/>
    </xf>
    <xf numFmtId="166" fontId="8" fillId="0" borderId="2" xfId="4" applyNumberFormat="1" applyFont="1" applyBorder="1" applyAlignment="1">
      <alignment horizontal="left" vertical="center"/>
    </xf>
    <xf numFmtId="166" fontId="2" fillId="0" borderId="0" xfId="4" applyNumberFormat="1" applyFont="1"/>
    <xf numFmtId="166" fontId="10" fillId="0" borderId="0" xfId="0" applyNumberFormat="1" applyFont="1" applyAlignment="1">
      <alignment horizontal="left" vertical="center"/>
    </xf>
    <xf numFmtId="0" fontId="29" fillId="2" borderId="0" xfId="4" applyFont="1" applyFill="1" applyAlignment="1">
      <alignment horizontal="left" vertical="center"/>
    </xf>
    <xf numFmtId="0" fontId="8" fillId="2" borderId="0" xfId="4" applyFont="1" applyFill="1" applyAlignment="1">
      <alignment horizontal="left" vertical="center"/>
    </xf>
    <xf numFmtId="0" fontId="10" fillId="2" borderId="0" xfId="4" applyFont="1" applyFill="1" applyAlignment="1">
      <alignment horizontal="left" vertical="center" wrapText="1" indent="2"/>
    </xf>
    <xf numFmtId="0" fontId="10" fillId="2" borderId="0" xfId="4" applyFont="1" applyFill="1" applyAlignment="1">
      <alignment horizontal="left" vertical="center" wrapText="1" indent="3"/>
    </xf>
    <xf numFmtId="0" fontId="8" fillId="2" borderId="0" xfId="4" applyFont="1" applyFill="1" applyAlignment="1">
      <alignment horizontal="left" vertical="center" indent="1"/>
    </xf>
    <xf numFmtId="166" fontId="13" fillId="0" borderId="0" xfId="6" applyNumberFormat="1" applyFill="1" applyAlignment="1">
      <alignment horizontal="right" vertical="center"/>
    </xf>
    <xf numFmtId="0" fontId="47" fillId="6" borderId="0" xfId="0" applyFont="1" applyFill="1" applyAlignment="1">
      <alignment vertical="center"/>
    </xf>
    <xf numFmtId="166" fontId="16" fillId="0" borderId="20" xfId="12" applyNumberFormat="1" applyFont="1" applyBorder="1" applyAlignment="1">
      <alignment horizontal="left" vertical="center" wrapText="1" indent="1"/>
    </xf>
    <xf numFmtId="166" fontId="16" fillId="0" borderId="19" xfId="12" applyNumberFormat="1" applyFont="1" applyBorder="1" applyAlignment="1">
      <alignment horizontal="left" vertical="center" wrapText="1" indent="1"/>
    </xf>
    <xf numFmtId="166" fontId="16" fillId="0" borderId="18" xfId="12" applyNumberFormat="1" applyFont="1" applyBorder="1" applyAlignment="1">
      <alignment horizontal="left" vertical="center" wrapText="1" indent="1"/>
    </xf>
    <xf numFmtId="166" fontId="32" fillId="0" borderId="14" xfId="13" applyNumberFormat="1" applyFont="1" applyFill="1" applyBorder="1" applyAlignment="1">
      <alignment horizontal="center" vertical="center" wrapText="1"/>
    </xf>
    <xf numFmtId="166" fontId="32" fillId="0" borderId="13" xfId="13" applyNumberFormat="1" applyFont="1" applyFill="1" applyBorder="1" applyAlignment="1">
      <alignment horizontal="center" vertical="center" wrapText="1"/>
    </xf>
    <xf numFmtId="166" fontId="32" fillId="0" borderId="8" xfId="13" applyNumberFormat="1" applyFont="1" applyFill="1" applyBorder="1" applyAlignment="1">
      <alignment horizontal="center" vertical="center" wrapText="1"/>
    </xf>
    <xf numFmtId="166" fontId="16" fillId="0" borderId="22" xfId="12" applyNumberFormat="1" applyFont="1" applyBorder="1" applyAlignment="1">
      <alignment horizontal="left" vertical="center" wrapText="1" indent="1"/>
    </xf>
    <xf numFmtId="166" fontId="16" fillId="0" borderId="21" xfId="12" applyNumberFormat="1" applyFont="1" applyBorder="1" applyAlignment="1">
      <alignment horizontal="left" vertical="center" wrapText="1" indent="1"/>
    </xf>
    <xf numFmtId="166" fontId="16" fillId="0" borderId="11" xfId="12" applyNumberFormat="1" applyFont="1" applyBorder="1" applyAlignment="1">
      <alignment horizontal="left" vertical="center" wrapText="1" indent="1"/>
    </xf>
    <xf numFmtId="166" fontId="16" fillId="0" borderId="10" xfId="12" applyNumberFormat="1" applyFont="1" applyBorder="1" applyAlignment="1">
      <alignment horizontal="left" vertical="center" wrapText="1" indent="1"/>
    </xf>
    <xf numFmtId="166" fontId="16" fillId="0" borderId="9" xfId="12" applyNumberFormat="1" applyFont="1" applyBorder="1" applyAlignment="1">
      <alignment horizontal="left" vertical="center" wrapText="1" indent="1"/>
    </xf>
    <xf numFmtId="166" fontId="16" fillId="0" borderId="25" xfId="12" applyNumberFormat="1" applyFont="1" applyBorder="1" applyAlignment="1">
      <alignment horizontal="left" vertical="center" wrapText="1" indent="1"/>
    </xf>
    <xf numFmtId="166" fontId="16" fillId="0" borderId="24" xfId="12" applyNumberFormat="1" applyFont="1" applyBorder="1" applyAlignment="1">
      <alignment horizontal="left" vertical="center" wrapText="1" indent="1"/>
    </xf>
    <xf numFmtId="166" fontId="16" fillId="0" borderId="23" xfId="12" applyNumberFormat="1" applyFont="1" applyBorder="1" applyAlignment="1">
      <alignment horizontal="left" vertical="center" wrapText="1" indent="1"/>
    </xf>
    <xf numFmtId="166" fontId="40" fillId="0" borderId="0" xfId="8" applyNumberFormat="1" applyFont="1" applyAlignment="1">
      <alignment horizontal="center" vertical="center"/>
    </xf>
    <xf numFmtId="166" fontId="39" fillId="0" borderId="0" xfId="8" applyNumberFormat="1" applyFont="1" applyAlignment="1">
      <alignment horizontal="center" vertical="center"/>
    </xf>
    <xf numFmtId="166" fontId="45" fillId="5" borderId="0" xfId="34" applyNumberFormat="1" applyFont="1" applyFill="1" applyAlignment="1">
      <alignment horizontal="center" vertical="center"/>
    </xf>
    <xf numFmtId="166" fontId="36" fillId="0" borderId="0" xfId="34" applyNumberFormat="1" applyFont="1" applyAlignment="1">
      <alignment horizontal="center" vertical="center"/>
    </xf>
    <xf numFmtId="166" fontId="36" fillId="0" borderId="0" xfId="12" applyNumberFormat="1" applyFont="1" applyAlignment="1">
      <alignment horizontal="right"/>
    </xf>
    <xf numFmtId="166" fontId="34" fillId="4" borderId="16" xfId="12" applyNumberFormat="1" applyFont="1" applyFill="1" applyBorder="1" applyAlignment="1">
      <alignment horizontal="center" vertical="center"/>
    </xf>
    <xf numFmtId="166" fontId="34" fillId="4" borderId="15" xfId="12" applyNumberFormat="1" applyFont="1" applyFill="1" applyBorder="1" applyAlignment="1">
      <alignment horizontal="center" vertical="center"/>
    </xf>
    <xf numFmtId="166" fontId="11" fillId="0" borderId="0" xfId="0" applyNumberFormat="1" applyFont="1" applyAlignment="1">
      <alignment horizontal="left" vertical="center" wrapText="1"/>
    </xf>
    <xf numFmtId="166" fontId="8" fillId="0" borderId="27" xfId="0" applyNumberFormat="1" applyFont="1" applyBorder="1" applyAlignment="1">
      <alignment horizontal="center" vertical="center" wrapText="1"/>
    </xf>
    <xf numFmtId="166" fontId="8" fillId="0" borderId="2" xfId="0" applyNumberFormat="1" applyFont="1" applyBorder="1" applyAlignment="1">
      <alignment horizontal="center" vertical="center" wrapText="1"/>
    </xf>
    <xf numFmtId="166" fontId="8" fillId="0" borderId="4" xfId="0" applyNumberFormat="1" applyFont="1" applyBorder="1" applyAlignment="1">
      <alignment horizontal="center" vertical="center"/>
    </xf>
    <xf numFmtId="166" fontId="8" fillId="2" borderId="27" xfId="4" applyNumberFormat="1" applyFont="1" applyFill="1" applyBorder="1" applyAlignment="1">
      <alignment horizontal="left" vertical="center" wrapText="1"/>
    </xf>
    <xf numFmtId="166" fontId="8" fillId="2" borderId="0" xfId="4" applyNumberFormat="1" applyFont="1" applyFill="1" applyAlignment="1">
      <alignment horizontal="left" vertical="center" wrapText="1"/>
    </xf>
    <xf numFmtId="166" fontId="8" fillId="2" borderId="2" xfId="4" applyNumberFormat="1" applyFont="1" applyFill="1" applyBorder="1" applyAlignment="1">
      <alignment horizontal="left" vertical="center" wrapText="1"/>
    </xf>
    <xf numFmtId="166" fontId="2" fillId="0" borderId="0" xfId="3" applyNumberFormat="1" applyFont="1" applyAlignment="1">
      <alignment horizontal="left" vertical="center" wrapText="1"/>
    </xf>
    <xf numFmtId="166" fontId="2" fillId="2" borderId="0" xfId="4" applyNumberFormat="1" applyFont="1" applyFill="1" applyAlignment="1">
      <alignment horizontal="left" vertical="center" wrapText="1"/>
    </xf>
    <xf numFmtId="166" fontId="29" fillId="0" borderId="0" xfId="4" applyNumberFormat="1" applyFont="1" applyAlignment="1">
      <alignment horizontal="left" vertical="center" wrapText="1"/>
    </xf>
    <xf numFmtId="166" fontId="8" fillId="0" borderId="4" xfId="0" applyNumberFormat="1" applyFont="1" applyBorder="1" applyAlignment="1">
      <alignment horizontal="center" vertical="center" wrapText="1"/>
    </xf>
    <xf numFmtId="166" fontId="29" fillId="2" borderId="0" xfId="7" applyNumberFormat="1" applyFont="1" applyFill="1" applyAlignment="1">
      <alignment horizontal="left" vertical="center" wrapText="1"/>
    </xf>
    <xf numFmtId="0" fontId="8" fillId="2" borderId="27" xfId="4" applyFont="1" applyFill="1" applyBorder="1" applyAlignment="1">
      <alignment horizontal="left" vertical="center" wrapText="1"/>
    </xf>
    <xf numFmtId="0" fontId="8" fillId="2" borderId="0" xfId="4" applyFont="1" applyFill="1" applyAlignment="1">
      <alignment horizontal="left" vertical="center" wrapText="1"/>
    </xf>
    <xf numFmtId="0" fontId="8" fillId="2" borderId="2" xfId="4" applyFont="1" applyFill="1" applyBorder="1" applyAlignment="1">
      <alignment horizontal="left" vertical="center" wrapText="1"/>
    </xf>
    <xf numFmtId="166" fontId="29" fillId="2" borderId="0" xfId="4" applyNumberFormat="1" applyFont="1" applyFill="1" applyAlignment="1">
      <alignment horizontal="left" vertical="center" wrapText="1"/>
    </xf>
    <xf numFmtId="166" fontId="29" fillId="0" borderId="0" xfId="7" applyNumberFormat="1" applyFont="1" applyAlignment="1">
      <alignment horizontal="left" vertical="center" wrapText="1"/>
    </xf>
  </cellXfs>
  <cellStyles count="35">
    <cellStyle name="Hipervínculo" xfId="6" builtinId="8"/>
    <cellStyle name="Hipervínculo 2" xfId="13" xr:uid="{00000000-0005-0000-0000-000001000000}"/>
    <cellStyle name="Hipervínculo 2 4" xfId="33" xr:uid="{46947961-9507-4CE2-B261-54C52110EB01}"/>
    <cellStyle name="Millares" xfId="1" builtinId="3"/>
    <cellStyle name="Millares 10" xfId="22" xr:uid="{6041C76E-9056-402E-881E-D38719F3C4AF}"/>
    <cellStyle name="Millares 11" xfId="23" xr:uid="{73D167E1-22DB-49E2-8042-782A1890CA8D}"/>
    <cellStyle name="Millares 12" xfId="24" xr:uid="{3E47F523-21E9-477E-9F36-16020ABB367E}"/>
    <cellStyle name="Millares 13" xfId="25" xr:uid="{CA2631EC-0528-4ED3-825C-9DD6E120D1B7}"/>
    <cellStyle name="Millares 14" xfId="26" xr:uid="{FDC0FC86-51EF-47BC-990B-79C141500F6F}"/>
    <cellStyle name="Millares 15" xfId="27" xr:uid="{0FB57E9F-FC37-4D78-8708-E8C103F67076}"/>
    <cellStyle name="Millares 16" xfId="28" xr:uid="{62BFA7EB-8E6D-4C81-B720-18AAC3E01E69}"/>
    <cellStyle name="Millares 17" xfId="29" xr:uid="{41DD9BCA-AD2C-40EB-B372-767D1D604F31}"/>
    <cellStyle name="Millares 18" xfId="30" xr:uid="{B814D1F7-FFD7-499C-B081-3F373A8C5B8C}"/>
    <cellStyle name="Millares 2" xfId="14" xr:uid="{AEFC9E5F-04B7-4DA0-865B-813701BC3FF5}"/>
    <cellStyle name="Millares 3" xfId="15" xr:uid="{845153C8-FEF3-4309-B045-D3148B1EC6B0}"/>
    <cellStyle name="Millares 4" xfId="16" xr:uid="{55A71536-940B-44B4-8BE4-813A4A8ECABF}"/>
    <cellStyle name="Millares 5" xfId="17" xr:uid="{BE35474D-4835-49E1-9610-6A3E4C96ED67}"/>
    <cellStyle name="Millares 6" xfId="18" xr:uid="{A8747380-A297-47E8-BB4C-F11A0B2522A7}"/>
    <cellStyle name="Millares 7" xfId="19" xr:uid="{65CB6860-F50F-4A60-BCB6-FD39FE55C5E9}"/>
    <cellStyle name="Millares 8" xfId="20" xr:uid="{F1B372A2-0F9C-498D-81F7-CB168CAA190D}"/>
    <cellStyle name="Millares 9" xfId="21" xr:uid="{B4E74D96-DD57-47ED-B2E6-F854E069FFAF}"/>
    <cellStyle name="Normal" xfId="0" builtinId="0"/>
    <cellStyle name="Normal 2 2 2" xfId="11" xr:uid="{00000000-0005-0000-0000-000004000000}"/>
    <cellStyle name="Normal 3" xfId="31" xr:uid="{6A7009E8-D167-4158-ACDA-D7AB5A268956}"/>
    <cellStyle name="Normal 3 2 5" xfId="9" xr:uid="{00000000-0005-0000-0000-000005000000}"/>
    <cellStyle name="Normal 4 2" xfId="3" xr:uid="{00000000-0005-0000-0000-000006000000}"/>
    <cellStyle name="Normal 4 2 2" xfId="5" xr:uid="{00000000-0005-0000-0000-000007000000}"/>
    <cellStyle name="Normal 5 2" xfId="4" xr:uid="{00000000-0005-0000-0000-000008000000}"/>
    <cellStyle name="Normal 6" xfId="10" xr:uid="{00000000-0005-0000-0000-000009000000}"/>
    <cellStyle name="Normal 6 2" xfId="34" xr:uid="{96751796-5A3C-4592-AFB8-6500AE2B617E}"/>
    <cellStyle name="Normal 6 2 2" xfId="8" xr:uid="{00000000-0005-0000-0000-00000A000000}"/>
    <cellStyle name="Normal 7 2 2" xfId="12" xr:uid="{00000000-0005-0000-0000-00000B000000}"/>
    <cellStyle name="Normal 9" xfId="2" xr:uid="{00000000-0005-0000-0000-00000C000000}"/>
    <cellStyle name="Normal 9 2" xfId="7" xr:uid="{00000000-0005-0000-0000-00000D000000}"/>
    <cellStyle name="Normal 9 3" xfId="32" xr:uid="{E8717076-7B56-40DD-822C-18CC68A0DE8E}"/>
  </cellStyles>
  <dxfs count="0"/>
  <tableStyles count="0" defaultTableStyle="TableStyleMedium2" defaultPivotStyle="PivotStyleLight16"/>
  <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0</xdr:row>
      <xdr:rowOff>123826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51D3E873-D163-4DD2-889D-44EB6FB00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238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D358-9FB2-42D6-961D-753B7690F7B9}">
  <dimension ref="A1:T35"/>
  <sheetViews>
    <sheetView showGridLines="0" tabSelected="1" zoomScaleNormal="100" workbookViewId="0"/>
  </sheetViews>
  <sheetFormatPr baseColWidth="10" defaultColWidth="11.42578125" defaultRowHeight="14.25" x14ac:dyDescent="0.2"/>
  <cols>
    <col min="1" max="1" width="1.7109375" style="7" customWidth="1"/>
    <col min="2" max="2" width="20.28515625" style="7" customWidth="1"/>
    <col min="3" max="3" width="17.42578125" style="7" customWidth="1"/>
    <col min="4" max="14" width="11.42578125" style="7"/>
    <col min="15" max="15" width="1.5703125" style="7" customWidth="1"/>
    <col min="16" max="16384" width="11.42578125" style="7"/>
  </cols>
  <sheetData>
    <row r="1" spans="1:20" s="10" customFormat="1" ht="20.100000000000001" customHeight="1" x14ac:dyDescent="0.25">
      <c r="A1" s="11"/>
      <c r="B1" s="12"/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</row>
    <row r="2" spans="1:20" s="10" customFormat="1" ht="20.100000000000001" customHeight="1" x14ac:dyDescent="0.25">
      <c r="A2" s="13"/>
      <c r="B2" s="300" t="s">
        <v>163</v>
      </c>
      <c r="C2" s="300"/>
      <c r="D2" s="300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13"/>
      <c r="P2" s="13"/>
      <c r="Q2" s="13"/>
      <c r="R2" s="13"/>
      <c r="S2" s="13"/>
      <c r="T2" s="13"/>
    </row>
    <row r="3" spans="1:20" s="10" customFormat="1" ht="20.100000000000001" customHeight="1" x14ac:dyDescent="0.25">
      <c r="A3" s="13"/>
      <c r="B3" s="301" t="s">
        <v>111</v>
      </c>
      <c r="C3" s="301"/>
      <c r="D3" s="301"/>
      <c r="E3" s="301"/>
      <c r="F3" s="301"/>
      <c r="G3" s="301"/>
      <c r="H3" s="301"/>
      <c r="I3" s="301"/>
      <c r="J3" s="301"/>
      <c r="K3" s="301"/>
      <c r="L3" s="301"/>
      <c r="M3" s="301"/>
      <c r="N3" s="301"/>
      <c r="O3" s="13"/>
      <c r="P3" s="13"/>
      <c r="Q3" s="13"/>
      <c r="R3" s="13"/>
      <c r="S3" s="13"/>
      <c r="T3" s="13"/>
    </row>
    <row r="4" spans="1:20" ht="6.95" customHeight="1" x14ac:dyDescent="0.2">
      <c r="A4" s="14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4"/>
      <c r="P4" s="14"/>
      <c r="Q4" s="14"/>
      <c r="R4" s="14"/>
      <c r="S4" s="14"/>
      <c r="T4" s="14"/>
    </row>
    <row r="5" spans="1:20" ht="20.100000000000001" customHeight="1" x14ac:dyDescent="0.2">
      <c r="A5" s="302" t="s">
        <v>205</v>
      </c>
      <c r="B5" s="302"/>
      <c r="C5" s="302"/>
      <c r="D5" s="302"/>
      <c r="E5" s="302"/>
      <c r="F5" s="302"/>
      <c r="G5" s="302"/>
      <c r="H5" s="302"/>
      <c r="I5" s="302"/>
      <c r="J5" s="302"/>
      <c r="K5" s="302"/>
      <c r="L5" s="302"/>
      <c r="M5" s="302"/>
      <c r="N5" s="302"/>
      <c r="O5" s="16"/>
      <c r="P5" s="14"/>
      <c r="Q5" s="14"/>
      <c r="R5" s="14"/>
      <c r="S5" s="14"/>
      <c r="T5" s="14"/>
    </row>
    <row r="6" spans="1:20" ht="6.95" customHeight="1" x14ac:dyDescent="0.2">
      <c r="A6" s="17"/>
      <c r="B6" s="16" t="s">
        <v>110</v>
      </c>
      <c r="C6" s="18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7"/>
      <c r="P6" s="14"/>
      <c r="Q6" s="14"/>
      <c r="R6" s="14"/>
      <c r="S6" s="14"/>
      <c r="T6" s="19"/>
    </row>
    <row r="7" spans="1:20" ht="20.100000000000001" customHeight="1" x14ac:dyDescent="0.2">
      <c r="A7" s="17"/>
      <c r="B7" s="303" t="s">
        <v>110</v>
      </c>
      <c r="C7" s="303"/>
      <c r="D7" s="303"/>
      <c r="E7" s="303"/>
      <c r="F7" s="303"/>
      <c r="G7" s="303"/>
      <c r="H7" s="303"/>
      <c r="I7" s="303"/>
      <c r="J7" s="303"/>
      <c r="K7" s="303"/>
      <c r="L7" s="303"/>
      <c r="M7" s="303"/>
      <c r="N7" s="303"/>
      <c r="O7" s="17"/>
      <c r="P7" s="14"/>
      <c r="Q7" s="14"/>
      <c r="R7" s="14"/>
      <c r="S7" s="14"/>
      <c r="T7" s="14"/>
    </row>
    <row r="8" spans="1:20" ht="20.100000000000001" customHeight="1" x14ac:dyDescent="0.2">
      <c r="A8" s="20"/>
      <c r="B8" s="21" t="s">
        <v>212</v>
      </c>
      <c r="C8" s="22"/>
      <c r="D8" s="20"/>
      <c r="E8" s="20"/>
      <c r="F8" s="20"/>
      <c r="G8" s="20"/>
      <c r="H8" s="20"/>
      <c r="I8" s="20"/>
      <c r="J8" s="20"/>
      <c r="K8" s="20"/>
      <c r="L8" s="20"/>
      <c r="M8" s="304" t="str">
        <f>CONCATENATE("Total de tabulados: ", COUNTIF(C11:C27,"&lt;&gt;"))</f>
        <v>Total de tabulados: 17</v>
      </c>
      <c r="N8" s="304"/>
      <c r="O8" s="20"/>
      <c r="P8" s="14"/>
      <c r="Q8" s="14"/>
      <c r="R8" s="14"/>
      <c r="S8" s="14"/>
      <c r="T8" s="14"/>
    </row>
    <row r="9" spans="1:20" ht="6.95" customHeight="1" thickBot="1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pans="1:20" ht="18.75" customHeight="1" thickBot="1" x14ac:dyDescent="0.25">
      <c r="A10" s="14"/>
      <c r="B10" s="23" t="s">
        <v>109</v>
      </c>
      <c r="C10" s="24" t="s">
        <v>108</v>
      </c>
      <c r="D10" s="305" t="s">
        <v>107</v>
      </c>
      <c r="E10" s="305"/>
      <c r="F10" s="305"/>
      <c r="G10" s="305"/>
      <c r="H10" s="305"/>
      <c r="I10" s="305"/>
      <c r="J10" s="305"/>
      <c r="K10" s="305"/>
      <c r="L10" s="305"/>
      <c r="M10" s="305"/>
      <c r="N10" s="306"/>
      <c r="O10" s="14"/>
      <c r="P10" s="14"/>
      <c r="Q10" s="14"/>
      <c r="R10" s="14"/>
      <c r="S10" s="14"/>
      <c r="T10" s="14"/>
    </row>
    <row r="11" spans="1:20" ht="39.950000000000003" customHeight="1" x14ac:dyDescent="0.2">
      <c r="A11" s="14"/>
      <c r="B11" s="289" t="s">
        <v>106</v>
      </c>
      <c r="C11" s="25" t="s">
        <v>92</v>
      </c>
      <c r="D11" s="294" t="s">
        <v>164</v>
      </c>
      <c r="E11" s="295"/>
      <c r="F11" s="295"/>
      <c r="G11" s="295"/>
      <c r="H11" s="295"/>
      <c r="I11" s="295"/>
      <c r="J11" s="295"/>
      <c r="K11" s="295"/>
      <c r="L11" s="295"/>
      <c r="M11" s="295"/>
      <c r="N11" s="296"/>
      <c r="O11" s="26"/>
      <c r="P11" s="26"/>
      <c r="Q11" s="26"/>
      <c r="R11" s="26"/>
      <c r="S11" s="26"/>
      <c r="T11" s="26"/>
    </row>
    <row r="12" spans="1:20" ht="39.950000000000003" customHeight="1" x14ac:dyDescent="0.2">
      <c r="A12" s="14"/>
      <c r="B12" s="290"/>
      <c r="C12" s="25" t="s">
        <v>91</v>
      </c>
      <c r="D12" s="294" t="s">
        <v>164</v>
      </c>
      <c r="E12" s="295"/>
      <c r="F12" s="295"/>
      <c r="G12" s="295"/>
      <c r="H12" s="295"/>
      <c r="I12" s="295"/>
      <c r="J12" s="295"/>
      <c r="K12" s="295"/>
      <c r="L12" s="295"/>
      <c r="M12" s="295"/>
      <c r="N12" s="296"/>
      <c r="O12" s="26"/>
      <c r="P12" s="26"/>
      <c r="Q12" s="26"/>
      <c r="R12" s="26"/>
      <c r="S12" s="26"/>
      <c r="T12" s="26"/>
    </row>
    <row r="13" spans="1:20" ht="39.950000000000003" customHeight="1" x14ac:dyDescent="0.2">
      <c r="A13" s="14"/>
      <c r="B13" s="290"/>
      <c r="C13" s="25" t="s">
        <v>90</v>
      </c>
      <c r="D13" s="294" t="s">
        <v>165</v>
      </c>
      <c r="E13" s="295"/>
      <c r="F13" s="295"/>
      <c r="G13" s="295"/>
      <c r="H13" s="295"/>
      <c r="I13" s="295"/>
      <c r="J13" s="295"/>
      <c r="K13" s="295"/>
      <c r="L13" s="295"/>
      <c r="M13" s="295"/>
      <c r="N13" s="296"/>
      <c r="O13" s="26"/>
      <c r="P13" s="26"/>
      <c r="Q13" s="26"/>
      <c r="R13" s="26"/>
      <c r="S13" s="26"/>
      <c r="T13" s="26"/>
    </row>
    <row r="14" spans="1:20" ht="39.950000000000003" customHeight="1" x14ac:dyDescent="0.2">
      <c r="A14" s="14"/>
      <c r="B14" s="290"/>
      <c r="C14" s="25" t="s">
        <v>89</v>
      </c>
      <c r="D14" s="294" t="s">
        <v>175</v>
      </c>
      <c r="E14" s="295"/>
      <c r="F14" s="295"/>
      <c r="G14" s="295"/>
      <c r="H14" s="295"/>
      <c r="I14" s="295"/>
      <c r="J14" s="295"/>
      <c r="K14" s="295"/>
      <c r="L14" s="295"/>
      <c r="M14" s="295"/>
      <c r="N14" s="296"/>
      <c r="O14" s="26"/>
      <c r="P14" s="26"/>
      <c r="Q14" s="26"/>
      <c r="R14" s="26"/>
      <c r="S14" s="26"/>
      <c r="T14" s="26"/>
    </row>
    <row r="15" spans="1:20" ht="39.950000000000003" customHeight="1" x14ac:dyDescent="0.2">
      <c r="A15" s="14"/>
      <c r="B15" s="290"/>
      <c r="C15" s="27" t="s">
        <v>88</v>
      </c>
      <c r="D15" s="294" t="s">
        <v>181</v>
      </c>
      <c r="E15" s="295"/>
      <c r="F15" s="295"/>
      <c r="G15" s="295"/>
      <c r="H15" s="295"/>
      <c r="I15" s="295"/>
      <c r="J15" s="295"/>
      <c r="K15" s="295"/>
      <c r="L15" s="295"/>
      <c r="M15" s="295"/>
      <c r="N15" s="296"/>
      <c r="O15" s="26"/>
      <c r="P15" s="26"/>
      <c r="Q15" s="26"/>
      <c r="R15" s="26"/>
      <c r="S15" s="26"/>
      <c r="T15" s="26"/>
    </row>
    <row r="16" spans="1:20" ht="39.950000000000003" customHeight="1" x14ac:dyDescent="0.2">
      <c r="A16" s="14"/>
      <c r="B16" s="290"/>
      <c r="C16" s="27" t="s">
        <v>87</v>
      </c>
      <c r="D16" s="294" t="s">
        <v>180</v>
      </c>
      <c r="E16" s="295"/>
      <c r="F16" s="295"/>
      <c r="G16" s="295"/>
      <c r="H16" s="295"/>
      <c r="I16" s="295"/>
      <c r="J16" s="295"/>
      <c r="K16" s="295"/>
      <c r="L16" s="295"/>
      <c r="M16" s="295"/>
      <c r="N16" s="296"/>
      <c r="O16" s="26"/>
      <c r="P16" s="26"/>
      <c r="Q16" s="26"/>
      <c r="R16" s="26"/>
      <c r="S16" s="26"/>
      <c r="T16" s="26"/>
    </row>
    <row r="17" spans="1:20" ht="39.950000000000003" customHeight="1" x14ac:dyDescent="0.2">
      <c r="A17" s="14"/>
      <c r="B17" s="290"/>
      <c r="C17" s="27" t="s">
        <v>86</v>
      </c>
      <c r="D17" s="294" t="s">
        <v>103</v>
      </c>
      <c r="E17" s="295"/>
      <c r="F17" s="295"/>
      <c r="G17" s="295"/>
      <c r="H17" s="295"/>
      <c r="I17" s="295"/>
      <c r="J17" s="295"/>
      <c r="K17" s="295"/>
      <c r="L17" s="295"/>
      <c r="M17" s="295"/>
      <c r="N17" s="296"/>
      <c r="O17" s="26"/>
      <c r="P17" s="26"/>
      <c r="Q17" s="26"/>
      <c r="R17" s="26"/>
      <c r="S17" s="26"/>
      <c r="T17" s="26"/>
    </row>
    <row r="18" spans="1:20" ht="39.950000000000003" customHeight="1" x14ac:dyDescent="0.2">
      <c r="A18" s="14"/>
      <c r="B18" s="290"/>
      <c r="C18" s="27" t="s">
        <v>85</v>
      </c>
      <c r="D18" s="294" t="s">
        <v>188</v>
      </c>
      <c r="E18" s="295"/>
      <c r="F18" s="295"/>
      <c r="G18" s="295"/>
      <c r="H18" s="295"/>
      <c r="I18" s="295"/>
      <c r="J18" s="295"/>
      <c r="K18" s="295"/>
      <c r="L18" s="295"/>
      <c r="M18" s="295"/>
      <c r="N18" s="296"/>
      <c r="O18" s="26"/>
      <c r="P18" s="26"/>
      <c r="Q18" s="26"/>
      <c r="R18" s="26"/>
      <c r="S18" s="26"/>
      <c r="T18" s="26"/>
    </row>
    <row r="19" spans="1:20" ht="39.950000000000003" customHeight="1" x14ac:dyDescent="0.2">
      <c r="A19" s="14"/>
      <c r="B19" s="290"/>
      <c r="C19" s="27" t="s">
        <v>84</v>
      </c>
      <c r="D19" s="294" t="s">
        <v>187</v>
      </c>
      <c r="E19" s="295"/>
      <c r="F19" s="295"/>
      <c r="G19" s="295"/>
      <c r="H19" s="295"/>
      <c r="I19" s="295"/>
      <c r="J19" s="295"/>
      <c r="K19" s="295"/>
      <c r="L19" s="295"/>
      <c r="M19" s="295"/>
      <c r="N19" s="296"/>
      <c r="O19" s="26"/>
      <c r="P19" s="26"/>
      <c r="Q19" s="26"/>
      <c r="R19" s="26"/>
      <c r="S19" s="26"/>
      <c r="T19" s="26"/>
    </row>
    <row r="20" spans="1:20" ht="39.950000000000003" customHeight="1" x14ac:dyDescent="0.2">
      <c r="A20" s="14"/>
      <c r="B20" s="290"/>
      <c r="C20" s="27" t="s">
        <v>83</v>
      </c>
      <c r="D20" s="294" t="s">
        <v>189</v>
      </c>
      <c r="E20" s="295"/>
      <c r="F20" s="295"/>
      <c r="G20" s="295"/>
      <c r="H20" s="295"/>
      <c r="I20" s="295"/>
      <c r="J20" s="295"/>
      <c r="K20" s="295"/>
      <c r="L20" s="295"/>
      <c r="M20" s="295"/>
      <c r="N20" s="296"/>
      <c r="O20" s="26"/>
      <c r="P20" s="26"/>
      <c r="Q20" s="26"/>
      <c r="R20" s="26"/>
      <c r="S20" s="26"/>
      <c r="T20" s="26"/>
    </row>
    <row r="21" spans="1:20" ht="39.950000000000003" customHeight="1" x14ac:dyDescent="0.2">
      <c r="A21" s="14"/>
      <c r="B21" s="290"/>
      <c r="C21" s="27" t="s">
        <v>82</v>
      </c>
      <c r="D21" s="294" t="s">
        <v>190</v>
      </c>
      <c r="E21" s="295"/>
      <c r="F21" s="295"/>
      <c r="G21" s="295"/>
      <c r="H21" s="295"/>
      <c r="I21" s="295"/>
      <c r="J21" s="295"/>
      <c r="K21" s="295"/>
      <c r="L21" s="295"/>
      <c r="M21" s="295"/>
      <c r="N21" s="296"/>
      <c r="O21" s="26"/>
      <c r="P21" s="26"/>
      <c r="Q21" s="26"/>
      <c r="R21" s="26"/>
      <c r="S21" s="26"/>
      <c r="T21" s="26"/>
    </row>
    <row r="22" spans="1:20" ht="39.950000000000003" customHeight="1" x14ac:dyDescent="0.2">
      <c r="A22" s="14"/>
      <c r="B22" s="290"/>
      <c r="C22" s="27" t="s">
        <v>81</v>
      </c>
      <c r="D22" s="294" t="s">
        <v>191</v>
      </c>
      <c r="E22" s="295"/>
      <c r="F22" s="295"/>
      <c r="G22" s="295"/>
      <c r="H22" s="295"/>
      <c r="I22" s="295"/>
      <c r="J22" s="295"/>
      <c r="K22" s="295"/>
      <c r="L22" s="295"/>
      <c r="M22" s="295"/>
      <c r="N22" s="296"/>
      <c r="O22" s="26"/>
      <c r="P22" s="26"/>
      <c r="Q22" s="26"/>
      <c r="R22" s="26"/>
      <c r="S22" s="26"/>
      <c r="T22" s="26"/>
    </row>
    <row r="23" spans="1:20" ht="39.950000000000003" customHeight="1" x14ac:dyDescent="0.2">
      <c r="A23" s="14"/>
      <c r="B23" s="290"/>
      <c r="C23" s="27" t="s">
        <v>80</v>
      </c>
      <c r="D23" s="294" t="s">
        <v>192</v>
      </c>
      <c r="E23" s="295"/>
      <c r="F23" s="295"/>
      <c r="G23" s="295"/>
      <c r="H23" s="295"/>
      <c r="I23" s="295"/>
      <c r="J23" s="295"/>
      <c r="K23" s="295"/>
      <c r="L23" s="295"/>
      <c r="M23" s="295"/>
      <c r="N23" s="296"/>
      <c r="O23" s="26"/>
      <c r="P23" s="26"/>
      <c r="Q23" s="26"/>
      <c r="R23" s="26"/>
      <c r="S23" s="26"/>
      <c r="T23" s="26"/>
    </row>
    <row r="24" spans="1:20" ht="39.950000000000003" customHeight="1" x14ac:dyDescent="0.2">
      <c r="A24" s="14"/>
      <c r="B24" s="290"/>
      <c r="C24" s="27" t="s">
        <v>79</v>
      </c>
      <c r="D24" s="294" t="s">
        <v>193</v>
      </c>
      <c r="E24" s="295"/>
      <c r="F24" s="295"/>
      <c r="G24" s="295"/>
      <c r="H24" s="295"/>
      <c r="I24" s="295"/>
      <c r="J24" s="295"/>
      <c r="K24" s="295"/>
      <c r="L24" s="295"/>
      <c r="M24" s="295"/>
      <c r="N24" s="296"/>
      <c r="O24" s="26"/>
      <c r="P24" s="26"/>
      <c r="Q24" s="26"/>
      <c r="R24" s="26"/>
      <c r="S24" s="26"/>
      <c r="T24" s="26"/>
    </row>
    <row r="25" spans="1:20" ht="39.950000000000003" customHeight="1" x14ac:dyDescent="0.2">
      <c r="A25" s="14"/>
      <c r="B25" s="290"/>
      <c r="C25" s="28" t="s">
        <v>78</v>
      </c>
      <c r="D25" s="297" t="s">
        <v>168</v>
      </c>
      <c r="E25" s="298"/>
      <c r="F25" s="298"/>
      <c r="G25" s="298"/>
      <c r="H25" s="298"/>
      <c r="I25" s="298"/>
      <c r="J25" s="298"/>
      <c r="K25" s="298"/>
      <c r="L25" s="298"/>
      <c r="M25" s="298"/>
      <c r="N25" s="299"/>
      <c r="O25" s="26"/>
      <c r="P25" s="26"/>
      <c r="Q25" s="26"/>
      <c r="R25" s="26"/>
      <c r="S25" s="26"/>
      <c r="T25" s="26"/>
    </row>
    <row r="26" spans="1:20" ht="39.950000000000003" customHeight="1" x14ac:dyDescent="0.2">
      <c r="A26" s="14"/>
      <c r="B26" s="290"/>
      <c r="C26" s="25" t="s">
        <v>77</v>
      </c>
      <c r="D26" s="292" t="s">
        <v>167</v>
      </c>
      <c r="E26" s="292"/>
      <c r="F26" s="292"/>
      <c r="G26" s="292"/>
      <c r="H26" s="292"/>
      <c r="I26" s="292"/>
      <c r="J26" s="292"/>
      <c r="K26" s="292"/>
      <c r="L26" s="292"/>
      <c r="M26" s="292"/>
      <c r="N26" s="293"/>
      <c r="O26" s="26"/>
      <c r="P26" s="26"/>
      <c r="Q26" s="26"/>
      <c r="R26" s="26"/>
      <c r="S26" s="26"/>
      <c r="T26" s="26"/>
    </row>
    <row r="27" spans="1:20" ht="39.950000000000003" customHeight="1" thickBot="1" x14ac:dyDescent="0.25">
      <c r="A27" s="14"/>
      <c r="B27" s="291"/>
      <c r="C27" s="29" t="s">
        <v>138</v>
      </c>
      <c r="D27" s="286" t="s">
        <v>166</v>
      </c>
      <c r="E27" s="287"/>
      <c r="F27" s="287"/>
      <c r="G27" s="287"/>
      <c r="H27" s="287"/>
      <c r="I27" s="287"/>
      <c r="J27" s="287"/>
      <c r="K27" s="287"/>
      <c r="L27" s="287"/>
      <c r="M27" s="287"/>
      <c r="N27" s="288"/>
      <c r="O27" s="26"/>
      <c r="P27" s="26"/>
      <c r="Q27" s="26"/>
      <c r="R27" s="26"/>
      <c r="S27" s="26"/>
      <c r="T27" s="26"/>
    </row>
    <row r="28" spans="1:20" ht="14.25" customHeight="1" x14ac:dyDescent="0.2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</row>
    <row r="29" spans="1:20" ht="14.25" customHeight="1" x14ac:dyDescent="0.2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4.25" customHeight="1" x14ac:dyDescent="0.2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</row>
    <row r="31" spans="1:20" ht="14.25" customHeight="1" x14ac:dyDescent="0.2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</row>
    <row r="32" spans="1:20" ht="14.25" customHeight="1" x14ac:dyDescent="0.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4.25" customHeight="1" x14ac:dyDescent="0.2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14.25" customHeight="1" x14ac:dyDescent="0.2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</row>
    <row r="35" spans="1:20" ht="14.25" customHeight="1" x14ac:dyDescent="0.2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</sheetData>
  <mergeCells count="24">
    <mergeCell ref="D16:N16"/>
    <mergeCell ref="D18:N18"/>
    <mergeCell ref="B2:N2"/>
    <mergeCell ref="B3:N3"/>
    <mergeCell ref="A5:N5"/>
    <mergeCell ref="B7:N7"/>
    <mergeCell ref="M8:N8"/>
    <mergeCell ref="D10:N10"/>
    <mergeCell ref="D27:N27"/>
    <mergeCell ref="B11:B27"/>
    <mergeCell ref="D26:N26"/>
    <mergeCell ref="D19:N19"/>
    <mergeCell ref="D20:N20"/>
    <mergeCell ref="D23:N23"/>
    <mergeCell ref="D22:N22"/>
    <mergeCell ref="D25:N25"/>
    <mergeCell ref="D21:N21"/>
    <mergeCell ref="D11:N11"/>
    <mergeCell ref="D12:N12"/>
    <mergeCell ref="D13:N13"/>
    <mergeCell ref="D15:N15"/>
    <mergeCell ref="D24:N24"/>
    <mergeCell ref="D14:N14"/>
    <mergeCell ref="D17:N17"/>
  </mergeCells>
  <hyperlinks>
    <hyperlink ref="C11" location="'Cuadro 5.1'!A1" tooltip="Ir a Cuadro 5.1" display="Cuadro 5.1" xr:uid="{796D35E0-20C7-4809-83E7-3628FCCC1D2F}"/>
    <hyperlink ref="C12" location="'Cuadro 5.2'!A1" tooltip="Ir a Cuadro 5.2" display="Cuadro 5.2" xr:uid="{ACE47ED9-F153-4D1E-9E42-9CD597B81C7B}"/>
    <hyperlink ref="C26" location="'Cuadro 5.16'!A1" tooltip="Ir a Cuadro 5.16" display="Cuadro 5.16" xr:uid="{E6A46C52-BB82-4914-9537-1D8BD240147F}"/>
    <hyperlink ref="C13:C25" location="'4.2'!A1" tooltip="Ir a Cuadro 4.2" display="Cuadro 4.2" xr:uid="{B0B7BF2A-5BCC-49FF-AE65-67157C8541D5}"/>
    <hyperlink ref="C13" location="'Cuadro 5.3'!A1" tooltip="Ir a Cuadro 5.3" display="Cuadro 5.3" xr:uid="{84A26642-D0BF-4917-8465-B7DA313F29AF}"/>
    <hyperlink ref="C14" location="'Cuadro 5.4'!A1" tooltip="Ir a Cuadro 5.4" display="Cuadro 5.4" xr:uid="{D08D33F3-3405-449E-8D7B-741AA8B3D698}"/>
    <hyperlink ref="C15" location="'Cuadro 5.5'!A1" tooltip="Ir a Cuadro 5.5" display="Cuadro 5.5" xr:uid="{EBE18A85-473C-49F3-8750-CC58A5A54836}"/>
    <hyperlink ref="C16" location="'Cuadro 5.6'!A1" tooltip="Ir a Cuadro 5.6" display="Cuadro 5.6" xr:uid="{25EB964A-45E8-4E0E-941D-24F44E7037DA}"/>
    <hyperlink ref="C17" location="'Cuadro 5.7'!A1" tooltip="Ir a Cuadro 5.7" display="Cuadro 5.7" xr:uid="{00BB7445-55F2-4562-9D96-1C4FF6F84880}"/>
    <hyperlink ref="C18" location="'Cuadro 5.8'!A1" tooltip="Ir a Cuadro 5.8" display="Cuadro 5.8" xr:uid="{680E278F-B5ED-4CBE-A0CA-BC339B2B4EEF}"/>
    <hyperlink ref="C19" location="'Cuadro 5.9'!A1" tooltip="Ir a Cuadro 5.9" display="Cuadro 5.9" xr:uid="{F1C361AC-B9BC-4546-9F1C-CB62EDC74F26}"/>
    <hyperlink ref="C20" location="'Cuadro 5.10'!A1" tooltip="Ir a Cuadro 5.10" display="Cuadro 5.10" xr:uid="{50BE5D03-C611-452F-9F42-5C69D8BA8D9D}"/>
    <hyperlink ref="C21" location="'Cuadro 5.11'!A1" tooltip="Ir a Cuadro 5.11" display="Cuadro 5.11" xr:uid="{63982B5C-32F1-414B-ADE3-99798F870B9E}"/>
    <hyperlink ref="C22" location="'Cuadro 5.12'!A1" tooltip="Ir a Cuadro 5.12" display="Cuadro 5.12" xr:uid="{867C221C-1560-441E-9109-E444FCDECD1B}"/>
    <hyperlink ref="C23" location="'Cuadro 5.13'!A1" tooltip="Ir a Cuadro 5.13" display="Cuadro 5.13" xr:uid="{32E9CE04-336D-422C-95BF-B6C2D6434A69}"/>
    <hyperlink ref="C24" location="'Cuadro 5.14'!A1" tooltip="Ir a Cuadro 5.14" display="Cuadro 5.14" xr:uid="{054CCA83-AC8E-43AF-BF94-EFA51D7E129D}"/>
    <hyperlink ref="C25" location="'Cuadro 5.15'!A1" tooltip="Ir a Cuadro 5.15" display="Cuadro 5.15" xr:uid="{4EBE7078-54D7-454A-AFD2-7846C8597B11}"/>
    <hyperlink ref="C27" location="'Cuadro 5.17'!A1" tooltip="Ir a Cuadro 5.17" display="Cuadro 5.17" xr:uid="{C25A7E33-879B-4470-87C1-14BE8BCDE3E6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79F40-CB28-442A-8993-EB6E53176DBB}">
  <dimension ref="A1:W4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4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4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4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36" t="s">
        <v>164</v>
      </c>
      <c r="C5" s="37"/>
      <c r="D5" s="38"/>
      <c r="E5" s="34"/>
      <c r="F5" s="39"/>
      <c r="G5" s="38"/>
      <c r="H5" s="34"/>
      <c r="I5" s="32"/>
      <c r="J5" s="32"/>
      <c r="K5" s="40" t="s">
        <v>92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144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4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55"/>
      <c r="C10" s="55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58" t="s">
        <v>1</v>
      </c>
      <c r="C11" s="59"/>
      <c r="D11" s="60">
        <v>85074250.450445905</v>
      </c>
      <c r="E11" s="61">
        <v>100</v>
      </c>
      <c r="F11" s="62"/>
      <c r="G11" s="60">
        <v>45189093.536525302</v>
      </c>
      <c r="H11" s="61">
        <v>100</v>
      </c>
      <c r="I11" s="57"/>
      <c r="J11" s="60">
        <v>38949471.211108603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58"/>
      <c r="C12" s="59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64" t="s">
        <v>119</v>
      </c>
      <c r="C13" s="65"/>
      <c r="D13" s="60">
        <v>56092587.995304897</v>
      </c>
      <c r="E13" s="61">
        <v>65.331568415138307</v>
      </c>
      <c r="F13" s="62"/>
      <c r="G13" s="60">
        <v>29382781.026544102</v>
      </c>
      <c r="H13" s="61">
        <v>64.203924544971798</v>
      </c>
      <c r="I13" s="57"/>
      <c r="J13" s="60">
        <v>25990374.422964301</v>
      </c>
      <c r="K13" s="61">
        <v>65.706062769090195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66"/>
      <c r="C14" s="65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69" t="s">
        <v>120</v>
      </c>
      <c r="C15" s="63"/>
      <c r="D15" s="67">
        <v>30504403.079015501</v>
      </c>
      <c r="E15" s="68">
        <v>53.613044679269201</v>
      </c>
      <c r="F15" s="70"/>
      <c r="G15" s="67">
        <v>17147434.221315701</v>
      </c>
      <c r="H15" s="68">
        <v>57.385261716390602</v>
      </c>
      <c r="I15" s="41"/>
      <c r="J15" s="67">
        <v>12875114.0257477</v>
      </c>
      <c r="K15" s="68">
        <v>48.439503497033698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69" t="s">
        <v>121</v>
      </c>
      <c r="C16" s="63"/>
      <c r="D16" s="67">
        <v>6518438.9690526901</v>
      </c>
      <c r="E16" s="68">
        <v>11.3774728874657</v>
      </c>
      <c r="F16" s="70"/>
      <c r="G16" s="67">
        <v>2987383.1768587702</v>
      </c>
      <c r="H16" s="68">
        <v>9.8458443380897904</v>
      </c>
      <c r="I16" s="41"/>
      <c r="J16" s="67">
        <v>3334447.9352660701</v>
      </c>
      <c r="K16" s="68">
        <v>12.4313393670531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69" t="s">
        <v>143</v>
      </c>
      <c r="C17" s="63"/>
      <c r="D17" s="67">
        <v>17837136.839180101</v>
      </c>
      <c r="E17" s="68">
        <v>31.195987664940699</v>
      </c>
      <c r="F17" s="70"/>
      <c r="G17" s="67">
        <v>8495021.1033209898</v>
      </c>
      <c r="H17" s="68">
        <v>28.050282371156602</v>
      </c>
      <c r="I17" s="41"/>
      <c r="J17" s="67">
        <v>9016740.75135733</v>
      </c>
      <c r="K17" s="68">
        <v>33.820368729598599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66"/>
      <c r="C18" s="65"/>
      <c r="D18" s="67"/>
      <c r="E18" s="68"/>
      <c r="F18" s="70"/>
      <c r="G18" s="67"/>
      <c r="H18" s="68"/>
      <c r="I18" s="41"/>
      <c r="J18" s="67"/>
      <c r="K18" s="68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s="6" customFormat="1" ht="15" customHeight="1" x14ac:dyDescent="0.25">
      <c r="A19" s="57"/>
      <c r="B19" s="64" t="s">
        <v>122</v>
      </c>
      <c r="C19" s="63"/>
      <c r="D19" s="60">
        <v>28078076.740646701</v>
      </c>
      <c r="E19" s="61">
        <v>32.5409580356608</v>
      </c>
      <c r="F19" s="62"/>
      <c r="G19" s="60">
        <v>15216244.9982745</v>
      </c>
      <c r="H19" s="61">
        <v>32.950319927275302</v>
      </c>
      <c r="I19" s="57"/>
      <c r="J19" s="60">
        <v>12383444.0414124</v>
      </c>
      <c r="K19" s="61">
        <v>31.135009916205501</v>
      </c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</row>
    <row r="20" spans="1:23" ht="6.95" customHeight="1" x14ac:dyDescent="0.25">
      <c r="A20" s="41"/>
      <c r="B20" s="71"/>
      <c r="C20" s="72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s="6" customFormat="1" ht="15" customHeight="1" x14ac:dyDescent="0.25">
      <c r="A21" s="57"/>
      <c r="B21" s="73" t="s">
        <v>2</v>
      </c>
      <c r="C21" s="63"/>
      <c r="D21" s="60">
        <v>27919808.370060898</v>
      </c>
      <c r="E21" s="61">
        <v>100</v>
      </c>
      <c r="F21" s="62"/>
      <c r="G21" s="60">
        <v>15147712.0036007</v>
      </c>
      <c r="H21" s="61">
        <v>100</v>
      </c>
      <c r="I21" s="57"/>
      <c r="J21" s="60">
        <v>12466861.324348001</v>
      </c>
      <c r="K21" s="61">
        <v>100</v>
      </c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</row>
    <row r="22" spans="1:23" ht="6.95" customHeight="1" x14ac:dyDescent="0.25">
      <c r="A22" s="41"/>
      <c r="B22" s="74"/>
      <c r="C22" s="63"/>
      <c r="D22" s="41"/>
      <c r="E22" s="41"/>
      <c r="F22" s="63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64" t="s">
        <v>119</v>
      </c>
      <c r="C23" s="65"/>
      <c r="D23" s="60">
        <v>16847992.99281</v>
      </c>
      <c r="E23" s="61">
        <v>59.109801025120497</v>
      </c>
      <c r="F23" s="62"/>
      <c r="G23" s="60">
        <v>9061947.9194695894</v>
      </c>
      <c r="H23" s="61">
        <v>58.400313546245997</v>
      </c>
      <c r="I23" s="57"/>
      <c r="J23" s="60">
        <v>7485225.9038265403</v>
      </c>
      <c r="K23" s="61">
        <v>58.317987213989603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66"/>
      <c r="C24" s="65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69" t="s">
        <v>120</v>
      </c>
      <c r="C25" s="63"/>
      <c r="D25" s="67">
        <v>11392150.084203299</v>
      </c>
      <c r="E25" s="68">
        <v>65.047753284581304</v>
      </c>
      <c r="F25" s="70"/>
      <c r="G25" s="67">
        <v>6428191.1822286397</v>
      </c>
      <c r="H25" s="68">
        <v>68.207570984822695</v>
      </c>
      <c r="I25" s="41"/>
      <c r="J25" s="67">
        <v>4682994.29499368</v>
      </c>
      <c r="K25" s="68">
        <v>59.592352054511402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69" t="s">
        <v>121</v>
      </c>
      <c r="C26" s="63"/>
      <c r="D26" s="67">
        <v>1152193.6446541201</v>
      </c>
      <c r="E26" s="68">
        <v>6.4379095689310404</v>
      </c>
      <c r="F26" s="70"/>
      <c r="G26" s="67">
        <v>437094.39583497099</v>
      </c>
      <c r="H26" s="68">
        <v>4.4505224964902297</v>
      </c>
      <c r="I26" s="41"/>
      <c r="J26" s="67">
        <v>646450.31178565498</v>
      </c>
      <c r="K26" s="68">
        <v>7.9547178187766701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69" t="s">
        <v>143</v>
      </c>
      <c r="C27" s="63"/>
      <c r="D27" s="67">
        <v>3790779.2428434901</v>
      </c>
      <c r="E27" s="68">
        <v>21.652433664168999</v>
      </c>
      <c r="F27" s="70"/>
      <c r="G27" s="67">
        <v>1819591.1473902401</v>
      </c>
      <c r="H27" s="68">
        <v>18.938656315046</v>
      </c>
      <c r="I27" s="41"/>
      <c r="J27" s="67">
        <v>1812391.6655729699</v>
      </c>
      <c r="K27" s="68">
        <v>23.0035962249687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66"/>
      <c r="C28" s="65"/>
      <c r="D28" s="67"/>
      <c r="E28" s="68"/>
      <c r="F28" s="70"/>
      <c r="G28" s="67"/>
      <c r="H28" s="68"/>
      <c r="I28" s="41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64" t="s">
        <v>122</v>
      </c>
      <c r="C29" s="63"/>
      <c r="D29" s="60">
        <v>10725839.6733524</v>
      </c>
      <c r="E29" s="61">
        <v>36.911262979116998</v>
      </c>
      <c r="F29" s="62"/>
      <c r="G29" s="60">
        <v>5812849.8837108398</v>
      </c>
      <c r="H29" s="61">
        <v>36.494039715835598</v>
      </c>
      <c r="I29" s="57"/>
      <c r="J29" s="60">
        <v>4704252.8055857001</v>
      </c>
      <c r="K29" s="61">
        <v>35.766620114358702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75"/>
      <c r="C30" s="63"/>
      <c r="D30" s="76"/>
      <c r="E30" s="76"/>
      <c r="F30" s="77"/>
      <c r="G30" s="76"/>
      <c r="H30" s="76"/>
      <c r="I30" s="76"/>
      <c r="J30" s="76"/>
      <c r="K30" s="76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s="6" customFormat="1" ht="15" customHeight="1" x14ac:dyDescent="0.25">
      <c r="A31" s="57"/>
      <c r="B31" s="73" t="s">
        <v>3</v>
      </c>
      <c r="C31" s="63"/>
      <c r="D31" s="60">
        <v>54724471.783623897</v>
      </c>
      <c r="E31" s="61">
        <v>100</v>
      </c>
      <c r="F31" s="62"/>
      <c r="G31" s="60">
        <v>28733115.775626201</v>
      </c>
      <c r="H31" s="61">
        <v>100</v>
      </c>
      <c r="I31" s="57"/>
      <c r="J31" s="60">
        <v>25428611.494824</v>
      </c>
      <c r="K31" s="61">
        <v>100</v>
      </c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</row>
    <row r="32" spans="1:23" ht="6.95" customHeight="1" x14ac:dyDescent="0.25">
      <c r="A32" s="41"/>
      <c r="B32" s="74"/>
      <c r="C32" s="63"/>
      <c r="D32" s="41"/>
      <c r="E32" s="41"/>
      <c r="F32" s="63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s="6" customFormat="1" ht="15" customHeight="1" x14ac:dyDescent="0.25">
      <c r="A33" s="57"/>
      <c r="B33" s="64" t="s">
        <v>119</v>
      </c>
      <c r="C33" s="65"/>
      <c r="D33" s="60">
        <v>37621053.380480401</v>
      </c>
      <c r="E33" s="61">
        <v>67.897775234167497</v>
      </c>
      <c r="F33" s="62"/>
      <c r="G33" s="60">
        <v>19396099.600359399</v>
      </c>
      <c r="H33" s="61">
        <v>66.373994378829195</v>
      </c>
      <c r="I33" s="57"/>
      <c r="J33" s="60">
        <v>17773630.1512236</v>
      </c>
      <c r="K33" s="61">
        <v>68.496999951804995</v>
      </c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</row>
    <row r="34" spans="1:23" ht="6.95" customHeight="1" x14ac:dyDescent="0.25">
      <c r="A34" s="41"/>
      <c r="B34" s="66"/>
      <c r="C34" s="65"/>
      <c r="D34" s="67"/>
      <c r="E34" s="68"/>
      <c r="F34" s="62"/>
      <c r="G34" s="67"/>
      <c r="H34" s="68"/>
      <c r="I34" s="57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69" t="s">
        <v>120</v>
      </c>
      <c r="C35" s="63"/>
      <c r="D35" s="67">
        <v>18123287.9313813</v>
      </c>
      <c r="E35" s="68">
        <v>47.377216147786399</v>
      </c>
      <c r="F35" s="70"/>
      <c r="G35" s="67">
        <v>10086076.231593801</v>
      </c>
      <c r="H35" s="68">
        <v>50.978622215970802</v>
      </c>
      <c r="I35" s="41"/>
      <c r="J35" s="67">
        <v>7738248.62913993</v>
      </c>
      <c r="K35" s="68">
        <v>42.3930591131003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69" t="s">
        <v>121</v>
      </c>
      <c r="C36" s="63"/>
      <c r="D36" s="67">
        <v>5135014.58307382</v>
      </c>
      <c r="E36" s="68">
        <v>13.1580199607853</v>
      </c>
      <c r="F36" s="70"/>
      <c r="G36" s="67">
        <v>2418436.0057765101</v>
      </c>
      <c r="H36" s="68">
        <v>11.852905828136199</v>
      </c>
      <c r="I36" s="41"/>
      <c r="J36" s="67">
        <v>2533968.9289275398</v>
      </c>
      <c r="K36" s="68">
        <v>13.699764849934301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30" customHeight="1" x14ac:dyDescent="0.25">
      <c r="A37" s="41"/>
      <c r="B37" s="69" t="s">
        <v>143</v>
      </c>
      <c r="C37" s="63"/>
      <c r="D37" s="67">
        <v>13523949.4438149</v>
      </c>
      <c r="E37" s="68">
        <v>34.877446865331201</v>
      </c>
      <c r="F37" s="70"/>
      <c r="G37" s="67">
        <v>6365304.4309310801</v>
      </c>
      <c r="H37" s="68">
        <v>31.518764899685898</v>
      </c>
      <c r="I37" s="41"/>
      <c r="J37" s="67">
        <v>6909815.1533098202</v>
      </c>
      <c r="K37" s="68">
        <v>37.564446770498897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66"/>
      <c r="C38" s="65"/>
      <c r="D38" s="67"/>
      <c r="E38" s="68"/>
      <c r="F38" s="70"/>
      <c r="G38" s="67"/>
      <c r="H38" s="68"/>
      <c r="I38" s="41"/>
      <c r="J38" s="67"/>
      <c r="K38" s="68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64" t="s">
        <v>122</v>
      </c>
      <c r="C39" s="63"/>
      <c r="D39" s="60">
        <v>16567706.7620798</v>
      </c>
      <c r="E39" s="61">
        <v>29.524253145797001</v>
      </c>
      <c r="F39" s="62"/>
      <c r="G39" s="60">
        <v>8931135.2084959801</v>
      </c>
      <c r="H39" s="61">
        <v>30.048375402473301</v>
      </c>
      <c r="I39" s="57"/>
      <c r="J39" s="60">
        <v>7269202.2051828504</v>
      </c>
      <c r="K39" s="61">
        <v>27.802180696126499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78"/>
      <c r="C40" s="79"/>
      <c r="D40" s="80"/>
      <c r="E40" s="80"/>
      <c r="F40" s="79"/>
      <c r="G40" s="80"/>
      <c r="H40" s="80"/>
      <c r="I40" s="80"/>
      <c r="J40" s="80"/>
      <c r="K40" s="80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6.95" customHeight="1" x14ac:dyDescent="0.25">
      <c r="A41" s="41"/>
      <c r="B41" s="81"/>
      <c r="C41" s="82"/>
      <c r="D41" s="41"/>
      <c r="E41" s="41"/>
      <c r="F41" s="82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2" customHeight="1" x14ac:dyDescent="0.25">
      <c r="A42" s="41"/>
      <c r="B42" s="307" t="s">
        <v>145</v>
      </c>
      <c r="C42" s="307"/>
      <c r="D42" s="307"/>
      <c r="E42" s="307"/>
      <c r="F42" s="307"/>
      <c r="G42" s="307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s="9" customFormat="1" x14ac:dyDescent="0.25">
      <c r="A43" s="85"/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</row>
  </sheetData>
  <mergeCells count="6">
    <mergeCell ref="B42:G42"/>
    <mergeCell ref="D7:E8"/>
    <mergeCell ref="G7:K7"/>
    <mergeCell ref="G8:H8"/>
    <mergeCell ref="J8:K8"/>
    <mergeCell ref="B7:B9"/>
  </mergeCells>
  <hyperlinks>
    <hyperlink ref="K1" location="ÍNDICE!A1" tooltip="Ir a ÍNDICE" display="ÍNDICE" xr:uid="{FD087A41-3EF4-4B5A-AB48-7975D2804D5D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5D0D-CC39-447F-B3F9-0926219E2721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105</v>
      </c>
      <c r="C5" s="37"/>
      <c r="D5" s="37"/>
      <c r="E5" s="39"/>
      <c r="F5" s="39"/>
      <c r="G5" s="38"/>
      <c r="H5" s="34"/>
      <c r="I5" s="32"/>
      <c r="J5" s="32"/>
      <c r="K5" s="40" t="s">
        <v>91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2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172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88" t="s">
        <v>4</v>
      </c>
      <c r="C11" s="89"/>
      <c r="D11" s="60">
        <v>85074250.450445905</v>
      </c>
      <c r="E11" s="61">
        <v>100</v>
      </c>
      <c r="F11" s="62"/>
      <c r="G11" s="60">
        <v>45189093.536525302</v>
      </c>
      <c r="H11" s="61">
        <v>100</v>
      </c>
      <c r="I11" s="57"/>
      <c r="J11" s="60">
        <v>38949471.211108603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88"/>
      <c r="C12" s="87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90" t="s">
        <v>5</v>
      </c>
      <c r="C13" s="91"/>
      <c r="D13" s="60">
        <v>49090500.5907837</v>
      </c>
      <c r="E13" s="61">
        <v>57.129903392607098</v>
      </c>
      <c r="F13" s="62"/>
      <c r="G13" s="60">
        <v>26098908.209305499</v>
      </c>
      <c r="H13" s="61">
        <v>56.974374605055601</v>
      </c>
      <c r="I13" s="57"/>
      <c r="J13" s="60">
        <v>22323001.399946999</v>
      </c>
      <c r="K13" s="61">
        <v>56.335918787305097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92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93" t="s">
        <v>6</v>
      </c>
      <c r="C15" s="94"/>
      <c r="D15" s="67">
        <v>4467911.9382108999</v>
      </c>
      <c r="E15" s="68">
        <v>8.8933559377971196</v>
      </c>
      <c r="F15" s="70"/>
      <c r="G15" s="67">
        <v>2147518.9297827999</v>
      </c>
      <c r="H15" s="68">
        <v>7.9536325536790704</v>
      </c>
      <c r="I15" s="41"/>
      <c r="J15" s="67">
        <v>2146935.3686301801</v>
      </c>
      <c r="K15" s="68">
        <v>9.2664252292378499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93" t="s">
        <v>7</v>
      </c>
      <c r="C16" s="95"/>
      <c r="D16" s="67">
        <v>5394303.9571377104</v>
      </c>
      <c r="E16" s="68">
        <v>10.7395733374077</v>
      </c>
      <c r="F16" s="70"/>
      <c r="G16" s="67">
        <v>2147756.9701105799</v>
      </c>
      <c r="H16" s="68">
        <v>7.9529290353421596</v>
      </c>
      <c r="I16" s="41"/>
      <c r="J16" s="67">
        <v>3079591.44311126</v>
      </c>
      <c r="K16" s="68">
        <v>13.344196830968899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93" t="s">
        <v>8</v>
      </c>
      <c r="C17" s="95"/>
      <c r="D17" s="67">
        <v>10798886.6923493</v>
      </c>
      <c r="E17" s="68">
        <v>21.538321115129701</v>
      </c>
      <c r="F17" s="70"/>
      <c r="G17" s="67">
        <v>4948723.7445534999</v>
      </c>
      <c r="H17" s="68">
        <v>18.345834074757999</v>
      </c>
      <c r="I17" s="41"/>
      <c r="J17" s="67">
        <v>5591120.2470271299</v>
      </c>
      <c r="K17" s="68">
        <v>24.3131136174662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93" t="s">
        <v>93</v>
      </c>
      <c r="C18" s="95"/>
      <c r="D18" s="67">
        <v>7387661.7568128798</v>
      </c>
      <c r="E18" s="68">
        <v>14.771362920159699</v>
      </c>
      <c r="F18" s="70"/>
      <c r="G18" s="67">
        <v>3670198.7185850702</v>
      </c>
      <c r="H18" s="68">
        <v>13.6224574472761</v>
      </c>
      <c r="I18" s="41"/>
      <c r="J18" s="67">
        <v>3503005.8818275901</v>
      </c>
      <c r="K18" s="68">
        <v>15.251950199210301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93" t="s">
        <v>9</v>
      </c>
      <c r="C19" s="95"/>
      <c r="D19" s="67">
        <v>16400692.7182227</v>
      </c>
      <c r="E19" s="68">
        <v>32.7170826811317</v>
      </c>
      <c r="F19" s="70"/>
      <c r="G19" s="67">
        <v>9499028.8773266692</v>
      </c>
      <c r="H19" s="68">
        <v>35.299898704785797</v>
      </c>
      <c r="I19" s="41"/>
      <c r="J19" s="67">
        <v>6558987.5750218099</v>
      </c>
      <c r="K19" s="68">
        <v>28.434982848704301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93" t="s">
        <v>10</v>
      </c>
      <c r="C20" s="95"/>
      <c r="D20" s="67">
        <v>34029049.115198001</v>
      </c>
      <c r="E20" s="68">
        <v>68.465685740575594</v>
      </c>
      <c r="F20" s="70"/>
      <c r="G20" s="67">
        <v>17423641.7528015</v>
      </c>
      <c r="H20" s="68">
        <v>65.698261219783603</v>
      </c>
      <c r="I20" s="41"/>
      <c r="J20" s="67">
        <v>15971376.4180774</v>
      </c>
      <c r="K20" s="68">
        <v>70.411097900377499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92"/>
      <c r="C21" s="91"/>
      <c r="D21" s="59"/>
      <c r="E21" s="96"/>
      <c r="F21" s="63"/>
      <c r="G21" s="59"/>
      <c r="H21" s="96"/>
      <c r="I21" s="96"/>
      <c r="J21" s="59"/>
      <c r="K21" s="96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15" customHeight="1" x14ac:dyDescent="0.25">
      <c r="A22" s="57"/>
      <c r="B22" s="90" t="s">
        <v>11</v>
      </c>
      <c r="C22" s="95"/>
      <c r="D22" s="60">
        <v>35045765.519730397</v>
      </c>
      <c r="E22" s="61">
        <v>40.646236298237298</v>
      </c>
      <c r="F22" s="62"/>
      <c r="G22" s="60">
        <v>18489560.0883426</v>
      </c>
      <c r="H22" s="61">
        <v>40.081498056677901</v>
      </c>
      <c r="I22" s="57"/>
      <c r="J22" s="60">
        <v>16017246.893299101</v>
      </c>
      <c r="K22" s="61">
        <v>40.326273268229301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92"/>
      <c r="C23" s="97"/>
      <c r="D23" s="98"/>
      <c r="E23" s="99"/>
      <c r="F23" s="77"/>
      <c r="G23" s="98"/>
      <c r="H23" s="99"/>
      <c r="I23" s="99"/>
      <c r="J23" s="98"/>
      <c r="K23" s="99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6" customFormat="1" ht="15" customHeight="1" x14ac:dyDescent="0.25">
      <c r="A24" s="57"/>
      <c r="B24" s="100" t="s">
        <v>2</v>
      </c>
      <c r="C24" s="97"/>
      <c r="D24" s="60">
        <v>27919808.370060898</v>
      </c>
      <c r="E24" s="61">
        <v>100</v>
      </c>
      <c r="F24" s="62"/>
      <c r="G24" s="60">
        <v>15147712.0036007</v>
      </c>
      <c r="H24" s="61">
        <v>100</v>
      </c>
      <c r="I24" s="57"/>
      <c r="J24" s="60">
        <v>12466861.324348001</v>
      </c>
      <c r="K24" s="61">
        <v>100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6.95" customHeight="1" x14ac:dyDescent="0.25">
      <c r="A25" s="41"/>
      <c r="B25" s="101"/>
      <c r="C25" s="97"/>
      <c r="D25" s="41"/>
      <c r="E25" s="41"/>
      <c r="F25" s="63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6" customFormat="1" ht="15" customHeight="1" x14ac:dyDescent="0.25">
      <c r="A26" s="57"/>
      <c r="B26" s="90" t="s">
        <v>5</v>
      </c>
      <c r="C26" s="91"/>
      <c r="D26" s="60">
        <v>15480255.256238701</v>
      </c>
      <c r="E26" s="61">
        <v>54.118861301745397</v>
      </c>
      <c r="F26" s="62"/>
      <c r="G26" s="60">
        <v>8488607.5541377291</v>
      </c>
      <c r="H26" s="61">
        <v>54.5832146149124</v>
      </c>
      <c r="I26" s="57"/>
      <c r="J26" s="60">
        <v>6684759.1019893698</v>
      </c>
      <c r="K26" s="61">
        <v>51.844138327589697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6.95" customHeight="1" x14ac:dyDescent="0.25">
      <c r="A27" s="41"/>
      <c r="B27" s="92"/>
      <c r="C27" s="91"/>
      <c r="D27" s="67"/>
      <c r="E27" s="68"/>
      <c r="F27" s="62"/>
      <c r="G27" s="67"/>
      <c r="H27" s="68"/>
      <c r="I27" s="57"/>
      <c r="J27" s="67"/>
      <c r="K27" s="6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93" t="s">
        <v>6</v>
      </c>
      <c r="C28" s="95"/>
      <c r="D28" s="67">
        <v>1403870.96048607</v>
      </c>
      <c r="E28" s="68">
        <v>8.5731432538566992</v>
      </c>
      <c r="F28" s="70"/>
      <c r="G28" s="67">
        <v>697914.80524999602</v>
      </c>
      <c r="H28" s="68">
        <v>7.6004316164850199</v>
      </c>
      <c r="I28" s="41"/>
      <c r="J28" s="67">
        <v>599510.22214341199</v>
      </c>
      <c r="K28" s="68">
        <v>8.2515104551027498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93" t="s">
        <v>7</v>
      </c>
      <c r="C29" s="95"/>
      <c r="D29" s="67">
        <v>2787493.3248262699</v>
      </c>
      <c r="E29" s="68">
        <v>16.877139517200899</v>
      </c>
      <c r="F29" s="70"/>
      <c r="G29" s="67">
        <v>1170996.78535829</v>
      </c>
      <c r="H29" s="68">
        <v>12.652075330053799</v>
      </c>
      <c r="I29" s="41"/>
      <c r="J29" s="67">
        <v>1533672.5607708199</v>
      </c>
      <c r="K29" s="68">
        <v>21.284759474112199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93" t="s">
        <v>8</v>
      </c>
      <c r="C30" s="95"/>
      <c r="D30" s="67">
        <v>2387900.18373784</v>
      </c>
      <c r="E30" s="68">
        <v>14.8283517525939</v>
      </c>
      <c r="F30" s="70"/>
      <c r="G30" s="67">
        <v>1203715.8633586999</v>
      </c>
      <c r="H30" s="68">
        <v>13.4575244533121</v>
      </c>
      <c r="I30" s="41"/>
      <c r="J30" s="67">
        <v>1077818.90474429</v>
      </c>
      <c r="K30" s="68">
        <v>15.3096218866696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93" t="s">
        <v>93</v>
      </c>
      <c r="C31" s="95"/>
      <c r="D31" s="67">
        <v>2292203.2628340102</v>
      </c>
      <c r="E31" s="68">
        <v>14.1811688597914</v>
      </c>
      <c r="F31" s="70"/>
      <c r="G31" s="67">
        <v>1141215.0806902801</v>
      </c>
      <c r="H31" s="68">
        <v>12.4398282212799</v>
      </c>
      <c r="I31" s="41"/>
      <c r="J31" s="67">
        <v>1046395.4683663599</v>
      </c>
      <c r="K31" s="68">
        <v>14.8912677716018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93" t="s">
        <v>9</v>
      </c>
      <c r="C32" s="95"/>
      <c r="D32" s="67">
        <v>4719869.4429839598</v>
      </c>
      <c r="E32" s="68">
        <v>29.405998311051</v>
      </c>
      <c r="F32" s="70"/>
      <c r="G32" s="67">
        <v>2906170.2736164299</v>
      </c>
      <c r="H32" s="68">
        <v>32.655194082014802</v>
      </c>
      <c r="I32" s="41"/>
      <c r="J32" s="67">
        <v>1650769.88179771</v>
      </c>
      <c r="K32" s="68">
        <v>23.220402018970301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93" t="s">
        <v>10</v>
      </c>
      <c r="C33" s="95"/>
      <c r="D33" s="67">
        <v>11203967.726291699</v>
      </c>
      <c r="E33" s="68">
        <v>70.499674480006902</v>
      </c>
      <c r="F33" s="70"/>
      <c r="G33" s="67">
        <v>5893529.0615655603</v>
      </c>
      <c r="H33" s="68">
        <v>67.368985032514203</v>
      </c>
      <c r="I33" s="41"/>
      <c r="J33" s="67">
        <v>4978123.72761882</v>
      </c>
      <c r="K33" s="68">
        <v>72.3337369181734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92"/>
      <c r="C34" s="91"/>
      <c r="D34" s="59"/>
      <c r="E34" s="96"/>
      <c r="F34" s="63"/>
      <c r="G34" s="59"/>
      <c r="H34" s="96"/>
      <c r="I34" s="96"/>
      <c r="J34" s="59"/>
      <c r="K34" s="9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90" t="s">
        <v>11</v>
      </c>
      <c r="C35" s="95"/>
      <c r="D35" s="60">
        <v>12066093.289046699</v>
      </c>
      <c r="E35" s="61">
        <v>41.660604801693303</v>
      </c>
      <c r="F35" s="62"/>
      <c r="G35" s="60">
        <v>6371238.3774995198</v>
      </c>
      <c r="H35" s="61">
        <v>40.079966493673702</v>
      </c>
      <c r="I35" s="57"/>
      <c r="J35" s="60">
        <v>5482655.1720856</v>
      </c>
      <c r="K35" s="61">
        <v>41.854649537997197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92"/>
      <c r="C36" s="97"/>
      <c r="D36" s="98"/>
      <c r="E36" s="99"/>
      <c r="F36" s="77"/>
      <c r="G36" s="98"/>
      <c r="H36" s="99"/>
      <c r="I36" s="99"/>
      <c r="J36" s="98"/>
      <c r="K36" s="99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100" t="s">
        <v>3</v>
      </c>
      <c r="C37" s="97"/>
      <c r="D37" s="60">
        <v>54724471.783623897</v>
      </c>
      <c r="E37" s="61">
        <v>100</v>
      </c>
      <c r="F37" s="62"/>
      <c r="G37" s="60">
        <v>28733115.775626201</v>
      </c>
      <c r="H37" s="61">
        <v>100</v>
      </c>
      <c r="I37" s="57"/>
      <c r="J37" s="60">
        <v>25428611.494824</v>
      </c>
      <c r="K37" s="61">
        <v>100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101"/>
      <c r="C38" s="97"/>
      <c r="D38" s="41"/>
      <c r="E38" s="41"/>
      <c r="F38" s="63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90" t="s">
        <v>5</v>
      </c>
      <c r="C39" s="91"/>
      <c r="D39" s="60">
        <v>32122493.254078802</v>
      </c>
      <c r="E39" s="61">
        <v>57.946813997130398</v>
      </c>
      <c r="F39" s="62"/>
      <c r="G39" s="60">
        <v>16731301.1382835</v>
      </c>
      <c r="H39" s="61">
        <v>57.204194092381897</v>
      </c>
      <c r="I39" s="57"/>
      <c r="J39" s="60">
        <v>14976956.1377501</v>
      </c>
      <c r="K39" s="61">
        <v>57.581146439397301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92"/>
      <c r="C40" s="91"/>
      <c r="D40" s="67"/>
      <c r="E40" s="68"/>
      <c r="F40" s="62"/>
      <c r="G40" s="67"/>
      <c r="H40" s="68"/>
      <c r="I40" s="57"/>
      <c r="J40" s="67"/>
      <c r="K40" s="68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93" t="s">
        <v>6</v>
      </c>
      <c r="C41" s="95"/>
      <c r="D41" s="67">
        <v>2839126.9465277102</v>
      </c>
      <c r="E41" s="68">
        <v>8.5513426249754207</v>
      </c>
      <c r="F41" s="70"/>
      <c r="G41" s="67">
        <v>1313169.40066356</v>
      </c>
      <c r="H41" s="68">
        <v>7.5037377038897901</v>
      </c>
      <c r="I41" s="41"/>
      <c r="J41" s="67">
        <v>1407125.06912928</v>
      </c>
      <c r="K41" s="68">
        <v>8.9870619790603694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93" t="s">
        <v>7</v>
      </c>
      <c r="C42" s="95"/>
      <c r="D42" s="67">
        <v>2324675.4041794199</v>
      </c>
      <c r="E42" s="68">
        <v>7.0225416141667996</v>
      </c>
      <c r="F42" s="70"/>
      <c r="G42" s="67">
        <v>817967.30448793899</v>
      </c>
      <c r="H42" s="68">
        <v>4.6807967406417603</v>
      </c>
      <c r="I42" s="41"/>
      <c r="J42" s="67">
        <v>1367486.4150992599</v>
      </c>
      <c r="K42" s="68">
        <v>8.7766363215396801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93" t="s">
        <v>8</v>
      </c>
      <c r="C43" s="95"/>
      <c r="D43" s="67">
        <v>8047124.2863231404</v>
      </c>
      <c r="E43" s="68">
        <v>24.113635004703301</v>
      </c>
      <c r="F43" s="70"/>
      <c r="G43" s="67">
        <v>3543318.5703507802</v>
      </c>
      <c r="H43" s="68">
        <v>20.065795780936099</v>
      </c>
      <c r="I43" s="41"/>
      <c r="J43" s="67">
        <v>4277021.4871272501</v>
      </c>
      <c r="K43" s="68">
        <v>27.3483186011618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93" t="s">
        <v>93</v>
      </c>
      <c r="C44" s="95"/>
      <c r="D44" s="67">
        <v>4784307.4115013098</v>
      </c>
      <c r="E44" s="68">
        <v>14.435595614326701</v>
      </c>
      <c r="F44" s="70"/>
      <c r="G44" s="67">
        <v>2340442.2477662698</v>
      </c>
      <c r="H44" s="68">
        <v>13.3724206770157</v>
      </c>
      <c r="I44" s="41"/>
      <c r="J44" s="67">
        <v>2264498.5658874698</v>
      </c>
      <c r="K44" s="68">
        <v>14.533456682669801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93" t="s">
        <v>9</v>
      </c>
      <c r="C45" s="95"/>
      <c r="D45" s="67">
        <v>11048737.6018118</v>
      </c>
      <c r="E45" s="68">
        <v>33.486865609026403</v>
      </c>
      <c r="F45" s="70"/>
      <c r="G45" s="67">
        <v>6195686.5615558904</v>
      </c>
      <c r="H45" s="68">
        <v>35.472542175147701</v>
      </c>
      <c r="I45" s="41"/>
      <c r="J45" s="67">
        <v>4611496.4511451796</v>
      </c>
      <c r="K45" s="68">
        <v>29.7032348786529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93" t="s">
        <v>10</v>
      </c>
      <c r="C46" s="95"/>
      <c r="D46" s="67">
        <v>21750322.5908406</v>
      </c>
      <c r="E46" s="68">
        <v>66.573653364796101</v>
      </c>
      <c r="F46" s="70"/>
      <c r="G46" s="67">
        <v>10878086.963445</v>
      </c>
      <c r="H46" s="68">
        <v>63.5832579644918</v>
      </c>
      <c r="I46" s="41"/>
      <c r="J46" s="67">
        <v>10469756.725423099</v>
      </c>
      <c r="K46" s="68">
        <v>68.380539354919406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92"/>
      <c r="C47" s="91"/>
      <c r="D47" s="59"/>
      <c r="E47" s="96"/>
      <c r="F47" s="63"/>
      <c r="G47" s="59"/>
      <c r="H47" s="96"/>
      <c r="I47" s="96"/>
      <c r="J47" s="59"/>
      <c r="K47" s="96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15" customHeight="1" x14ac:dyDescent="0.25">
      <c r="A48" s="57"/>
      <c r="B48" s="90" t="s">
        <v>11</v>
      </c>
      <c r="C48" s="95"/>
      <c r="D48" s="60">
        <v>22061998.465644401</v>
      </c>
      <c r="E48" s="61">
        <v>39.341417440142003</v>
      </c>
      <c r="F48" s="62"/>
      <c r="G48" s="60">
        <v>11585198.385529701</v>
      </c>
      <c r="H48" s="61">
        <v>39.014666128736501</v>
      </c>
      <c r="I48" s="57"/>
      <c r="J48" s="60">
        <v>10047730.218878301</v>
      </c>
      <c r="K48" s="61">
        <v>38.504363036988401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102"/>
      <c r="C49" s="52"/>
      <c r="D49" s="80"/>
      <c r="E49" s="80"/>
      <c r="F49" s="103"/>
      <c r="G49" s="80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104"/>
      <c r="C50" s="105"/>
      <c r="D50" s="87"/>
      <c r="E50" s="87"/>
      <c r="F50" s="87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106" t="s">
        <v>96</v>
      </c>
      <c r="C51" s="107"/>
      <c r="D51" s="107"/>
      <c r="E51" s="107"/>
      <c r="F51" s="107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307" t="s">
        <v>145</v>
      </c>
      <c r="C52" s="307"/>
      <c r="D52" s="307"/>
      <c r="E52" s="307"/>
      <c r="F52" s="307"/>
      <c r="G52" s="307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s="9" customFormat="1" x14ac:dyDescent="0.25">
      <c r="A53" s="85"/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</row>
  </sheetData>
  <mergeCells count="6">
    <mergeCell ref="B52:G52"/>
    <mergeCell ref="B7:B9"/>
    <mergeCell ref="D7:E8"/>
    <mergeCell ref="G7:K7"/>
    <mergeCell ref="G8:H8"/>
    <mergeCell ref="J8:K8"/>
  </mergeCells>
  <hyperlinks>
    <hyperlink ref="K1" location="ÍNDICE!A1" tooltip="Ir a ÍNDICE" display="ÍNDICE" xr:uid="{0330607E-1185-4321-A694-6B215DD27C21}"/>
  </hyperlink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E8E86-6D26-4C71-9A6D-3E0FECD0AB2E}">
  <dimension ref="A1:W49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173</v>
      </c>
      <c r="C5" s="37"/>
      <c r="D5" s="39"/>
      <c r="E5" s="39"/>
      <c r="F5" s="39"/>
      <c r="G5" s="38"/>
      <c r="H5" s="34"/>
      <c r="I5" s="32"/>
      <c r="J5" s="32"/>
      <c r="K5" s="40" t="s">
        <v>90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13</v>
      </c>
      <c r="C7" s="42"/>
      <c r="D7" s="308" t="s">
        <v>176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46"/>
      <c r="C10" s="10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49090500.5907837</v>
      </c>
      <c r="E11" s="61">
        <v>100</v>
      </c>
      <c r="F11" s="62"/>
      <c r="G11" s="60">
        <v>26098908.209305499</v>
      </c>
      <c r="H11" s="61">
        <v>100</v>
      </c>
      <c r="I11" s="57"/>
      <c r="J11" s="60">
        <v>22323001.399946999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14</v>
      </c>
      <c r="C13" s="111"/>
      <c r="D13" s="67">
        <v>17539437.538112398</v>
      </c>
      <c r="E13" s="68">
        <v>35.003673518323701</v>
      </c>
      <c r="F13" s="70"/>
      <c r="G13" s="67">
        <v>8994430.6403095499</v>
      </c>
      <c r="H13" s="68">
        <v>33.367014363868201</v>
      </c>
      <c r="I13" s="41"/>
      <c r="J13" s="67">
        <v>8175196.1763668796</v>
      </c>
      <c r="K13" s="68">
        <v>35.744167064589398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15</v>
      </c>
      <c r="C14" s="95"/>
      <c r="D14" s="67">
        <v>15170825.533105001</v>
      </c>
      <c r="E14" s="68">
        <v>30.282844776382799</v>
      </c>
      <c r="F14" s="70"/>
      <c r="G14" s="67">
        <v>8112133.6754083699</v>
      </c>
      <c r="H14" s="68">
        <v>30.244375239647798</v>
      </c>
      <c r="I14" s="41"/>
      <c r="J14" s="67">
        <v>6719236.2469686298</v>
      </c>
      <c r="K14" s="68">
        <v>29.1409456479835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12" t="s">
        <v>16</v>
      </c>
      <c r="C15" s="95"/>
      <c r="D15" s="67">
        <v>11329916.4343995</v>
      </c>
      <c r="E15" s="68">
        <v>22.606456417094002</v>
      </c>
      <c r="F15" s="70"/>
      <c r="G15" s="67">
        <v>5340035.35622086</v>
      </c>
      <c r="H15" s="68">
        <v>19.816679002785602</v>
      </c>
      <c r="I15" s="41"/>
      <c r="J15" s="67">
        <v>5688875.36263509</v>
      </c>
      <c r="K15" s="68">
        <v>24.789577253878999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2" t="s">
        <v>17</v>
      </c>
      <c r="C16" s="95"/>
      <c r="D16" s="67">
        <v>5073052.4564408697</v>
      </c>
      <c r="E16" s="68">
        <v>10.0983877170623</v>
      </c>
      <c r="F16" s="70"/>
      <c r="G16" s="67">
        <v>2889794.6047263602</v>
      </c>
      <c r="H16" s="68">
        <v>10.6718848323433</v>
      </c>
      <c r="I16" s="41"/>
      <c r="J16" s="67">
        <v>1966758.8120039301</v>
      </c>
      <c r="K16" s="68">
        <v>8.5257357948127197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2" t="s">
        <v>18</v>
      </c>
      <c r="C17" s="95"/>
      <c r="D17" s="67">
        <v>5915092.88678985</v>
      </c>
      <c r="E17" s="68">
        <v>11.825135293176899</v>
      </c>
      <c r="F17" s="70"/>
      <c r="G17" s="67">
        <v>3821178.8635426601</v>
      </c>
      <c r="H17" s="68">
        <v>14.3211346775349</v>
      </c>
      <c r="I17" s="41"/>
      <c r="J17" s="67">
        <v>1879437.7355972601</v>
      </c>
      <c r="K17" s="68">
        <v>8.1181384855748409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19</v>
      </c>
      <c r="C18" s="95"/>
      <c r="D18" s="67">
        <v>3187087.6991630602</v>
      </c>
      <c r="E18" s="68">
        <v>6.31666467879952</v>
      </c>
      <c r="F18" s="70"/>
      <c r="G18" s="67">
        <v>1741223.1608146799</v>
      </c>
      <c r="H18" s="68">
        <v>6.4477734860255103</v>
      </c>
      <c r="I18" s="41"/>
      <c r="J18" s="67">
        <v>1292721.49202078</v>
      </c>
      <c r="K18" s="68">
        <v>5.5504802778702196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20</v>
      </c>
      <c r="C19" s="95"/>
      <c r="D19" s="67">
        <v>2769345.6103521902</v>
      </c>
      <c r="E19" s="68">
        <v>5.5232018457484502</v>
      </c>
      <c r="F19" s="70"/>
      <c r="G19" s="67">
        <v>1089141.1810657601</v>
      </c>
      <c r="H19" s="68">
        <v>4.0237890419531004</v>
      </c>
      <c r="I19" s="41"/>
      <c r="J19" s="67">
        <v>1531623.0726719501</v>
      </c>
      <c r="K19" s="68">
        <v>6.6684083651644404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21</v>
      </c>
      <c r="C20" s="95"/>
      <c r="D20" s="67">
        <v>490892.52634083602</v>
      </c>
      <c r="E20" s="68">
        <v>0.97170813024045999</v>
      </c>
      <c r="F20" s="70"/>
      <c r="G20" s="67">
        <v>214677.66648028101</v>
      </c>
      <c r="H20" s="68">
        <v>0.79115604773211301</v>
      </c>
      <c r="I20" s="41"/>
      <c r="J20" s="67">
        <v>196880.04385976601</v>
      </c>
      <c r="K20" s="68">
        <v>0.84553502355902099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22</v>
      </c>
      <c r="C21" s="95"/>
      <c r="D21" s="67">
        <v>493940.09414331999</v>
      </c>
      <c r="E21" s="68">
        <v>0.98188742037495103</v>
      </c>
      <c r="F21" s="70"/>
      <c r="G21" s="67">
        <v>254230.516276927</v>
      </c>
      <c r="H21" s="68">
        <v>0.93924426008194295</v>
      </c>
      <c r="I21" s="41"/>
      <c r="J21" s="67">
        <v>183106.61143890501</v>
      </c>
      <c r="K21" s="68">
        <v>0.78620307553192603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113"/>
      <c r="C22" s="114"/>
      <c r="D22" s="115"/>
      <c r="E22" s="116"/>
      <c r="F22" s="77"/>
      <c r="G22" s="115"/>
      <c r="H22" s="116"/>
      <c r="I22" s="116"/>
      <c r="J22" s="115"/>
      <c r="K22" s="116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7" t="s">
        <v>2</v>
      </c>
      <c r="C23" s="95"/>
      <c r="D23" s="60">
        <v>15480255.256238701</v>
      </c>
      <c r="E23" s="61">
        <v>100</v>
      </c>
      <c r="F23" s="62"/>
      <c r="G23" s="60">
        <v>8488607.5541377291</v>
      </c>
      <c r="H23" s="61">
        <v>100</v>
      </c>
      <c r="I23" s="57"/>
      <c r="J23" s="60">
        <v>6684759.1019893698</v>
      </c>
      <c r="K23" s="61">
        <v>100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18"/>
      <c r="C24" s="95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14</v>
      </c>
      <c r="C25" s="111"/>
      <c r="D25" s="67">
        <v>5656244.2646384398</v>
      </c>
      <c r="E25" s="68">
        <v>34.558345342954702</v>
      </c>
      <c r="F25" s="70"/>
      <c r="G25" s="67">
        <v>3077896.8128070398</v>
      </c>
      <c r="H25" s="68">
        <v>33.5737308239896</v>
      </c>
      <c r="I25" s="41"/>
      <c r="J25" s="67">
        <v>2395778.8768228199</v>
      </c>
      <c r="K25" s="68">
        <v>33.980502789020697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10" t="s">
        <v>15</v>
      </c>
      <c r="C26" s="95"/>
      <c r="D26" s="67">
        <v>4324489.8655552696</v>
      </c>
      <c r="E26" s="68">
        <v>26.753654580017599</v>
      </c>
      <c r="F26" s="70"/>
      <c r="G26" s="67">
        <v>2395475.4709609598</v>
      </c>
      <c r="H26" s="68">
        <v>26.722269546733099</v>
      </c>
      <c r="I26" s="41"/>
      <c r="J26" s="67">
        <v>1773184.9620190801</v>
      </c>
      <c r="K26" s="68">
        <v>24.9097775882585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112" t="s">
        <v>16</v>
      </c>
      <c r="C27" s="95"/>
      <c r="D27" s="67">
        <v>3577928.8807504401</v>
      </c>
      <c r="E27" s="68">
        <v>21.8374392076879</v>
      </c>
      <c r="F27" s="70"/>
      <c r="G27" s="67">
        <v>1686961.60152935</v>
      </c>
      <c r="H27" s="68">
        <v>18.573402534867</v>
      </c>
      <c r="I27" s="41"/>
      <c r="J27" s="67">
        <v>1744988.6281533199</v>
      </c>
      <c r="K27" s="68">
        <v>24.056285014203102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2" t="s">
        <v>17</v>
      </c>
      <c r="C28" s="95"/>
      <c r="D28" s="67">
        <v>1860502.0162186199</v>
      </c>
      <c r="E28" s="68">
        <v>11.2691487380312</v>
      </c>
      <c r="F28" s="70"/>
      <c r="G28" s="67">
        <v>1079458.6484145201</v>
      </c>
      <c r="H28" s="68">
        <v>11.5303408737669</v>
      </c>
      <c r="I28" s="41"/>
      <c r="J28" s="67">
        <v>653096.05006663804</v>
      </c>
      <c r="K28" s="68">
        <v>9.16055186232723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2" t="s">
        <v>18</v>
      </c>
      <c r="C29" s="95"/>
      <c r="D29" s="67">
        <v>1909623.28640848</v>
      </c>
      <c r="E29" s="68">
        <v>11.764323520056401</v>
      </c>
      <c r="F29" s="70"/>
      <c r="G29" s="67">
        <v>1305015.9810033899</v>
      </c>
      <c r="H29" s="68">
        <v>14.724746334337301</v>
      </c>
      <c r="I29" s="41"/>
      <c r="J29" s="67">
        <v>495438.05734902201</v>
      </c>
      <c r="K29" s="68">
        <v>6.7915030071667397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19</v>
      </c>
      <c r="C30" s="95"/>
      <c r="D30" s="67">
        <v>485810.75476411899</v>
      </c>
      <c r="E30" s="68">
        <v>2.9212422875084498</v>
      </c>
      <c r="F30" s="70"/>
      <c r="G30" s="67">
        <v>278670.097744169</v>
      </c>
      <c r="H30" s="68">
        <v>3.00978733188962</v>
      </c>
      <c r="I30" s="41"/>
      <c r="J30" s="67">
        <v>140147.856067288</v>
      </c>
      <c r="K30" s="68">
        <v>1.90528587607195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20</v>
      </c>
      <c r="C31" s="95"/>
      <c r="D31" s="67">
        <v>936388.84012151498</v>
      </c>
      <c r="E31" s="68">
        <v>5.7585159815697704</v>
      </c>
      <c r="F31" s="70"/>
      <c r="G31" s="67">
        <v>344390.22614667402</v>
      </c>
      <c r="H31" s="68">
        <v>3.7973554962896401</v>
      </c>
      <c r="I31" s="41"/>
      <c r="J31" s="67">
        <v>484568.28291694599</v>
      </c>
      <c r="K31" s="68">
        <v>6.9250779386341801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21</v>
      </c>
      <c r="C32" s="95"/>
      <c r="D32" s="67">
        <v>40166.422178832399</v>
      </c>
      <c r="E32" s="68">
        <v>0.235529140781638</v>
      </c>
      <c r="F32" s="70"/>
      <c r="G32" s="67">
        <v>2143.0001349528902</v>
      </c>
      <c r="H32" s="68">
        <v>2.3713282905045999E-2</v>
      </c>
      <c r="I32" s="41"/>
      <c r="J32" s="67">
        <v>365.72786188827001</v>
      </c>
      <c r="K32" s="68">
        <v>4.8398700467557898E-3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22</v>
      </c>
      <c r="C33" s="95"/>
      <c r="D33" s="67">
        <v>99945.726820310607</v>
      </c>
      <c r="E33" s="68">
        <v>0.60023473595481702</v>
      </c>
      <c r="F33" s="70"/>
      <c r="G33" s="67">
        <v>41537.907356306598</v>
      </c>
      <c r="H33" s="68">
        <v>0.44876492972080401</v>
      </c>
      <c r="I33" s="41"/>
      <c r="J33" s="67">
        <v>30289.926991048502</v>
      </c>
      <c r="K33" s="68">
        <v>0.405372286443414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13"/>
      <c r="C34" s="114"/>
      <c r="D34" s="115"/>
      <c r="E34" s="116"/>
      <c r="F34" s="77"/>
      <c r="G34" s="115"/>
      <c r="H34" s="116"/>
      <c r="I34" s="116"/>
      <c r="J34" s="115"/>
      <c r="K34" s="116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17" t="s">
        <v>3</v>
      </c>
      <c r="C35" s="95"/>
      <c r="D35" s="60">
        <v>32122493.254078802</v>
      </c>
      <c r="E35" s="61">
        <v>100</v>
      </c>
      <c r="F35" s="62"/>
      <c r="G35" s="60">
        <v>16731301.1382835</v>
      </c>
      <c r="H35" s="61">
        <v>100</v>
      </c>
      <c r="I35" s="57"/>
      <c r="J35" s="60">
        <v>14976956.1377501</v>
      </c>
      <c r="K35" s="61">
        <v>100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6.95" customHeight="1" x14ac:dyDescent="0.25">
      <c r="A36" s="41"/>
      <c r="B36" s="118"/>
      <c r="C36" s="95"/>
      <c r="D36" s="67"/>
      <c r="E36" s="68"/>
      <c r="F36" s="62"/>
      <c r="G36" s="67"/>
      <c r="H36" s="68"/>
      <c r="I36" s="57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14</v>
      </c>
      <c r="C37" s="111"/>
      <c r="D37" s="67">
        <v>11283635.515971901</v>
      </c>
      <c r="E37" s="68">
        <v>34.193398020552102</v>
      </c>
      <c r="F37" s="70"/>
      <c r="G37" s="67">
        <v>5560926.2029639399</v>
      </c>
      <c r="H37" s="68">
        <v>31.894320194195899</v>
      </c>
      <c r="I37" s="41"/>
      <c r="J37" s="67">
        <v>5437917.5005211197</v>
      </c>
      <c r="K37" s="68">
        <v>35.239856524024198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5" customHeight="1" x14ac:dyDescent="0.25">
      <c r="A38" s="41"/>
      <c r="B38" s="110" t="s">
        <v>15</v>
      </c>
      <c r="C38" s="95"/>
      <c r="D38" s="67">
        <v>10276040.999699701</v>
      </c>
      <c r="E38" s="68">
        <v>31.0384211922551</v>
      </c>
      <c r="F38" s="70"/>
      <c r="G38" s="67">
        <v>5358287.6424222197</v>
      </c>
      <c r="H38" s="68">
        <v>30.863842206675798</v>
      </c>
      <c r="I38" s="41"/>
      <c r="J38" s="67">
        <v>4660353.5676874397</v>
      </c>
      <c r="K38" s="68">
        <v>29.854029146037799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30" customHeight="1" x14ac:dyDescent="0.25">
      <c r="A39" s="41"/>
      <c r="B39" s="112" t="s">
        <v>16</v>
      </c>
      <c r="C39" s="95"/>
      <c r="D39" s="67">
        <v>7338945.0583888805</v>
      </c>
      <c r="E39" s="68">
        <v>22.1480426611204</v>
      </c>
      <c r="F39" s="70"/>
      <c r="G39" s="67">
        <v>3389956.3038552501</v>
      </c>
      <c r="H39" s="68">
        <v>19.430872117053799</v>
      </c>
      <c r="I39" s="41"/>
      <c r="J39" s="67">
        <v>3717161.1809514798</v>
      </c>
      <c r="K39" s="68">
        <v>24.019595823122799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112" t="s">
        <v>17</v>
      </c>
      <c r="C40" s="95"/>
      <c r="D40" s="67">
        <v>2953220.0066071101</v>
      </c>
      <c r="E40" s="68">
        <v>8.8680861496450198</v>
      </c>
      <c r="F40" s="70"/>
      <c r="G40" s="67">
        <v>1635871.0633579099</v>
      </c>
      <c r="H40" s="68">
        <v>9.3063724303451298</v>
      </c>
      <c r="I40" s="41"/>
      <c r="J40" s="67">
        <v>1157320.0880340501</v>
      </c>
      <c r="K40" s="68">
        <v>7.3727382605122997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2" t="s">
        <v>18</v>
      </c>
      <c r="C41" s="95"/>
      <c r="D41" s="67">
        <v>3694686.6066098399</v>
      </c>
      <c r="E41" s="68">
        <v>11.1465776826119</v>
      </c>
      <c r="F41" s="70"/>
      <c r="G41" s="67">
        <v>2268137.6687317798</v>
      </c>
      <c r="H41" s="68">
        <v>13.1008068430377</v>
      </c>
      <c r="I41" s="41"/>
      <c r="J41" s="67">
        <v>1241598.7530759999</v>
      </c>
      <c r="K41" s="68">
        <v>7.91555599846905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19</v>
      </c>
      <c r="C42" s="95"/>
      <c r="D42" s="67">
        <v>2565749.5689326599</v>
      </c>
      <c r="E42" s="68">
        <v>7.6642651383761198</v>
      </c>
      <c r="F42" s="70"/>
      <c r="G42" s="67">
        <v>1350720.6843904201</v>
      </c>
      <c r="H42" s="68">
        <v>7.7184579843003798</v>
      </c>
      <c r="I42" s="41"/>
      <c r="J42" s="67">
        <v>1076541.50863056</v>
      </c>
      <c r="K42" s="68">
        <v>6.7947835371695202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20</v>
      </c>
      <c r="C43" s="95"/>
      <c r="D43" s="67">
        <v>1626645.98339443</v>
      </c>
      <c r="E43" s="68">
        <v>4.8903924513822199</v>
      </c>
      <c r="F43" s="70"/>
      <c r="G43" s="67">
        <v>629845.922538104</v>
      </c>
      <c r="H43" s="68">
        <v>3.5508690449057498</v>
      </c>
      <c r="I43" s="41"/>
      <c r="J43" s="67">
        <v>904296.23751066194</v>
      </c>
      <c r="K43" s="68">
        <v>5.7761628637026199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21</v>
      </c>
      <c r="C44" s="95"/>
      <c r="D44" s="67">
        <v>372632.31497942301</v>
      </c>
      <c r="E44" s="68">
        <v>1.10535679203033</v>
      </c>
      <c r="F44" s="70"/>
      <c r="G44" s="67">
        <v>152510.28536419201</v>
      </c>
      <c r="H44" s="68">
        <v>0.85445694266008099</v>
      </c>
      <c r="I44" s="41"/>
      <c r="J44" s="67">
        <v>159891.055770982</v>
      </c>
      <c r="K44" s="68">
        <v>1.0109013638542601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22</v>
      </c>
      <c r="C45" s="95"/>
      <c r="D45" s="67">
        <v>343927.15950487403</v>
      </c>
      <c r="E45" s="68">
        <v>1.02992737650822</v>
      </c>
      <c r="F45" s="70"/>
      <c r="G45" s="67">
        <v>175043.50824503801</v>
      </c>
      <c r="H45" s="68">
        <v>0.98927403685618698</v>
      </c>
      <c r="I45" s="41"/>
      <c r="J45" s="67">
        <v>121071.63336954299</v>
      </c>
      <c r="K45" s="68">
        <v>0.76815136738427503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6.95" customHeight="1" x14ac:dyDescent="0.25">
      <c r="A46" s="41"/>
      <c r="B46" s="51"/>
      <c r="C46" s="119"/>
      <c r="D46" s="120"/>
      <c r="E46" s="120"/>
      <c r="F46" s="120"/>
      <c r="G46" s="80"/>
      <c r="H46" s="80"/>
      <c r="I46" s="80"/>
      <c r="J46" s="80"/>
      <c r="K46" s="8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46"/>
      <c r="C47" s="108"/>
      <c r="D47" s="121"/>
      <c r="E47" s="121"/>
      <c r="F47" s="12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2" customHeight="1" x14ac:dyDescent="0.25">
      <c r="A48" s="41"/>
      <c r="B48" s="106" t="s">
        <v>128</v>
      </c>
      <c r="C48" s="122"/>
      <c r="D48" s="122"/>
      <c r="E48" s="122"/>
      <c r="F48" s="122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2" customHeight="1" x14ac:dyDescent="0.25">
      <c r="A49" s="41"/>
      <c r="B49" s="307" t="s">
        <v>145</v>
      </c>
      <c r="C49" s="307"/>
      <c r="D49" s="307"/>
      <c r="E49" s="307"/>
      <c r="F49" s="307"/>
      <c r="G49" s="307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</sheetData>
  <mergeCells count="6">
    <mergeCell ref="B49:G49"/>
    <mergeCell ref="B7:B9"/>
    <mergeCell ref="D7:E8"/>
    <mergeCell ref="G7:K7"/>
    <mergeCell ref="G8:H8"/>
    <mergeCell ref="J8:K8"/>
  </mergeCells>
  <hyperlinks>
    <hyperlink ref="K1" location="ÍNDICE!A1" tooltip="Ir a ÍNDICE" display="ÍNDICE" xr:uid="{068AE623-9072-423F-868E-D735BDDF99C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3A188-0EFB-4709-AF9E-803F66A8A977}">
  <dimension ref="A1:W3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86" t="s">
        <v>174</v>
      </c>
      <c r="C5" s="86"/>
      <c r="D5" s="86"/>
      <c r="E5" s="86"/>
      <c r="F5" s="86"/>
      <c r="G5" s="86"/>
      <c r="H5" s="34"/>
      <c r="I5" s="32"/>
      <c r="J5" s="32"/>
      <c r="K5" s="40" t="s">
        <v>89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76</v>
      </c>
      <c r="C7" s="42"/>
      <c r="D7" s="308" t="s">
        <v>177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23"/>
      <c r="C10" s="123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24" t="s">
        <v>4</v>
      </c>
      <c r="C11" s="59"/>
      <c r="D11" s="60">
        <v>49090500.5907837</v>
      </c>
      <c r="E11" s="61">
        <v>100</v>
      </c>
      <c r="F11" s="62"/>
      <c r="G11" s="60">
        <v>26098908.209305499</v>
      </c>
      <c r="H11" s="61">
        <v>100</v>
      </c>
      <c r="I11" s="57"/>
      <c r="J11" s="60">
        <v>22323001.399946999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24"/>
      <c r="C12" s="5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25" t="s">
        <v>97</v>
      </c>
      <c r="C13" s="91"/>
      <c r="D13" s="67">
        <v>5440473.0437187003</v>
      </c>
      <c r="E13" s="68">
        <v>10.836297327306401</v>
      </c>
      <c r="F13" s="70"/>
      <c r="G13" s="67">
        <v>3161592.4684059201</v>
      </c>
      <c r="H13" s="68">
        <v>11.749051770407901</v>
      </c>
      <c r="I13" s="41"/>
      <c r="J13" s="67">
        <v>2085387.9534118499</v>
      </c>
      <c r="K13" s="68">
        <v>9.0272057445645206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25" t="s">
        <v>98</v>
      </c>
      <c r="C14" s="95"/>
      <c r="D14" s="67">
        <v>7147242.0994861396</v>
      </c>
      <c r="E14" s="68">
        <v>14.2487014942791</v>
      </c>
      <c r="F14" s="70"/>
      <c r="G14" s="67">
        <v>4136432.32650259</v>
      </c>
      <c r="H14" s="68">
        <v>15.3757491146545</v>
      </c>
      <c r="I14" s="41"/>
      <c r="J14" s="67">
        <v>2802996.1284833499</v>
      </c>
      <c r="K14" s="68">
        <v>12.1245450809852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25" t="s">
        <v>99</v>
      </c>
      <c r="C15" s="95"/>
      <c r="D15" s="67">
        <v>11882778.5921137</v>
      </c>
      <c r="E15" s="68">
        <v>23.718343696275198</v>
      </c>
      <c r="F15" s="70"/>
      <c r="G15" s="67">
        <v>6309059.7383994497</v>
      </c>
      <c r="H15" s="68">
        <v>23.409525887207401</v>
      </c>
      <c r="I15" s="41"/>
      <c r="J15" s="67">
        <v>5289897.2872907398</v>
      </c>
      <c r="K15" s="68">
        <v>22.972406143916501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25" t="s">
        <v>100</v>
      </c>
      <c r="C16" s="95"/>
      <c r="D16" s="67">
        <v>21524809.969373301</v>
      </c>
      <c r="E16" s="68">
        <v>43.051570330396302</v>
      </c>
      <c r="F16" s="70"/>
      <c r="G16" s="67">
        <v>10414015.567007801</v>
      </c>
      <c r="H16" s="68">
        <v>38.9187677151033</v>
      </c>
      <c r="I16" s="41"/>
      <c r="J16" s="67">
        <v>10670807.831122899</v>
      </c>
      <c r="K16" s="68">
        <v>46.714227102663997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26" t="s">
        <v>118</v>
      </c>
      <c r="C17" s="127"/>
      <c r="D17" s="67">
        <v>1241126.70686021</v>
      </c>
      <c r="E17" s="68">
        <v>2.4636729867224698</v>
      </c>
      <c r="F17" s="70"/>
      <c r="G17" s="67">
        <v>732529.35877264501</v>
      </c>
      <c r="H17" s="68">
        <v>2.69941667652669</v>
      </c>
      <c r="I17" s="41"/>
      <c r="J17" s="67">
        <v>370210.67601131799</v>
      </c>
      <c r="K17" s="68">
        <v>1.5933182963974599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128"/>
      <c r="C18" s="127"/>
      <c r="D18" s="115"/>
      <c r="E18" s="116"/>
      <c r="F18" s="77"/>
      <c r="G18" s="115"/>
      <c r="H18" s="116"/>
      <c r="I18" s="116"/>
      <c r="J18" s="115"/>
      <c r="K18" s="116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29" t="s">
        <v>2</v>
      </c>
      <c r="C19" s="95"/>
      <c r="D19" s="60">
        <v>15480255.256238701</v>
      </c>
      <c r="E19" s="61">
        <v>100</v>
      </c>
      <c r="F19" s="62"/>
      <c r="G19" s="60">
        <v>8488607.5541377291</v>
      </c>
      <c r="H19" s="61">
        <v>100</v>
      </c>
      <c r="I19" s="57"/>
      <c r="J19" s="60">
        <v>6684759.1019893698</v>
      </c>
      <c r="K19" s="61">
        <v>100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6.95" customHeight="1" x14ac:dyDescent="0.25">
      <c r="A20" s="41"/>
      <c r="B20" s="130"/>
      <c r="C20" s="95"/>
      <c r="D20" s="67"/>
      <c r="E20" s="68"/>
      <c r="F20" s="62"/>
      <c r="G20" s="67"/>
      <c r="H20" s="68"/>
      <c r="I20" s="57"/>
      <c r="J20" s="67"/>
      <c r="K20" s="68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25" t="s">
        <v>97</v>
      </c>
      <c r="C21" s="91"/>
      <c r="D21" s="67">
        <v>2077224.808765</v>
      </c>
      <c r="E21" s="68">
        <v>12.482069797505501</v>
      </c>
      <c r="F21" s="70"/>
      <c r="G21" s="67">
        <v>1243229.6210652399</v>
      </c>
      <c r="H21" s="68">
        <v>13.5835540058332</v>
      </c>
      <c r="I21" s="41"/>
      <c r="J21" s="67">
        <v>711401.51071741898</v>
      </c>
      <c r="K21" s="68">
        <v>9.7622348812991095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25" t="s">
        <v>98</v>
      </c>
      <c r="C22" s="95"/>
      <c r="D22" s="67">
        <v>2543448.0802802001</v>
      </c>
      <c r="E22" s="68">
        <v>15.608266823960999</v>
      </c>
      <c r="F22" s="70"/>
      <c r="G22" s="67">
        <v>1507472.7993452</v>
      </c>
      <c r="H22" s="68">
        <v>16.895751293485201</v>
      </c>
      <c r="I22" s="41"/>
      <c r="J22" s="67">
        <v>922463.88016485004</v>
      </c>
      <c r="K22" s="68">
        <v>12.6792666005777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25" t="s">
        <v>99</v>
      </c>
      <c r="C23" s="95"/>
      <c r="D23" s="67">
        <v>3210763.0197656499</v>
      </c>
      <c r="E23" s="68">
        <v>19.617854164723902</v>
      </c>
      <c r="F23" s="70"/>
      <c r="G23" s="67">
        <v>1744225.0296626999</v>
      </c>
      <c r="H23" s="68">
        <v>19.0377608382476</v>
      </c>
      <c r="I23" s="41"/>
      <c r="J23" s="67">
        <v>1369234.5876620701</v>
      </c>
      <c r="K23" s="68">
        <v>18.9727367274103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25" t="s">
        <v>100</v>
      </c>
      <c r="C24" s="95"/>
      <c r="D24" s="67">
        <v>6354899.6466920003</v>
      </c>
      <c r="E24" s="68">
        <v>39.6553556815131</v>
      </c>
      <c r="F24" s="70"/>
      <c r="G24" s="67">
        <v>3090821.43869778</v>
      </c>
      <c r="H24" s="68">
        <v>34.790959841927197</v>
      </c>
      <c r="I24" s="41"/>
      <c r="J24" s="67">
        <v>3062392.2325170101</v>
      </c>
      <c r="K24" s="68">
        <v>44.027100999720602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26" t="s">
        <v>118</v>
      </c>
      <c r="C25" s="127"/>
      <c r="D25" s="67">
        <v>375608.77259720198</v>
      </c>
      <c r="E25" s="68">
        <v>2.29191092104239</v>
      </c>
      <c r="F25" s="70"/>
      <c r="G25" s="67">
        <v>210193.31583141201</v>
      </c>
      <c r="H25" s="68">
        <v>2.2786509560797299</v>
      </c>
      <c r="I25" s="41"/>
      <c r="J25" s="67">
        <v>63738.3315088694</v>
      </c>
      <c r="K25" s="68">
        <v>0.90154625914311703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130"/>
      <c r="C26" s="95"/>
      <c r="D26" s="131"/>
      <c r="E26" s="131"/>
      <c r="F26" s="131"/>
      <c r="G26" s="131"/>
      <c r="H26" s="131"/>
      <c r="I26" s="131"/>
      <c r="J26" s="131"/>
      <c r="K26" s="13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29" t="s">
        <v>3</v>
      </c>
      <c r="C27" s="95"/>
      <c r="D27" s="60">
        <v>32122493.254078802</v>
      </c>
      <c r="E27" s="61">
        <v>100</v>
      </c>
      <c r="F27" s="62"/>
      <c r="G27" s="60">
        <v>16731301.1382835</v>
      </c>
      <c r="H27" s="61">
        <v>100</v>
      </c>
      <c r="I27" s="57"/>
      <c r="J27" s="60">
        <v>14976956.1377501</v>
      </c>
      <c r="K27" s="61">
        <v>100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130"/>
      <c r="C28" s="95"/>
      <c r="D28" s="67"/>
      <c r="E28" s="68"/>
      <c r="F28" s="62"/>
      <c r="G28" s="67"/>
      <c r="H28" s="68"/>
      <c r="I28" s="57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25" t="s">
        <v>97</v>
      </c>
      <c r="C29" s="91"/>
      <c r="D29" s="67">
        <v>3113991.8742851801</v>
      </c>
      <c r="E29" s="68">
        <v>9.3401318794135495</v>
      </c>
      <c r="F29" s="70"/>
      <c r="G29" s="67">
        <v>1732730.6018938799</v>
      </c>
      <c r="H29" s="68">
        <v>9.8305415339108499</v>
      </c>
      <c r="I29" s="41"/>
      <c r="J29" s="67">
        <v>1238263.1993259401</v>
      </c>
      <c r="K29" s="68">
        <v>7.9138464095407803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25" t="s">
        <v>98</v>
      </c>
      <c r="C30" s="95"/>
      <c r="D30" s="67">
        <v>4305487.7214701399</v>
      </c>
      <c r="E30" s="68">
        <v>12.9204734951067</v>
      </c>
      <c r="F30" s="70"/>
      <c r="G30" s="67">
        <v>2406509.3902802998</v>
      </c>
      <c r="H30" s="68">
        <v>13.6963766194961</v>
      </c>
      <c r="I30" s="41"/>
      <c r="J30" s="67">
        <v>1725201.58399179</v>
      </c>
      <c r="K30" s="68">
        <v>10.9884044941701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25" t="s">
        <v>99</v>
      </c>
      <c r="C31" s="95"/>
      <c r="D31" s="67">
        <v>8268121.2059988901</v>
      </c>
      <c r="E31" s="68">
        <v>24.979131425571801</v>
      </c>
      <c r="F31" s="70"/>
      <c r="G31" s="67">
        <v>4304013.2562708501</v>
      </c>
      <c r="H31" s="68">
        <v>24.656049296509298</v>
      </c>
      <c r="I31" s="41"/>
      <c r="J31" s="67">
        <v>3705848.9664640599</v>
      </c>
      <c r="K31" s="68">
        <v>23.839415736709899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25" t="s">
        <v>100</v>
      </c>
      <c r="C32" s="95"/>
      <c r="D32" s="67">
        <v>14463224.7148734</v>
      </c>
      <c r="E32" s="68">
        <v>43.941179025648502</v>
      </c>
      <c r="F32" s="70"/>
      <c r="G32" s="67">
        <v>6911239.8433651403</v>
      </c>
      <c r="H32" s="68">
        <v>40.025250067224</v>
      </c>
      <c r="I32" s="41"/>
      <c r="J32" s="67">
        <v>7236747.3780625202</v>
      </c>
      <c r="K32" s="68">
        <v>46.872069313929799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26" t="s">
        <v>118</v>
      </c>
      <c r="C33" s="127"/>
      <c r="D33" s="67">
        <v>731278.98398318002</v>
      </c>
      <c r="E33" s="68">
        <v>2.18463634683838</v>
      </c>
      <c r="F33" s="70"/>
      <c r="G33" s="67">
        <v>419830.00241449103</v>
      </c>
      <c r="H33" s="68">
        <v>2.3633290820752602</v>
      </c>
      <c r="I33" s="41"/>
      <c r="J33" s="67">
        <v>219136.96680346099</v>
      </c>
      <c r="K33" s="68">
        <v>1.3914757840327701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32"/>
      <c r="C34" s="132"/>
      <c r="D34" s="133"/>
      <c r="E34" s="134"/>
      <c r="F34" s="135"/>
      <c r="G34" s="133"/>
      <c r="H34" s="134"/>
      <c r="I34" s="134"/>
      <c r="J34" s="133"/>
      <c r="K34" s="134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6.95" customHeight="1" x14ac:dyDescent="0.25">
      <c r="A35" s="41"/>
      <c r="B35" s="136"/>
      <c r="C35" s="136"/>
      <c r="D35" s="84"/>
      <c r="E35" s="84"/>
      <c r="F35" s="84"/>
      <c r="G35" s="84"/>
      <c r="H35" s="83"/>
      <c r="I35" s="83"/>
      <c r="J35" s="83"/>
      <c r="K35" s="83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24" customHeight="1" x14ac:dyDescent="0.25">
      <c r="A36" s="41"/>
      <c r="B36" s="314" t="s">
        <v>141</v>
      </c>
      <c r="C36" s="314"/>
      <c r="D36" s="314"/>
      <c r="E36" s="314"/>
      <c r="F36" s="314"/>
      <c r="G36" s="314"/>
      <c r="H36" s="314"/>
      <c r="I36" s="314"/>
      <c r="J36" s="314"/>
      <c r="K36" s="314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2" customHeight="1" x14ac:dyDescent="0.25">
      <c r="A37" s="41"/>
      <c r="B37" s="307" t="s">
        <v>145</v>
      </c>
      <c r="C37" s="307"/>
      <c r="D37" s="307"/>
      <c r="E37" s="307"/>
      <c r="F37" s="307"/>
      <c r="G37" s="307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</sheetData>
  <mergeCells count="7">
    <mergeCell ref="B37:G37"/>
    <mergeCell ref="B7:B9"/>
    <mergeCell ref="D7:E8"/>
    <mergeCell ref="G7:K7"/>
    <mergeCell ref="G8:H8"/>
    <mergeCell ref="J8:K8"/>
    <mergeCell ref="B36:K36"/>
  </mergeCells>
  <hyperlinks>
    <hyperlink ref="K1" location="ÍNDICE!A1" tooltip="Ir a ÍNDICE" display="ÍNDICE" xr:uid="{875525E9-6EA9-4B9F-9026-C61982C8B596}"/>
  </hyperlink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A359D-0E74-4E91-8E12-A6B34A6BFE17}">
  <dimension ref="A1:Z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6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</row>
    <row r="2" spans="1:26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s="2" customFormat="1" ht="15" customHeight="1" x14ac:dyDescent="0.2">
      <c r="A5" s="32"/>
      <c r="B5" s="137" t="s">
        <v>104</v>
      </c>
      <c r="C5" s="37"/>
      <c r="D5" s="39"/>
      <c r="E5" s="39"/>
      <c r="F5" s="39"/>
      <c r="G5" s="38"/>
      <c r="H5" s="34"/>
      <c r="I5" s="32"/>
      <c r="J5" s="32"/>
      <c r="K5" s="40" t="s">
        <v>88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" customHeight="1" x14ac:dyDescent="0.25">
      <c r="A7" s="41"/>
      <c r="B7" s="311" t="s">
        <v>146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1:26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  <c r="X8" s="45"/>
      <c r="Y8" s="45"/>
      <c r="Z8" s="45"/>
    </row>
    <row r="9" spans="1:26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</row>
    <row r="10" spans="1:26" ht="6.95" customHeight="1" x14ac:dyDescent="0.25">
      <c r="A10" s="41"/>
      <c r="B10" s="138"/>
      <c r="C10" s="10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</row>
    <row r="11" spans="1:26" s="6" customFormat="1" ht="15" customHeight="1" x14ac:dyDescent="0.25">
      <c r="A11" s="57"/>
      <c r="B11" s="139" t="s">
        <v>4</v>
      </c>
      <c r="C11" s="89"/>
      <c r="D11" s="60">
        <v>85074250.450445905</v>
      </c>
      <c r="E11" s="61">
        <v>100</v>
      </c>
      <c r="F11" s="62"/>
      <c r="G11" s="60">
        <v>45189093.536525302</v>
      </c>
      <c r="H11" s="61">
        <v>100</v>
      </c>
      <c r="I11" s="57"/>
      <c r="J11" s="60">
        <v>38949471.211108603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</row>
    <row r="12" spans="1:26" ht="6.95" customHeight="1" x14ac:dyDescent="0.25">
      <c r="A12" s="41"/>
      <c r="B12" s="139"/>
      <c r="C12" s="140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</row>
    <row r="13" spans="1:26" s="6" customFormat="1" ht="15" customHeight="1" x14ac:dyDescent="0.25">
      <c r="A13" s="57"/>
      <c r="B13" s="141" t="s">
        <v>66</v>
      </c>
      <c r="C13" s="91"/>
      <c r="D13" s="60">
        <v>53212292.201383904</v>
      </c>
      <c r="E13" s="61">
        <v>61.809769726475501</v>
      </c>
      <c r="F13" s="62"/>
      <c r="G13" s="60">
        <v>26264570.384937</v>
      </c>
      <c r="H13" s="61">
        <v>57.102050914204398</v>
      </c>
      <c r="I13" s="57"/>
      <c r="J13" s="60">
        <v>26326428.950599998</v>
      </c>
      <c r="K13" s="61">
        <v>66.442135194174696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</row>
    <row r="14" spans="1:26" ht="7.15" customHeight="1" x14ac:dyDescent="0.25">
      <c r="A14" s="41"/>
      <c r="B14" s="92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</row>
    <row r="15" spans="1:26" ht="15" customHeight="1" x14ac:dyDescent="0.25">
      <c r="A15" s="41"/>
      <c r="B15" s="142" t="s">
        <v>23</v>
      </c>
      <c r="C15" s="95"/>
      <c r="D15" s="67">
        <v>27094280.379583102</v>
      </c>
      <c r="E15" s="68">
        <v>50.173152004602102</v>
      </c>
      <c r="F15" s="70"/>
      <c r="G15" s="67">
        <v>11636255.539658999</v>
      </c>
      <c r="H15" s="68">
        <v>43.312310931696601</v>
      </c>
      <c r="I15" s="41"/>
      <c r="J15" s="67">
        <v>15067752.967053801</v>
      </c>
      <c r="K15" s="68">
        <v>55.966461041409403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</row>
    <row r="16" spans="1:26" ht="15" customHeight="1" x14ac:dyDescent="0.25">
      <c r="A16" s="41"/>
      <c r="B16" s="142" t="s">
        <v>24</v>
      </c>
      <c r="C16" s="95"/>
      <c r="D16" s="67">
        <v>3337065.5485996301</v>
      </c>
      <c r="E16" s="68">
        <v>6.1177016160428996</v>
      </c>
      <c r="F16" s="70"/>
      <c r="G16" s="67">
        <v>1554642.2838188</v>
      </c>
      <c r="H16" s="68">
        <v>5.7191680492581298</v>
      </c>
      <c r="I16" s="41"/>
      <c r="J16" s="67">
        <v>1637085.1963668901</v>
      </c>
      <c r="K16" s="68">
        <v>6.01364765681988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</row>
    <row r="17" spans="1:26" ht="30" customHeight="1" x14ac:dyDescent="0.25">
      <c r="A17" s="41"/>
      <c r="B17" s="142" t="s">
        <v>158</v>
      </c>
      <c r="C17" s="95"/>
      <c r="D17" s="67">
        <v>9466808.0845524408</v>
      </c>
      <c r="E17" s="68">
        <v>17.396815714642301</v>
      </c>
      <c r="F17" s="70"/>
      <c r="G17" s="67">
        <v>5792039.3077597199</v>
      </c>
      <c r="H17" s="68">
        <v>21.409887830063902</v>
      </c>
      <c r="I17" s="41"/>
      <c r="J17" s="67">
        <v>3393606.4332329398</v>
      </c>
      <c r="K17" s="68">
        <v>12.5165817615314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</row>
    <row r="18" spans="1:26" ht="15" customHeight="1" x14ac:dyDescent="0.25">
      <c r="A18" s="41"/>
      <c r="B18" s="142" t="s">
        <v>26</v>
      </c>
      <c r="C18" s="95"/>
      <c r="D18" s="67">
        <v>19848833.971982501</v>
      </c>
      <c r="E18" s="68">
        <v>36.700975114488102</v>
      </c>
      <c r="F18" s="70"/>
      <c r="G18" s="67">
        <v>9613816.9573593698</v>
      </c>
      <c r="H18" s="68">
        <v>35.732590505056102</v>
      </c>
      <c r="I18" s="41"/>
      <c r="J18" s="67">
        <v>9862401.5974529907</v>
      </c>
      <c r="K18" s="68">
        <v>36.623989376829499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</row>
    <row r="19" spans="1:26" ht="15" customHeight="1" x14ac:dyDescent="0.25">
      <c r="A19" s="41"/>
      <c r="B19" s="142" t="s">
        <v>27</v>
      </c>
      <c r="C19" s="95"/>
      <c r="D19" s="67">
        <v>1574054.07269154</v>
      </c>
      <c r="E19" s="68">
        <v>2.8968123374184498</v>
      </c>
      <c r="F19" s="70"/>
      <c r="G19" s="67">
        <v>446763.380905987</v>
      </c>
      <c r="H19" s="68">
        <v>1.6448245012676901</v>
      </c>
      <c r="I19" s="41"/>
      <c r="J19" s="67">
        <v>1024986.41555721</v>
      </c>
      <c r="K19" s="68">
        <v>3.7805313951019102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</row>
    <row r="20" spans="1:26" ht="15" customHeight="1" x14ac:dyDescent="0.25">
      <c r="A20" s="41"/>
      <c r="B20" s="142" t="s">
        <v>28</v>
      </c>
      <c r="C20" s="95"/>
      <c r="D20" s="67">
        <v>1543598.32586221</v>
      </c>
      <c r="E20" s="68">
        <v>2.8363624848681002</v>
      </c>
      <c r="F20" s="70"/>
      <c r="G20" s="67">
        <v>563166.86279819603</v>
      </c>
      <c r="H20" s="68">
        <v>2.0742399176813802</v>
      </c>
      <c r="I20" s="41"/>
      <c r="J20" s="67">
        <v>887656.89702281205</v>
      </c>
      <c r="K20" s="68">
        <v>3.2682711782853802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</row>
    <row r="21" spans="1:26" ht="15" customHeight="1" x14ac:dyDescent="0.25">
      <c r="A21" s="41"/>
      <c r="B21" s="142" t="s">
        <v>29</v>
      </c>
      <c r="C21" s="95"/>
      <c r="D21" s="67">
        <v>1535210.9868087301</v>
      </c>
      <c r="E21" s="68">
        <v>2.8215792536697499</v>
      </c>
      <c r="F21" s="70"/>
      <c r="G21" s="67">
        <v>469816.17434738303</v>
      </c>
      <c r="H21" s="68">
        <v>1.7253436566043601</v>
      </c>
      <c r="I21" s="41"/>
      <c r="J21" s="67">
        <v>973338.67957855004</v>
      </c>
      <c r="K21" s="68">
        <v>3.5829333689172902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</row>
    <row r="22" spans="1:26" s="5" customFormat="1" ht="30" customHeight="1" x14ac:dyDescent="0.25">
      <c r="A22" s="143"/>
      <c r="B22" s="142" t="s">
        <v>147</v>
      </c>
      <c r="C22" s="144"/>
      <c r="D22" s="67">
        <v>8322407.10483333</v>
      </c>
      <c r="E22" s="68">
        <v>15.3080011371972</v>
      </c>
      <c r="F22" s="70"/>
      <c r="G22" s="67">
        <v>3378851.0949475798</v>
      </c>
      <c r="H22" s="68">
        <v>12.481936166147699</v>
      </c>
      <c r="I22" s="41"/>
      <c r="J22" s="67">
        <v>4699998.1785290102</v>
      </c>
      <c r="K22" s="68">
        <v>17.352509627985398</v>
      </c>
      <c r="L22" s="145"/>
      <c r="M22" s="145"/>
      <c r="N22" s="145"/>
      <c r="O22" s="145"/>
      <c r="P22" s="145"/>
      <c r="Q22" s="145"/>
      <c r="R22" s="145"/>
      <c r="S22" s="145"/>
      <c r="T22" s="145"/>
      <c r="U22" s="145"/>
      <c r="V22" s="145"/>
      <c r="W22" s="145"/>
      <c r="X22" s="145"/>
      <c r="Y22" s="145"/>
      <c r="Z22" s="145"/>
    </row>
    <row r="23" spans="1:26" ht="15" customHeight="1" x14ac:dyDescent="0.25">
      <c r="A23" s="41"/>
      <c r="B23" s="142" t="s">
        <v>30</v>
      </c>
      <c r="C23" s="95"/>
      <c r="D23" s="67">
        <v>12919.488762519</v>
      </c>
      <c r="E23" s="68">
        <v>2.3595257169376101E-2</v>
      </c>
      <c r="F23" s="70"/>
      <c r="G23" s="67">
        <v>0</v>
      </c>
      <c r="H23" s="68">
        <v>0</v>
      </c>
      <c r="I23" s="41"/>
      <c r="J23" s="67">
        <v>1957.37403187517</v>
      </c>
      <c r="K23" s="68">
        <v>7.1425167499268999E-3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</row>
    <row r="24" spans="1:26" ht="7.15" customHeight="1" x14ac:dyDescent="0.25">
      <c r="A24" s="41"/>
      <c r="B24" s="92"/>
      <c r="C24" s="91"/>
      <c r="D24" s="146"/>
      <c r="E24" s="147"/>
      <c r="F24" s="148"/>
      <c r="G24" s="146"/>
      <c r="H24" s="147"/>
      <c r="I24" s="147"/>
      <c r="J24" s="146"/>
      <c r="K24" s="14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</row>
    <row r="25" spans="1:26" s="6" customFormat="1" ht="15" customHeight="1" x14ac:dyDescent="0.25">
      <c r="A25" s="57"/>
      <c r="B25" s="141" t="s">
        <v>31</v>
      </c>
      <c r="C25" s="95"/>
      <c r="D25" s="60">
        <v>30857200.954469901</v>
      </c>
      <c r="E25" s="61">
        <v>35.846867053406797</v>
      </c>
      <c r="F25" s="62"/>
      <c r="G25" s="60">
        <v>18301722.629319001</v>
      </c>
      <c r="H25" s="61">
        <v>39.840618204775197</v>
      </c>
      <c r="I25" s="57"/>
      <c r="J25" s="60">
        <v>12063398.7981801</v>
      </c>
      <c r="K25" s="61">
        <v>30.399591253926602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</row>
    <row r="26" spans="1:26" ht="6.95" customHeight="1" x14ac:dyDescent="0.25">
      <c r="A26" s="41"/>
      <c r="B26" s="149"/>
      <c r="C26" s="97"/>
      <c r="D26" s="116"/>
      <c r="E26" s="116"/>
      <c r="F26" s="77"/>
      <c r="G26" s="116"/>
      <c r="H26" s="116"/>
      <c r="I26" s="116"/>
      <c r="J26" s="116"/>
      <c r="K26" s="1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</row>
    <row r="27" spans="1:26" s="6" customFormat="1" ht="15" customHeight="1" x14ac:dyDescent="0.25">
      <c r="A27" s="57"/>
      <c r="B27" s="150" t="s">
        <v>2</v>
      </c>
      <c r="C27" s="97"/>
      <c r="D27" s="60">
        <v>27919808.370060898</v>
      </c>
      <c r="E27" s="61">
        <v>100</v>
      </c>
      <c r="F27" s="62"/>
      <c r="G27" s="60">
        <v>15147712.0036007</v>
      </c>
      <c r="H27" s="61">
        <v>100</v>
      </c>
      <c r="I27" s="57"/>
      <c r="J27" s="60">
        <v>12466861.324348001</v>
      </c>
      <c r="K27" s="61">
        <v>100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</row>
    <row r="28" spans="1:26" ht="6.95" customHeight="1" x14ac:dyDescent="0.25">
      <c r="A28" s="41"/>
      <c r="B28" s="151"/>
      <c r="C28" s="97"/>
      <c r="D28" s="41"/>
      <c r="E28" s="41"/>
      <c r="F28" s="63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</row>
    <row r="29" spans="1:26" s="6" customFormat="1" ht="15" customHeight="1" x14ac:dyDescent="0.25">
      <c r="A29" s="57"/>
      <c r="B29" s="141" t="s">
        <v>66</v>
      </c>
      <c r="C29" s="91"/>
      <c r="D29" s="60">
        <v>14082825.1384091</v>
      </c>
      <c r="E29" s="61">
        <v>49.195830249042402</v>
      </c>
      <c r="F29" s="62"/>
      <c r="G29" s="60">
        <v>7069718.5974771101</v>
      </c>
      <c r="H29" s="61">
        <v>45.025964242808797</v>
      </c>
      <c r="I29" s="57"/>
      <c r="J29" s="60">
        <v>6792807.9209150597</v>
      </c>
      <c r="K29" s="61">
        <v>52.7916604068933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</row>
    <row r="30" spans="1:26" ht="7.15" customHeight="1" x14ac:dyDescent="0.25">
      <c r="A30" s="41"/>
      <c r="B30" s="92"/>
      <c r="C30" s="91"/>
      <c r="D30" s="67"/>
      <c r="E30" s="68"/>
      <c r="F30" s="62"/>
      <c r="G30" s="67"/>
      <c r="H30" s="68"/>
      <c r="I30" s="57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</row>
    <row r="31" spans="1:26" ht="15" customHeight="1" x14ac:dyDescent="0.25">
      <c r="A31" s="41"/>
      <c r="B31" s="142" t="s">
        <v>23</v>
      </c>
      <c r="C31" s="95"/>
      <c r="D31" s="67">
        <v>5020335.3565384699</v>
      </c>
      <c r="E31" s="68">
        <v>34.439106763512498</v>
      </c>
      <c r="F31" s="70"/>
      <c r="G31" s="67">
        <v>1974548.2942017701</v>
      </c>
      <c r="H31" s="68">
        <v>26.637654295568801</v>
      </c>
      <c r="I31" s="41"/>
      <c r="J31" s="67">
        <v>2900440.63146768</v>
      </c>
      <c r="K31" s="68">
        <v>40.8597719159294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</row>
    <row r="32" spans="1:26" ht="15" customHeight="1" x14ac:dyDescent="0.25">
      <c r="A32" s="41"/>
      <c r="B32" s="142" t="s">
        <v>24</v>
      </c>
      <c r="C32" s="95"/>
      <c r="D32" s="67">
        <v>403904.99557923898</v>
      </c>
      <c r="E32" s="68">
        <v>2.6639138399268498</v>
      </c>
      <c r="F32" s="70"/>
      <c r="G32" s="67">
        <v>155065.020719038</v>
      </c>
      <c r="H32" s="68">
        <v>2.0098399737804402</v>
      </c>
      <c r="I32" s="41"/>
      <c r="J32" s="67">
        <v>196266.17158732101</v>
      </c>
      <c r="K32" s="68">
        <v>2.6122400009542401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</row>
    <row r="33" spans="1:26" ht="30" customHeight="1" x14ac:dyDescent="0.25">
      <c r="A33" s="41"/>
      <c r="B33" s="142" t="s">
        <v>158</v>
      </c>
      <c r="C33" s="95"/>
      <c r="D33" s="67">
        <v>4704040.0219292101</v>
      </c>
      <c r="E33" s="68">
        <v>30.942351183627899</v>
      </c>
      <c r="F33" s="70"/>
      <c r="G33" s="67">
        <v>2744923.8214550498</v>
      </c>
      <c r="H33" s="68">
        <v>35.549488253345601</v>
      </c>
      <c r="I33" s="41"/>
      <c r="J33" s="67">
        <v>1801958.25705567</v>
      </c>
      <c r="K33" s="68">
        <v>24.308791439276199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</row>
    <row r="34" spans="1:26" ht="15" customHeight="1" x14ac:dyDescent="0.25">
      <c r="A34" s="41"/>
      <c r="B34" s="142" t="s">
        <v>26</v>
      </c>
      <c r="C34" s="95"/>
      <c r="D34" s="67">
        <v>4791817.0393986003</v>
      </c>
      <c r="E34" s="68">
        <v>32.654686458732897</v>
      </c>
      <c r="F34" s="70"/>
      <c r="G34" s="67">
        <v>2329749.9167718398</v>
      </c>
      <c r="H34" s="68">
        <v>31.2305852579461</v>
      </c>
      <c r="I34" s="41"/>
      <c r="J34" s="67">
        <v>2304111.73909833</v>
      </c>
      <c r="K34" s="68">
        <v>32.214092483110001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</row>
    <row r="35" spans="1:26" ht="15" customHeight="1" x14ac:dyDescent="0.25">
      <c r="A35" s="41"/>
      <c r="B35" s="142" t="s">
        <v>27</v>
      </c>
      <c r="C35" s="95"/>
      <c r="D35" s="67">
        <v>140180.27333859701</v>
      </c>
      <c r="E35" s="68">
        <v>0.94008021339230796</v>
      </c>
      <c r="F35" s="70"/>
      <c r="G35" s="67">
        <v>22986.4018584158</v>
      </c>
      <c r="H35" s="68">
        <v>0.29415987240861502</v>
      </c>
      <c r="I35" s="41"/>
      <c r="J35" s="67">
        <v>95445.089881345702</v>
      </c>
      <c r="K35" s="68">
        <v>1.3510829906997299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</row>
    <row r="36" spans="1:26" ht="15" customHeight="1" x14ac:dyDescent="0.25">
      <c r="A36" s="41"/>
      <c r="B36" s="142" t="s">
        <v>28</v>
      </c>
      <c r="C36" s="95"/>
      <c r="D36" s="67">
        <v>160777.26205981799</v>
      </c>
      <c r="E36" s="68">
        <v>1.05485670302722</v>
      </c>
      <c r="F36" s="70"/>
      <c r="G36" s="67">
        <v>38891.877701696903</v>
      </c>
      <c r="H36" s="68">
        <v>0.51629174089063401</v>
      </c>
      <c r="I36" s="41"/>
      <c r="J36" s="67">
        <v>89358.186099571496</v>
      </c>
      <c r="K36" s="68">
        <v>1.18873502833866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</row>
    <row r="37" spans="1:26" ht="15" customHeight="1" x14ac:dyDescent="0.25">
      <c r="A37" s="41"/>
      <c r="B37" s="142" t="s">
        <v>29</v>
      </c>
      <c r="C37" s="95"/>
      <c r="D37" s="67">
        <v>145268.98271966301</v>
      </c>
      <c r="E37" s="68">
        <v>0.96340998512244602</v>
      </c>
      <c r="F37" s="70"/>
      <c r="G37" s="67">
        <v>18132.225749163299</v>
      </c>
      <c r="H37" s="68">
        <v>0.23877850204480999</v>
      </c>
      <c r="I37" s="41"/>
      <c r="J37" s="67">
        <v>96006.148604275993</v>
      </c>
      <c r="K37" s="68">
        <v>1.3169314290615901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</row>
    <row r="38" spans="1:26" ht="30" customHeight="1" x14ac:dyDescent="0.25">
      <c r="A38" s="41"/>
      <c r="B38" s="142" t="s">
        <v>147</v>
      </c>
      <c r="C38" s="95"/>
      <c r="D38" s="67">
        <v>1472867.74296026</v>
      </c>
      <c r="E38" s="68">
        <v>9.9214167573676697</v>
      </c>
      <c r="F38" s="70"/>
      <c r="G38" s="67">
        <v>564299.68453296798</v>
      </c>
      <c r="H38" s="68">
        <v>7.45794729989196</v>
      </c>
      <c r="I38" s="41"/>
      <c r="J38" s="67">
        <v>755641.65611412097</v>
      </c>
      <c r="K38" s="68">
        <v>10.581005769923699</v>
      </c>
      <c r="L38" s="152"/>
      <c r="M38" s="152"/>
      <c r="N38" s="152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</row>
    <row r="39" spans="1:26" ht="15" customHeight="1" x14ac:dyDescent="0.25">
      <c r="A39" s="41"/>
      <c r="B39" s="142" t="s">
        <v>30</v>
      </c>
      <c r="C39" s="95"/>
      <c r="D39" s="67">
        <v>1130.507225391</v>
      </c>
      <c r="E39" s="68">
        <v>6.2502304210110098E-3</v>
      </c>
      <c r="F39" s="70"/>
      <c r="G39" s="67">
        <v>0</v>
      </c>
      <c r="H39" s="68">
        <v>0</v>
      </c>
      <c r="I39" s="41"/>
      <c r="J39" s="67">
        <v>0</v>
      </c>
      <c r="K39" s="68">
        <v>0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</row>
    <row r="40" spans="1:26" ht="7.15" customHeight="1" x14ac:dyDescent="0.25">
      <c r="A40" s="41"/>
      <c r="B40" s="92"/>
      <c r="C40" s="91"/>
      <c r="D40" s="146"/>
      <c r="E40" s="147"/>
      <c r="F40" s="148"/>
      <c r="G40" s="146"/>
      <c r="H40" s="147"/>
      <c r="I40" s="147"/>
      <c r="J40" s="146"/>
      <c r="K40" s="14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</row>
    <row r="41" spans="1:26" s="6" customFormat="1" ht="15" customHeight="1" x14ac:dyDescent="0.25">
      <c r="A41" s="57"/>
      <c r="B41" s="141" t="s">
        <v>31</v>
      </c>
      <c r="C41" s="95"/>
      <c r="D41" s="60">
        <v>13430429.3419747</v>
      </c>
      <c r="E41" s="61">
        <v>46.327972700521201</v>
      </c>
      <c r="F41" s="62"/>
      <c r="G41" s="60">
        <v>7753842.7640117798</v>
      </c>
      <c r="H41" s="61">
        <v>49.209096761140898</v>
      </c>
      <c r="I41" s="57"/>
      <c r="J41" s="60">
        <v>5415565.1841906803</v>
      </c>
      <c r="K41" s="61">
        <v>41.411662063527402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</row>
    <row r="42" spans="1:26" ht="6.95" customHeight="1" x14ac:dyDescent="0.25">
      <c r="A42" s="41"/>
      <c r="B42" s="151"/>
      <c r="C42" s="97"/>
      <c r="D42" s="131"/>
      <c r="E42" s="131"/>
      <c r="F42" s="131"/>
      <c r="G42" s="131"/>
      <c r="H42" s="131"/>
      <c r="I42" s="131"/>
      <c r="J42" s="131"/>
      <c r="K42" s="13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</row>
    <row r="43" spans="1:26" s="6" customFormat="1" ht="15" customHeight="1" x14ac:dyDescent="0.25">
      <c r="A43" s="57"/>
      <c r="B43" s="150" t="s">
        <v>3</v>
      </c>
      <c r="C43" s="97"/>
      <c r="D43" s="60">
        <v>54724471.783623897</v>
      </c>
      <c r="E43" s="61">
        <v>100</v>
      </c>
      <c r="F43" s="62"/>
      <c r="G43" s="60">
        <v>28733115.775626201</v>
      </c>
      <c r="H43" s="61">
        <v>100</v>
      </c>
      <c r="I43" s="57"/>
      <c r="J43" s="60">
        <v>25428611.494824</v>
      </c>
      <c r="K43" s="61">
        <v>100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</row>
    <row r="44" spans="1:26" ht="6.95" customHeight="1" x14ac:dyDescent="0.25">
      <c r="A44" s="41"/>
      <c r="B44" s="151"/>
      <c r="C44" s="97"/>
      <c r="D44" s="41"/>
      <c r="E44" s="41"/>
      <c r="F44" s="6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</row>
    <row r="45" spans="1:26" s="6" customFormat="1" ht="15" customHeight="1" x14ac:dyDescent="0.25">
      <c r="A45" s="57"/>
      <c r="B45" s="141" t="s">
        <v>66</v>
      </c>
      <c r="C45" s="91"/>
      <c r="D45" s="60">
        <v>37721646.714671902</v>
      </c>
      <c r="E45" s="61">
        <v>67.674446035470595</v>
      </c>
      <c r="F45" s="62"/>
      <c r="G45" s="60">
        <v>18449035.518207699</v>
      </c>
      <c r="H45" s="61">
        <v>62.624700101706601</v>
      </c>
      <c r="I45" s="57"/>
      <c r="J45" s="60">
        <v>18831115.855787199</v>
      </c>
      <c r="K45" s="61">
        <v>72.407395914615094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</row>
    <row r="46" spans="1:26" ht="7.15" customHeight="1" x14ac:dyDescent="0.25">
      <c r="A46" s="41"/>
      <c r="B46" s="92"/>
      <c r="C46" s="91"/>
      <c r="D46" s="67"/>
      <c r="E46" s="68"/>
      <c r="F46" s="62"/>
      <c r="G46" s="67"/>
      <c r="H46" s="68"/>
      <c r="I46" s="57"/>
      <c r="J46" s="67"/>
      <c r="K46" s="68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</row>
    <row r="47" spans="1:26" ht="15" customHeight="1" x14ac:dyDescent="0.25">
      <c r="A47" s="41"/>
      <c r="B47" s="142" t="s">
        <v>23</v>
      </c>
      <c r="C47" s="95"/>
      <c r="D47" s="67">
        <v>21353068.3256105</v>
      </c>
      <c r="E47" s="68">
        <v>55.391637804367697</v>
      </c>
      <c r="F47" s="70"/>
      <c r="G47" s="67">
        <v>9308033.9457001407</v>
      </c>
      <c r="H47" s="68">
        <v>48.812357838528001</v>
      </c>
      <c r="I47" s="41"/>
      <c r="J47" s="67">
        <v>11729228.786228601</v>
      </c>
      <c r="K47" s="68">
        <v>60.586433505179102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</row>
    <row r="48" spans="1:26" ht="15" customHeight="1" x14ac:dyDescent="0.25">
      <c r="A48" s="41"/>
      <c r="B48" s="142" t="s">
        <v>24</v>
      </c>
      <c r="C48" s="95"/>
      <c r="D48" s="67">
        <v>2821922.9950503199</v>
      </c>
      <c r="E48" s="68">
        <v>7.2245618836829504</v>
      </c>
      <c r="F48" s="70"/>
      <c r="G48" s="67">
        <v>1321824.6809767201</v>
      </c>
      <c r="H48" s="68">
        <v>6.8348546156130601</v>
      </c>
      <c r="I48" s="41"/>
      <c r="J48" s="67">
        <v>1364427.81992781</v>
      </c>
      <c r="K48" s="68">
        <v>6.9599591323147596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</row>
    <row r="49" spans="1:26" ht="30" customHeight="1" x14ac:dyDescent="0.25">
      <c r="A49" s="41"/>
      <c r="B49" s="142" t="s">
        <v>158</v>
      </c>
      <c r="C49" s="95"/>
      <c r="D49" s="67">
        <v>4428359.1395643298</v>
      </c>
      <c r="E49" s="68">
        <v>11.3932151794984</v>
      </c>
      <c r="F49" s="70"/>
      <c r="G49" s="67">
        <v>2809539.6435326301</v>
      </c>
      <c r="H49" s="68">
        <v>14.669469112056801</v>
      </c>
      <c r="I49" s="41"/>
      <c r="J49" s="67">
        <v>1402263.1250587599</v>
      </c>
      <c r="K49" s="68">
        <v>7.1840547918586903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</row>
    <row r="50" spans="1:26" ht="15" customHeight="1" x14ac:dyDescent="0.25">
      <c r="A50" s="41"/>
      <c r="B50" s="142" t="s">
        <v>26</v>
      </c>
      <c r="C50" s="95"/>
      <c r="D50" s="67">
        <v>14450444.7928889</v>
      </c>
      <c r="E50" s="68">
        <v>37.504046331093697</v>
      </c>
      <c r="F50" s="70"/>
      <c r="G50" s="67">
        <v>6922743.3955664504</v>
      </c>
      <c r="H50" s="68">
        <v>36.492085873061903</v>
      </c>
      <c r="I50" s="41"/>
      <c r="J50" s="67">
        <v>7232746.8284628503</v>
      </c>
      <c r="K50" s="68">
        <v>37.237729637470302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</row>
    <row r="51" spans="1:26" ht="15" customHeight="1" x14ac:dyDescent="0.25">
      <c r="A51" s="41"/>
      <c r="B51" s="142" t="s">
        <v>27</v>
      </c>
      <c r="C51" s="95"/>
      <c r="D51" s="67">
        <v>1340889.1532783001</v>
      </c>
      <c r="E51" s="68">
        <v>3.4407749960183902</v>
      </c>
      <c r="F51" s="70"/>
      <c r="G51" s="67">
        <v>400004.95689382497</v>
      </c>
      <c r="H51" s="68">
        <v>2.0803339278966702</v>
      </c>
      <c r="I51" s="41"/>
      <c r="J51" s="67">
        <v>848008.53365279594</v>
      </c>
      <c r="K51" s="68">
        <v>4.3050743093410402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</row>
    <row r="52" spans="1:26" ht="15" customHeight="1" x14ac:dyDescent="0.25">
      <c r="A52" s="41"/>
      <c r="B52" s="142" t="s">
        <v>28</v>
      </c>
      <c r="C52" s="95"/>
      <c r="D52" s="67">
        <v>1310927.5723498301</v>
      </c>
      <c r="E52" s="68">
        <v>3.3722356121438302</v>
      </c>
      <c r="F52" s="70"/>
      <c r="G52" s="67">
        <v>471888.54868180002</v>
      </c>
      <c r="H52" s="68">
        <v>2.44001081707628</v>
      </c>
      <c r="I52" s="41"/>
      <c r="J52" s="67">
        <v>755068.23745780101</v>
      </c>
      <c r="K52" s="68">
        <v>3.8671914112852499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</row>
    <row r="53" spans="1:26" ht="15" customHeight="1" x14ac:dyDescent="0.25">
      <c r="A53" s="41"/>
      <c r="B53" s="142" t="s">
        <v>29</v>
      </c>
      <c r="C53" s="95"/>
      <c r="D53" s="67">
        <v>1305788.10849274</v>
      </c>
      <c r="E53" s="68">
        <v>3.3494215515663099</v>
      </c>
      <c r="F53" s="70"/>
      <c r="G53" s="67">
        <v>418438.71911300003</v>
      </c>
      <c r="H53" s="68">
        <v>2.16114282958709</v>
      </c>
      <c r="I53" s="41"/>
      <c r="J53" s="67">
        <v>804990.02646464796</v>
      </c>
      <c r="K53" s="68">
        <v>4.0942411872690796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</row>
    <row r="54" spans="1:26" ht="30" customHeight="1" x14ac:dyDescent="0.25">
      <c r="A54" s="41"/>
      <c r="B54" s="142" t="s">
        <v>147</v>
      </c>
      <c r="C54" s="95"/>
      <c r="D54" s="67">
        <v>6516014.6391218901</v>
      </c>
      <c r="E54" s="68">
        <v>16.8067510948053</v>
      </c>
      <c r="F54" s="70"/>
      <c r="G54" s="67">
        <v>2639379.50687963</v>
      </c>
      <c r="H54" s="68">
        <v>13.7362011010029</v>
      </c>
      <c r="I54" s="41"/>
      <c r="J54" s="67">
        <v>3701325.8507274198</v>
      </c>
      <c r="K54" s="68">
        <v>19.0035285759338</v>
      </c>
      <c r="L54" s="145"/>
      <c r="M54" s="145"/>
      <c r="N54" s="145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</row>
    <row r="55" spans="1:26" ht="15" customHeight="1" x14ac:dyDescent="0.25">
      <c r="A55" s="41"/>
      <c r="B55" s="142" t="s">
        <v>30</v>
      </c>
      <c r="C55" s="95"/>
      <c r="D55" s="67">
        <v>0</v>
      </c>
      <c r="E55" s="68">
        <v>0</v>
      </c>
      <c r="F55" s="70"/>
      <c r="G55" s="67">
        <v>0</v>
      </c>
      <c r="H55" s="68">
        <v>0</v>
      </c>
      <c r="I55" s="41"/>
      <c r="J55" s="67">
        <v>0</v>
      </c>
      <c r="K55" s="68">
        <v>0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</row>
    <row r="56" spans="1:26" ht="7.15" customHeight="1" x14ac:dyDescent="0.25">
      <c r="A56" s="41"/>
      <c r="B56" s="92"/>
      <c r="C56" s="91"/>
      <c r="D56" s="146"/>
      <c r="E56" s="147"/>
      <c r="F56" s="148"/>
      <c r="G56" s="146"/>
      <c r="H56" s="147"/>
      <c r="I56" s="147"/>
      <c r="J56" s="146"/>
      <c r="K56" s="147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</row>
    <row r="57" spans="1:26" s="6" customFormat="1" ht="15" customHeight="1" x14ac:dyDescent="0.25">
      <c r="A57" s="57"/>
      <c r="B57" s="141" t="s">
        <v>31</v>
      </c>
      <c r="C57" s="95"/>
      <c r="D57" s="60">
        <v>16454339.7861904</v>
      </c>
      <c r="E57" s="61">
        <v>29.538514913968001</v>
      </c>
      <c r="F57" s="62"/>
      <c r="G57" s="60">
        <v>9910007.6295537706</v>
      </c>
      <c r="H57" s="61">
        <v>33.7270960375252</v>
      </c>
      <c r="I57" s="57"/>
      <c r="J57" s="60">
        <v>6206042.89318207</v>
      </c>
      <c r="K57" s="61">
        <v>23.799825630589599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</row>
    <row r="58" spans="1:26" ht="6.95" customHeight="1" x14ac:dyDescent="0.25">
      <c r="A58" s="41"/>
      <c r="B58" s="153"/>
      <c r="C58" s="154"/>
      <c r="D58" s="80"/>
      <c r="E58" s="80"/>
      <c r="F58" s="155"/>
      <c r="G58" s="80"/>
      <c r="H58" s="80"/>
      <c r="I58" s="80"/>
      <c r="J58" s="80"/>
      <c r="K58" s="80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</row>
    <row r="59" spans="1:26" ht="6.95" customHeight="1" x14ac:dyDescent="0.25">
      <c r="A59" s="41"/>
      <c r="B59" s="156"/>
      <c r="C59" s="156"/>
      <c r="D59" s="157"/>
      <c r="E59" s="157"/>
      <c r="F59" s="157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</row>
    <row r="60" spans="1:26" ht="12" customHeight="1" x14ac:dyDescent="0.25">
      <c r="A60" s="41"/>
      <c r="B60" s="315" t="s">
        <v>129</v>
      </c>
      <c r="C60" s="315"/>
      <c r="D60" s="315"/>
      <c r="E60" s="315"/>
      <c r="F60" s="315"/>
      <c r="G60" s="315"/>
      <c r="H60" s="315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</row>
    <row r="61" spans="1:26" ht="12" customHeight="1" x14ac:dyDescent="0.25">
      <c r="A61" s="41"/>
      <c r="B61" s="307" t="s">
        <v>145</v>
      </c>
      <c r="C61" s="307"/>
      <c r="D61" s="307"/>
      <c r="E61" s="307"/>
      <c r="F61" s="307"/>
      <c r="G61" s="307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ht="12" customHeight="1" x14ac:dyDescent="0.25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</sheetData>
  <mergeCells count="7">
    <mergeCell ref="B61:G61"/>
    <mergeCell ref="B7:B9"/>
    <mergeCell ref="D7:E8"/>
    <mergeCell ref="G7:K7"/>
    <mergeCell ref="G8:H8"/>
    <mergeCell ref="J8:K8"/>
    <mergeCell ref="B60:H60"/>
  </mergeCells>
  <hyperlinks>
    <hyperlink ref="K1" location="ÍNDICE!A1" tooltip="Ir a ÍNDICE" display="ÍNDICE" xr:uid="{834BD9D2-55C1-44BF-AE8D-CD22BEB226EF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438B1-A976-4BDE-B310-B770E524D2B1}">
  <dimension ref="A1:W6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16" t="s">
        <v>179</v>
      </c>
      <c r="C5" s="316"/>
      <c r="D5" s="316"/>
      <c r="E5" s="316"/>
      <c r="F5" s="316"/>
      <c r="G5" s="316"/>
      <c r="H5" s="34"/>
      <c r="I5" s="32"/>
      <c r="J5" s="32"/>
      <c r="K5" s="40" t="s">
        <v>87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148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158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4</v>
      </c>
      <c r="C11" s="89"/>
      <c r="D11" s="60">
        <v>53212292.201383904</v>
      </c>
      <c r="E11" s="61">
        <v>100</v>
      </c>
      <c r="F11" s="62"/>
      <c r="G11" s="60">
        <v>26264570.384937</v>
      </c>
      <c r="H11" s="61">
        <v>100</v>
      </c>
      <c r="I11" s="57"/>
      <c r="J11" s="60">
        <v>26326428.950599998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159"/>
      <c r="D12" s="41"/>
      <c r="E12" s="41"/>
      <c r="F12" s="63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160" t="s">
        <v>32</v>
      </c>
      <c r="C13" s="91"/>
      <c r="D13" s="60">
        <v>24722232.177472699</v>
      </c>
      <c r="E13" s="61">
        <v>45.686910067758902</v>
      </c>
      <c r="F13" s="62"/>
      <c r="G13" s="60">
        <v>11719096.3635129</v>
      </c>
      <c r="H13" s="61">
        <v>43.524439844243801</v>
      </c>
      <c r="I13" s="57"/>
      <c r="J13" s="60">
        <v>12632819.6200726</v>
      </c>
      <c r="K13" s="61">
        <v>46.870747985866501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161"/>
      <c r="C14" s="91"/>
      <c r="D14" s="67"/>
      <c r="E14" s="68"/>
      <c r="F14" s="62"/>
      <c r="G14" s="67"/>
      <c r="H14" s="68"/>
      <c r="I14" s="57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62" t="s">
        <v>23</v>
      </c>
      <c r="C15" s="95"/>
      <c r="D15" s="67">
        <v>11020786.7044244</v>
      </c>
      <c r="E15" s="68">
        <v>43.449642476678299</v>
      </c>
      <c r="F15" s="70"/>
      <c r="G15" s="67">
        <v>4729362.8415637696</v>
      </c>
      <c r="H15" s="68">
        <v>39.114863345949303</v>
      </c>
      <c r="I15" s="41"/>
      <c r="J15" s="67">
        <v>6024790.1344368802</v>
      </c>
      <c r="K15" s="68">
        <v>45.917222710788003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62" t="s">
        <v>24</v>
      </c>
      <c r="C16" s="95"/>
      <c r="D16" s="67">
        <v>803248.59681988903</v>
      </c>
      <c r="E16" s="68">
        <v>3.1171863177486201</v>
      </c>
      <c r="F16" s="70"/>
      <c r="G16" s="67">
        <v>382681.332185785</v>
      </c>
      <c r="H16" s="68">
        <v>3.0963342219045602</v>
      </c>
      <c r="I16" s="41"/>
      <c r="J16" s="67">
        <v>347809.45645072497</v>
      </c>
      <c r="K16" s="68">
        <v>2.6092528029994901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162" t="s">
        <v>158</v>
      </c>
      <c r="C17" s="95"/>
      <c r="D17" s="67">
        <v>681044.79129434098</v>
      </c>
      <c r="E17" s="68">
        <v>2.6545897534752898</v>
      </c>
      <c r="F17" s="70"/>
      <c r="G17" s="67">
        <v>431547.07662204199</v>
      </c>
      <c r="H17" s="68">
        <v>3.5197909866225099</v>
      </c>
      <c r="I17" s="41"/>
      <c r="J17" s="67">
        <v>189957.03126147401</v>
      </c>
      <c r="K17" s="68">
        <v>1.42634984876824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62" t="s">
        <v>26</v>
      </c>
      <c r="C18" s="95"/>
      <c r="D18" s="67">
        <v>13332697.918814201</v>
      </c>
      <c r="E18" s="68">
        <v>52.841900199095399</v>
      </c>
      <c r="F18" s="70"/>
      <c r="G18" s="67">
        <v>6317151.4054554803</v>
      </c>
      <c r="H18" s="68">
        <v>52.3192747942145</v>
      </c>
      <c r="I18" s="41"/>
      <c r="J18" s="67">
        <v>6727885.5886004204</v>
      </c>
      <c r="K18" s="68">
        <v>51.8311321384462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62" t="s">
        <v>27</v>
      </c>
      <c r="C19" s="95"/>
      <c r="D19" s="67">
        <v>751756.16617496498</v>
      </c>
      <c r="E19" s="68">
        <v>2.93084000025241</v>
      </c>
      <c r="F19" s="70"/>
      <c r="G19" s="67">
        <v>188418.79283828099</v>
      </c>
      <c r="H19" s="68">
        <v>1.52438320646915</v>
      </c>
      <c r="I19" s="41"/>
      <c r="J19" s="67">
        <v>488523.873453543</v>
      </c>
      <c r="K19" s="68">
        <v>3.6763726899017599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62" t="s">
        <v>28</v>
      </c>
      <c r="C20" s="95"/>
      <c r="D20" s="67">
        <v>1118021.11464351</v>
      </c>
      <c r="E20" s="68">
        <v>4.3683732062567504</v>
      </c>
      <c r="F20" s="70"/>
      <c r="G20" s="67">
        <v>369720.24817809899</v>
      </c>
      <c r="H20" s="68">
        <v>2.9997282688970901</v>
      </c>
      <c r="I20" s="41"/>
      <c r="J20" s="67">
        <v>669395.68635689199</v>
      </c>
      <c r="K20" s="68">
        <v>5.0519709083202304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62" t="s">
        <v>29</v>
      </c>
      <c r="C21" s="95"/>
      <c r="D21" s="67">
        <v>1263091.9766996</v>
      </c>
      <c r="E21" s="68">
        <v>4.9325666037410603</v>
      </c>
      <c r="F21" s="70"/>
      <c r="G21" s="67">
        <v>326773.39129979903</v>
      </c>
      <c r="H21" s="68">
        <v>2.6399800260473398</v>
      </c>
      <c r="I21" s="41"/>
      <c r="J21" s="67">
        <v>858639.03531638405</v>
      </c>
      <c r="K21" s="68">
        <v>6.4876093202188398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30" customHeight="1" x14ac:dyDescent="0.25">
      <c r="A22" s="41"/>
      <c r="B22" s="162" t="s">
        <v>147</v>
      </c>
      <c r="C22" s="95"/>
      <c r="D22" s="67">
        <v>2789698.3562489999</v>
      </c>
      <c r="E22" s="68">
        <v>10.912896878680201</v>
      </c>
      <c r="F22" s="70"/>
      <c r="G22" s="67">
        <v>1076842.5240620601</v>
      </c>
      <c r="H22" s="68">
        <v>8.7025491465815499</v>
      </c>
      <c r="I22" s="41"/>
      <c r="J22" s="67">
        <v>1589041.19680633</v>
      </c>
      <c r="K22" s="68">
        <v>12.007092622639499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62" t="s">
        <v>30</v>
      </c>
      <c r="C23" s="95"/>
      <c r="D23" s="67">
        <v>0</v>
      </c>
      <c r="E23" s="68">
        <v>0</v>
      </c>
      <c r="F23" s="70"/>
      <c r="G23" s="67">
        <v>0</v>
      </c>
      <c r="H23" s="68">
        <v>0</v>
      </c>
      <c r="I23" s="41"/>
      <c r="J23" s="67">
        <v>0</v>
      </c>
      <c r="K23" s="68">
        <v>0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61"/>
      <c r="C24" s="91"/>
      <c r="D24" s="146"/>
      <c r="E24" s="147"/>
      <c r="F24" s="148"/>
      <c r="G24" s="146"/>
      <c r="H24" s="147"/>
      <c r="I24" s="147"/>
      <c r="J24" s="146"/>
      <c r="K24" s="147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s="6" customFormat="1" ht="15" customHeight="1" x14ac:dyDescent="0.25">
      <c r="A25" s="57"/>
      <c r="B25" s="160" t="s">
        <v>33</v>
      </c>
      <c r="C25" s="97"/>
      <c r="D25" s="60">
        <v>27646901.7323444</v>
      </c>
      <c r="E25" s="61">
        <v>51.153639535253497</v>
      </c>
      <c r="F25" s="62"/>
      <c r="G25" s="60">
        <v>14053345.7417852</v>
      </c>
      <c r="H25" s="61">
        <v>52.439066795250802</v>
      </c>
      <c r="I25" s="57"/>
      <c r="J25" s="60">
        <v>13155247.176516199</v>
      </c>
      <c r="K25" s="61">
        <v>48.894872045593601</v>
      </c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</row>
    <row r="26" spans="1:23" ht="6.95" customHeight="1" x14ac:dyDescent="0.25">
      <c r="A26" s="41"/>
      <c r="B26" s="163"/>
      <c r="C26" s="97"/>
      <c r="D26" s="116"/>
      <c r="E26" s="116"/>
      <c r="F26" s="77"/>
      <c r="G26" s="116"/>
      <c r="H26" s="116"/>
      <c r="I26" s="116"/>
      <c r="J26" s="116"/>
      <c r="K26" s="116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s="6" customFormat="1" ht="15" customHeight="1" x14ac:dyDescent="0.25">
      <c r="A27" s="57"/>
      <c r="B27" s="164" t="s">
        <v>2</v>
      </c>
      <c r="C27" s="97"/>
      <c r="D27" s="60">
        <v>14082825.1384091</v>
      </c>
      <c r="E27" s="61">
        <v>100</v>
      </c>
      <c r="F27" s="62"/>
      <c r="G27" s="60">
        <v>7069718.5974771101</v>
      </c>
      <c r="H27" s="61">
        <v>100</v>
      </c>
      <c r="I27" s="57"/>
      <c r="J27" s="60">
        <v>6792807.9209150597</v>
      </c>
      <c r="K27" s="61">
        <v>100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6.95" customHeight="1" x14ac:dyDescent="0.25">
      <c r="A28" s="41"/>
      <c r="B28" s="165"/>
      <c r="C28" s="97"/>
      <c r="D28" s="41"/>
      <c r="E28" s="41"/>
      <c r="F28" s="63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160" t="s">
        <v>32</v>
      </c>
      <c r="C29" s="91"/>
      <c r="D29" s="60">
        <v>5076816.3110481501</v>
      </c>
      <c r="E29" s="61">
        <v>34.6585088761002</v>
      </c>
      <c r="F29" s="62"/>
      <c r="G29" s="60">
        <v>2335958.02487315</v>
      </c>
      <c r="H29" s="61">
        <v>31.3571245528688</v>
      </c>
      <c r="I29" s="57"/>
      <c r="J29" s="60">
        <v>2591482.2552924398</v>
      </c>
      <c r="K29" s="61">
        <v>35.971267584450104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161"/>
      <c r="C30" s="91"/>
      <c r="D30" s="67"/>
      <c r="E30" s="68"/>
      <c r="F30" s="62"/>
      <c r="G30" s="67"/>
      <c r="H30" s="68"/>
      <c r="I30" s="57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62" t="s">
        <v>23</v>
      </c>
      <c r="C31" s="95"/>
      <c r="D31" s="67">
        <v>1742212.3062030899</v>
      </c>
      <c r="E31" s="68">
        <v>31.726141110854599</v>
      </c>
      <c r="F31" s="70"/>
      <c r="G31" s="67">
        <v>663345.94706640195</v>
      </c>
      <c r="H31" s="68">
        <v>26.4201012209422</v>
      </c>
      <c r="I31" s="41"/>
      <c r="J31" s="67">
        <v>935908.79742621398</v>
      </c>
      <c r="K31" s="68">
        <v>33.255757308793903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2" t="s">
        <v>24</v>
      </c>
      <c r="C32" s="95"/>
      <c r="D32" s="67">
        <v>55622.917484366299</v>
      </c>
      <c r="E32" s="68">
        <v>0.95958940401666604</v>
      </c>
      <c r="F32" s="70"/>
      <c r="G32" s="67">
        <v>0</v>
      </c>
      <c r="H32" s="68">
        <v>0</v>
      </c>
      <c r="I32" s="41"/>
      <c r="J32" s="67">
        <v>28825.586807846001</v>
      </c>
      <c r="K32" s="68">
        <v>0.93627007234704995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30" customHeight="1" x14ac:dyDescent="0.25">
      <c r="A33" s="41"/>
      <c r="B33" s="162" t="s">
        <v>158</v>
      </c>
      <c r="C33" s="95"/>
      <c r="D33" s="67">
        <v>306506.12365291</v>
      </c>
      <c r="E33" s="68">
        <v>5.3123220093425099</v>
      </c>
      <c r="F33" s="70"/>
      <c r="G33" s="67">
        <v>175229.87944951901</v>
      </c>
      <c r="H33" s="68">
        <v>6.3956808854932001</v>
      </c>
      <c r="I33" s="41"/>
      <c r="J33" s="67">
        <v>94474.2025874346</v>
      </c>
      <c r="K33" s="68">
        <v>3.0557145041501101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62" t="s">
        <v>26</v>
      </c>
      <c r="C34" s="95"/>
      <c r="D34" s="67">
        <v>2976439.5520309298</v>
      </c>
      <c r="E34" s="68">
        <v>56.255239673573698</v>
      </c>
      <c r="F34" s="70"/>
      <c r="G34" s="67">
        <v>1389197.39375475</v>
      </c>
      <c r="H34" s="68">
        <v>54.7268897577584</v>
      </c>
      <c r="I34" s="41"/>
      <c r="J34" s="67">
        <v>1484209.00196176</v>
      </c>
      <c r="K34" s="68">
        <v>54.589935796430403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62" t="s">
        <v>27</v>
      </c>
      <c r="C35" s="95"/>
      <c r="D35" s="67">
        <v>39421.695394201502</v>
      </c>
      <c r="E35" s="68">
        <v>0.66442094789665795</v>
      </c>
      <c r="F35" s="70"/>
      <c r="G35" s="67">
        <v>2459.8127057730599</v>
      </c>
      <c r="H35" s="68">
        <v>8.5666963368588894E-2</v>
      </c>
      <c r="I35" s="41"/>
      <c r="J35" s="67">
        <v>23173.615176061601</v>
      </c>
      <c r="K35" s="68">
        <v>0.76759157702637903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62" t="s">
        <v>28</v>
      </c>
      <c r="C36" s="95"/>
      <c r="D36" s="67">
        <v>99028.925297337802</v>
      </c>
      <c r="E36" s="68">
        <v>1.7140737337010501</v>
      </c>
      <c r="F36" s="70"/>
      <c r="G36" s="67">
        <v>10282.190203981399</v>
      </c>
      <c r="H36" s="68">
        <v>0.41885140187252101</v>
      </c>
      <c r="I36" s="41"/>
      <c r="J36" s="67">
        <v>61741.8351185262</v>
      </c>
      <c r="K36" s="68">
        <v>2.0069730218403601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62" t="s">
        <v>29</v>
      </c>
      <c r="C37" s="95"/>
      <c r="D37" s="67">
        <v>98063.942834923</v>
      </c>
      <c r="E37" s="68">
        <v>1.72027318165869</v>
      </c>
      <c r="F37" s="70"/>
      <c r="G37" s="67">
        <v>0</v>
      </c>
      <c r="H37" s="68">
        <v>0</v>
      </c>
      <c r="I37" s="41"/>
      <c r="J37" s="67">
        <v>86255.534279564599</v>
      </c>
      <c r="K37" s="68">
        <v>3.05297613974848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30" customHeight="1" x14ac:dyDescent="0.25">
      <c r="A38" s="41"/>
      <c r="B38" s="162" t="s">
        <v>147</v>
      </c>
      <c r="C38" s="95"/>
      <c r="D38" s="67">
        <v>421226.129569371</v>
      </c>
      <c r="E38" s="68">
        <v>7.45801787409256</v>
      </c>
      <c r="F38" s="70"/>
      <c r="G38" s="67">
        <v>132583.52603967799</v>
      </c>
      <c r="H38" s="68">
        <v>4.7822851878337698</v>
      </c>
      <c r="I38" s="41"/>
      <c r="J38" s="67">
        <v>233172.72607479701</v>
      </c>
      <c r="K38" s="68">
        <v>8.00099394074266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5" customHeight="1" x14ac:dyDescent="0.25">
      <c r="A39" s="41"/>
      <c r="B39" s="162" t="s">
        <v>30</v>
      </c>
      <c r="C39" s="95"/>
      <c r="D39" s="67">
        <v>0</v>
      </c>
      <c r="E39" s="68">
        <v>0</v>
      </c>
      <c r="F39" s="70"/>
      <c r="G39" s="67">
        <v>0</v>
      </c>
      <c r="H39" s="68">
        <v>0</v>
      </c>
      <c r="I39" s="41"/>
      <c r="J39" s="67">
        <v>0</v>
      </c>
      <c r="K39" s="68">
        <v>0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6.95" customHeight="1" x14ac:dyDescent="0.25">
      <c r="A40" s="41"/>
      <c r="B40" s="161"/>
      <c r="C40" s="91"/>
      <c r="D40" s="146"/>
      <c r="E40" s="147"/>
      <c r="F40" s="148"/>
      <c r="G40" s="146"/>
      <c r="H40" s="147"/>
      <c r="I40" s="147"/>
      <c r="J40" s="146"/>
      <c r="K40" s="147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s="6" customFormat="1" ht="15" customHeight="1" x14ac:dyDescent="0.25">
      <c r="A41" s="57"/>
      <c r="B41" s="160" t="s">
        <v>33</v>
      </c>
      <c r="C41" s="97"/>
      <c r="D41" s="60">
        <v>8660643.1062170994</v>
      </c>
      <c r="E41" s="61">
        <v>58.7384344777047</v>
      </c>
      <c r="F41" s="62"/>
      <c r="G41" s="60">
        <v>4478325.5643960498</v>
      </c>
      <c r="H41" s="61">
        <v>60.048212815279904</v>
      </c>
      <c r="I41" s="57"/>
      <c r="J41" s="60">
        <v>3947823.3195070401</v>
      </c>
      <c r="K41" s="61">
        <v>55.262313795033798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6.95" customHeight="1" x14ac:dyDescent="0.25">
      <c r="A42" s="41"/>
      <c r="B42" s="165"/>
      <c r="C42" s="97"/>
      <c r="D42" s="116"/>
      <c r="E42" s="116"/>
      <c r="F42" s="77"/>
      <c r="G42" s="116"/>
      <c r="H42" s="116"/>
      <c r="I42" s="116"/>
      <c r="J42" s="116"/>
      <c r="K42" s="116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s="6" customFormat="1" ht="15" customHeight="1" x14ac:dyDescent="0.25">
      <c r="A43" s="57"/>
      <c r="B43" s="164" t="s">
        <v>3</v>
      </c>
      <c r="C43" s="159"/>
      <c r="D43" s="60">
        <v>37721646.714671902</v>
      </c>
      <c r="E43" s="61">
        <v>100</v>
      </c>
      <c r="F43" s="62"/>
      <c r="G43" s="60">
        <v>18449035.518207699</v>
      </c>
      <c r="H43" s="61">
        <v>100</v>
      </c>
      <c r="I43" s="57"/>
      <c r="J43" s="60">
        <v>18831115.855787199</v>
      </c>
      <c r="K43" s="61">
        <v>100</v>
      </c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</row>
    <row r="44" spans="1:23" ht="6.95" customHeight="1" x14ac:dyDescent="0.25">
      <c r="A44" s="41"/>
      <c r="B44" s="165"/>
      <c r="C44" s="159"/>
      <c r="D44" s="41"/>
      <c r="E44" s="41"/>
      <c r="F44" s="63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s="6" customFormat="1" ht="15" customHeight="1" x14ac:dyDescent="0.25">
      <c r="A45" s="57"/>
      <c r="B45" s="160" t="s">
        <v>32</v>
      </c>
      <c r="C45" s="91"/>
      <c r="D45" s="60">
        <v>18988229.972178299</v>
      </c>
      <c r="E45" s="61">
        <v>49.194949606115998</v>
      </c>
      <c r="F45" s="62"/>
      <c r="G45" s="60">
        <v>9003668.7737572193</v>
      </c>
      <c r="H45" s="61">
        <v>47.356356022299899</v>
      </c>
      <c r="I45" s="57"/>
      <c r="J45" s="60">
        <v>9679765.7933887597</v>
      </c>
      <c r="K45" s="61">
        <v>49.9255520923072</v>
      </c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</row>
    <row r="46" spans="1:23" ht="6.95" customHeight="1" x14ac:dyDescent="0.25">
      <c r="A46" s="41"/>
      <c r="B46" s="161"/>
      <c r="C46" s="91"/>
      <c r="D46" s="67"/>
      <c r="E46" s="68"/>
      <c r="F46" s="62"/>
      <c r="G46" s="67"/>
      <c r="H46" s="68"/>
      <c r="I46" s="57"/>
      <c r="J46" s="67"/>
      <c r="K46" s="68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162" t="s">
        <v>23</v>
      </c>
      <c r="C47" s="95"/>
      <c r="D47" s="67">
        <v>8981937.1058844496</v>
      </c>
      <c r="E47" s="68">
        <v>45.922724613618698</v>
      </c>
      <c r="F47" s="70"/>
      <c r="G47" s="67">
        <v>3882591.9176436099</v>
      </c>
      <c r="H47" s="68">
        <v>41.4305434292515</v>
      </c>
      <c r="I47" s="41"/>
      <c r="J47" s="67">
        <v>4890534.9440872902</v>
      </c>
      <c r="K47" s="68">
        <v>48.3657622508834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162" t="s">
        <v>24</v>
      </c>
      <c r="C48" s="95"/>
      <c r="D48" s="67">
        <v>682489.96002097905</v>
      </c>
      <c r="E48" s="68">
        <v>3.4336716237650302</v>
      </c>
      <c r="F48" s="70"/>
      <c r="G48" s="67">
        <v>335314.08743658202</v>
      </c>
      <c r="H48" s="68">
        <v>3.4970599461824099</v>
      </c>
      <c r="I48" s="41"/>
      <c r="J48" s="67">
        <v>283178.03387901402</v>
      </c>
      <c r="K48" s="68">
        <v>2.7605197524069598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30" customHeight="1" x14ac:dyDescent="0.25">
      <c r="A49" s="41"/>
      <c r="B49" s="162" t="s">
        <v>158</v>
      </c>
      <c r="C49" s="95"/>
      <c r="D49" s="67">
        <v>301349.49306440301</v>
      </c>
      <c r="E49" s="68">
        <v>1.52548130813036</v>
      </c>
      <c r="F49" s="70"/>
      <c r="G49" s="67">
        <v>194034.619400486</v>
      </c>
      <c r="H49" s="68">
        <v>2.06419670439004</v>
      </c>
      <c r="I49" s="41"/>
      <c r="J49" s="67">
        <v>61626.797792384001</v>
      </c>
      <c r="K49" s="68">
        <v>0.60567600442365999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5" customHeight="1" x14ac:dyDescent="0.25">
      <c r="A50" s="41"/>
      <c r="B50" s="162" t="s">
        <v>26</v>
      </c>
      <c r="C50" s="95"/>
      <c r="D50" s="67">
        <v>9913426.3392745405</v>
      </c>
      <c r="E50" s="68">
        <v>50.926737974022103</v>
      </c>
      <c r="F50" s="70"/>
      <c r="G50" s="67">
        <v>4673783.7040866204</v>
      </c>
      <c r="H50" s="68">
        <v>50.294933654568403</v>
      </c>
      <c r="I50" s="41"/>
      <c r="J50" s="67">
        <v>4990115.8080912801</v>
      </c>
      <c r="K50" s="68">
        <v>49.822330253215902</v>
      </c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5" customHeight="1" x14ac:dyDescent="0.25">
      <c r="A51" s="41"/>
      <c r="B51" s="162" t="s">
        <v>27</v>
      </c>
      <c r="C51" s="95"/>
      <c r="D51" s="67">
        <v>668218.01362121897</v>
      </c>
      <c r="E51" s="68">
        <v>3.3842308719620999</v>
      </c>
      <c r="F51" s="70"/>
      <c r="G51" s="67">
        <v>170611.80892312599</v>
      </c>
      <c r="H51" s="68">
        <v>1.7965941375872401</v>
      </c>
      <c r="I51" s="41"/>
      <c r="J51" s="67">
        <v>425769.65021297999</v>
      </c>
      <c r="K51" s="68">
        <v>4.1599235066910696</v>
      </c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5" customHeight="1" x14ac:dyDescent="0.25">
      <c r="A52" s="41"/>
      <c r="B52" s="162" t="s">
        <v>28</v>
      </c>
      <c r="C52" s="95"/>
      <c r="D52" s="67">
        <v>959863.90855884098</v>
      </c>
      <c r="E52" s="68">
        <v>4.8765607103600104</v>
      </c>
      <c r="F52" s="70"/>
      <c r="G52" s="67">
        <v>315806.13074568298</v>
      </c>
      <c r="H52" s="68">
        <v>3.3121992320763902</v>
      </c>
      <c r="I52" s="41"/>
      <c r="J52" s="67">
        <v>573649.41778734198</v>
      </c>
      <c r="K52" s="68">
        <v>5.6432989890778202</v>
      </c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5" customHeight="1" x14ac:dyDescent="0.25">
      <c r="A53" s="41"/>
      <c r="B53" s="162" t="s">
        <v>29</v>
      </c>
      <c r="C53" s="95"/>
      <c r="D53" s="67">
        <v>1087479.1320193401</v>
      </c>
      <c r="E53" s="68">
        <v>5.5017777708782099</v>
      </c>
      <c r="F53" s="70"/>
      <c r="G53" s="67">
        <v>314920.83525680302</v>
      </c>
      <c r="H53" s="68">
        <v>3.2998941421497499</v>
      </c>
      <c r="I53" s="41"/>
      <c r="J53" s="67">
        <v>701568.69622242998</v>
      </c>
      <c r="K53" s="68">
        <v>6.8429200518296396</v>
      </c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30" customHeight="1" x14ac:dyDescent="0.25">
      <c r="A54" s="41"/>
      <c r="B54" s="162" t="s">
        <v>147</v>
      </c>
      <c r="C54" s="95"/>
      <c r="D54" s="67">
        <v>2257462.2659602799</v>
      </c>
      <c r="E54" s="68">
        <v>11.460119039017901</v>
      </c>
      <c r="F54" s="70"/>
      <c r="G54" s="67">
        <v>882082.16904934298</v>
      </c>
      <c r="H54" s="68">
        <v>9.2395087512511296</v>
      </c>
      <c r="I54" s="41"/>
      <c r="J54" s="67">
        <v>1268546.4585846399</v>
      </c>
      <c r="K54" s="68">
        <v>12.438201980278601</v>
      </c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5" customHeight="1" x14ac:dyDescent="0.25">
      <c r="A55" s="41"/>
      <c r="B55" s="162" t="s">
        <v>30</v>
      </c>
      <c r="C55" s="95"/>
      <c r="D55" s="67">
        <v>0</v>
      </c>
      <c r="E55" s="68">
        <v>0</v>
      </c>
      <c r="F55" s="70"/>
      <c r="G55" s="67">
        <v>0</v>
      </c>
      <c r="H55" s="68">
        <v>0</v>
      </c>
      <c r="I55" s="41"/>
      <c r="J55" s="67">
        <v>0</v>
      </c>
      <c r="K55" s="68">
        <v>0</v>
      </c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ht="6.95" customHeight="1" x14ac:dyDescent="0.25">
      <c r="A56" s="41"/>
      <c r="B56" s="161"/>
      <c r="C56" s="91"/>
      <c r="D56" s="146"/>
      <c r="E56" s="147"/>
      <c r="F56" s="148"/>
      <c r="G56" s="146"/>
      <c r="H56" s="147"/>
      <c r="I56" s="147"/>
      <c r="J56" s="146"/>
      <c r="K56" s="147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s="6" customFormat="1" ht="15" customHeight="1" x14ac:dyDescent="0.25">
      <c r="A57" s="57"/>
      <c r="B57" s="160" t="s">
        <v>33</v>
      </c>
      <c r="C57" s="97"/>
      <c r="D57" s="60">
        <v>18205289.4048861</v>
      </c>
      <c r="E57" s="61">
        <v>47.355777603752301</v>
      </c>
      <c r="F57" s="62"/>
      <c r="G57" s="60">
        <v>9130616.6439827792</v>
      </c>
      <c r="H57" s="61">
        <v>48.294001745080003</v>
      </c>
      <c r="I57" s="57"/>
      <c r="J57" s="60">
        <v>8764251.1352350097</v>
      </c>
      <c r="K57" s="61">
        <v>45.356317401229198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</row>
    <row r="58" spans="1:23" ht="6.95" customHeight="1" x14ac:dyDescent="0.25">
      <c r="A58" s="41"/>
      <c r="B58" s="166"/>
      <c r="C58" s="167"/>
      <c r="D58" s="80"/>
      <c r="E58" s="80"/>
      <c r="F58" s="102"/>
      <c r="G58" s="168"/>
      <c r="H58" s="80"/>
      <c r="I58" s="80"/>
      <c r="J58" s="80"/>
      <c r="K58" s="80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  <row r="59" spans="1:23" ht="6.95" customHeight="1" x14ac:dyDescent="0.25">
      <c r="A59" s="41"/>
      <c r="B59" s="169"/>
      <c r="C59" s="170"/>
      <c r="D59" s="171"/>
      <c r="E59" s="171"/>
      <c r="F59" s="104"/>
      <c r="G59" s="17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</row>
    <row r="60" spans="1:23" ht="12" customHeight="1" x14ac:dyDescent="0.25">
      <c r="A60" s="41"/>
      <c r="B60" s="315" t="s">
        <v>130</v>
      </c>
      <c r="C60" s="315"/>
      <c r="D60" s="315"/>
      <c r="E60" s="315"/>
      <c r="F60" s="315"/>
      <c r="G60" s="315"/>
      <c r="H60" s="315"/>
      <c r="I60" s="315"/>
      <c r="J60" s="315"/>
      <c r="K60" s="315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</row>
    <row r="61" spans="1:23" ht="12" customHeight="1" x14ac:dyDescent="0.25">
      <c r="A61" s="41"/>
      <c r="B61" s="172" t="s">
        <v>131</v>
      </c>
      <c r="C61" s="173"/>
      <c r="D61" s="174"/>
      <c r="E61" s="174"/>
      <c r="F61" s="174"/>
      <c r="G61" s="174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</row>
    <row r="62" spans="1:23" ht="12" customHeight="1" x14ac:dyDescent="0.25">
      <c r="A62" s="41"/>
      <c r="B62" s="307" t="s">
        <v>145</v>
      </c>
      <c r="C62" s="307"/>
      <c r="D62" s="307"/>
      <c r="E62" s="307"/>
      <c r="F62" s="307"/>
      <c r="G62" s="307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</row>
  </sheetData>
  <mergeCells count="8">
    <mergeCell ref="B60:K60"/>
    <mergeCell ref="B62:G62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0E585FD6-FFC6-46A9-9FB5-CD8CFBCAB300}"/>
  </hyperlink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E6447-54AD-47B8-BC6B-9933E4EAED9B}">
  <dimension ref="A1:W27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103</v>
      </c>
      <c r="C5" s="37"/>
      <c r="D5" s="39"/>
      <c r="E5" s="39"/>
      <c r="F5" s="39"/>
      <c r="G5" s="38"/>
      <c r="H5" s="34"/>
      <c r="I5" s="32"/>
      <c r="J5" s="32"/>
      <c r="K5" s="40" t="s">
        <v>86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183</v>
      </c>
      <c r="C7" s="42"/>
      <c r="D7" s="308" t="s">
        <v>182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53212292.201383904</v>
      </c>
      <c r="E11" s="61">
        <v>100</v>
      </c>
      <c r="F11" s="62"/>
      <c r="G11" s="60">
        <v>26264570.384937</v>
      </c>
      <c r="H11" s="61">
        <v>100</v>
      </c>
      <c r="I11" s="57"/>
      <c r="J11" s="60">
        <v>26326428.950599998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76" t="s">
        <v>35</v>
      </c>
      <c r="C13" s="91"/>
      <c r="D13" s="67">
        <v>9964849.0904117096</v>
      </c>
      <c r="E13" s="68">
        <v>18.331666251804901</v>
      </c>
      <c r="F13" s="70"/>
      <c r="G13" s="67">
        <v>4850633.8053059001</v>
      </c>
      <c r="H13" s="68">
        <v>17.8459163735942</v>
      </c>
      <c r="I13" s="41"/>
      <c r="J13" s="67">
        <v>4883346.9145041304</v>
      </c>
      <c r="K13" s="68">
        <v>18.012138602411799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76" t="s">
        <v>36</v>
      </c>
      <c r="C14" s="95"/>
      <c r="D14" s="67">
        <v>1486304.9857380099</v>
      </c>
      <c r="E14" s="68">
        <v>2.7266600662395701</v>
      </c>
      <c r="F14" s="70"/>
      <c r="G14" s="67">
        <v>448581.37604595697</v>
      </c>
      <c r="H14" s="68">
        <v>1.64548274641742</v>
      </c>
      <c r="I14" s="41"/>
      <c r="J14" s="67">
        <v>952491.508835727</v>
      </c>
      <c r="K14" s="68">
        <v>3.4958815780392398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77" t="s">
        <v>132</v>
      </c>
      <c r="C15" s="95"/>
      <c r="D15" s="67">
        <v>22729505.666260298</v>
      </c>
      <c r="E15" s="68">
        <v>41.945842734898498</v>
      </c>
      <c r="F15" s="70"/>
      <c r="G15" s="67">
        <v>10245443.9682799</v>
      </c>
      <c r="H15" s="68">
        <v>38.048424019842301</v>
      </c>
      <c r="I15" s="41"/>
      <c r="J15" s="67">
        <v>12123714.002334399</v>
      </c>
      <c r="K15" s="68">
        <v>44.813350327671401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76" t="s">
        <v>37</v>
      </c>
      <c r="C16" s="178"/>
      <c r="D16" s="67">
        <v>2114113.5178807299</v>
      </c>
      <c r="E16" s="68">
        <v>3.89556772187811</v>
      </c>
      <c r="F16" s="70"/>
      <c r="G16" s="67">
        <v>742784.36827886</v>
      </c>
      <c r="H16" s="68">
        <v>2.7511599111501299</v>
      </c>
      <c r="I16" s="41"/>
      <c r="J16" s="67">
        <v>1244366.81896769</v>
      </c>
      <c r="K16" s="68">
        <v>4.5926183763183701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76" t="s">
        <v>38</v>
      </c>
      <c r="C17" s="95"/>
      <c r="D17" s="67">
        <v>8658920.8092762996</v>
      </c>
      <c r="E17" s="68">
        <v>15.9222955140695</v>
      </c>
      <c r="F17" s="70"/>
      <c r="G17" s="67">
        <v>5269859.73035229</v>
      </c>
      <c r="H17" s="68">
        <v>19.4908600014932</v>
      </c>
      <c r="I17" s="41"/>
      <c r="J17" s="67">
        <v>3115654.8640594701</v>
      </c>
      <c r="K17" s="68">
        <v>11.4889131500448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76" t="s">
        <v>39</v>
      </c>
      <c r="C18" s="95"/>
      <c r="D18" s="67">
        <v>4544994.7457587896</v>
      </c>
      <c r="E18" s="68">
        <v>8.3640659057515894</v>
      </c>
      <c r="F18" s="70"/>
      <c r="G18" s="67">
        <v>1966017.4791456901</v>
      </c>
      <c r="H18" s="68">
        <v>7.23718133086735</v>
      </c>
      <c r="I18" s="41"/>
      <c r="J18" s="67">
        <v>2397619.6138541801</v>
      </c>
      <c r="K18" s="68">
        <v>8.8540247874131399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76" t="s">
        <v>40</v>
      </c>
      <c r="C19" s="95"/>
      <c r="D19" s="67">
        <v>3915801.29687582</v>
      </c>
      <c r="E19" s="68">
        <v>7.2187725277803896</v>
      </c>
      <c r="F19" s="70"/>
      <c r="G19" s="67">
        <v>1766025.0237394699</v>
      </c>
      <c r="H19" s="68">
        <v>6.5257468306193998</v>
      </c>
      <c r="I19" s="41"/>
      <c r="J19" s="67">
        <v>1963574.34660054</v>
      </c>
      <c r="K19" s="68">
        <v>7.2508640140588998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79" t="s">
        <v>112</v>
      </c>
      <c r="C20" s="95"/>
      <c r="D20" s="67">
        <v>8431793.9710714705</v>
      </c>
      <c r="E20" s="68">
        <v>15.5480353413672</v>
      </c>
      <c r="F20" s="70"/>
      <c r="G20" s="67">
        <v>4204508.0143252499</v>
      </c>
      <c r="H20" s="68">
        <v>15.582401707649399</v>
      </c>
      <c r="I20" s="41"/>
      <c r="J20" s="67">
        <v>3962075.7985099601</v>
      </c>
      <c r="K20" s="68">
        <v>14.6344851317811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79" t="s">
        <v>123</v>
      </c>
      <c r="C21" s="95"/>
      <c r="D21" s="67">
        <v>1054930.90615579</v>
      </c>
      <c r="E21" s="68">
        <v>1.94123091976047</v>
      </c>
      <c r="F21" s="70"/>
      <c r="G21" s="67">
        <v>453976.10955445899</v>
      </c>
      <c r="H21" s="68">
        <v>1.67090043945669</v>
      </c>
      <c r="I21" s="41"/>
      <c r="J21" s="67">
        <v>508156.65213291801</v>
      </c>
      <c r="K21" s="68">
        <v>1.8693306722052101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76" t="s">
        <v>41</v>
      </c>
      <c r="C22" s="95"/>
      <c r="D22" s="67">
        <v>374418.11246110999</v>
      </c>
      <c r="E22" s="68">
        <v>0.68739507181066795</v>
      </c>
      <c r="F22" s="70"/>
      <c r="G22" s="67">
        <v>148239.43590232101</v>
      </c>
      <c r="H22" s="68">
        <v>0.547043255804194</v>
      </c>
      <c r="I22" s="41"/>
      <c r="J22" s="67">
        <v>160553.672809465</v>
      </c>
      <c r="K22" s="68">
        <v>0.59140823799630104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80" t="s">
        <v>118</v>
      </c>
      <c r="C23" s="95"/>
      <c r="D23" s="67">
        <v>90437.026043425401</v>
      </c>
      <c r="E23" s="68">
        <v>0.16598423883369401</v>
      </c>
      <c r="F23" s="70"/>
      <c r="G23" s="67">
        <v>37156.738986632503</v>
      </c>
      <c r="H23" s="68">
        <v>0.13604855533118199</v>
      </c>
      <c r="I23" s="41"/>
      <c r="J23" s="67">
        <v>29977.416210732601</v>
      </c>
      <c r="K23" s="68">
        <v>0.110591210479054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66"/>
      <c r="C24" s="166"/>
      <c r="D24" s="80"/>
      <c r="E24" s="80"/>
      <c r="F24" s="181"/>
      <c r="G24" s="182"/>
      <c r="H24" s="80"/>
      <c r="I24" s="80"/>
      <c r="J24" s="80"/>
      <c r="K24" s="80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6.95" customHeight="1" x14ac:dyDescent="0.25">
      <c r="A25" s="41"/>
      <c r="B25" s="109"/>
      <c r="C25" s="109"/>
      <c r="D25" s="88"/>
      <c r="E25" s="88"/>
      <c r="F25" s="183"/>
      <c r="G25" s="184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2" customHeight="1" x14ac:dyDescent="0.25">
      <c r="A26" s="41"/>
      <c r="B26" s="106" t="s">
        <v>133</v>
      </c>
      <c r="C26" s="185"/>
      <c r="D26" s="185"/>
      <c r="E26" s="185"/>
      <c r="F26" s="185"/>
      <c r="G26" s="184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2" customHeight="1" x14ac:dyDescent="0.25">
      <c r="A27" s="41"/>
      <c r="B27" s="307" t="s">
        <v>145</v>
      </c>
      <c r="C27" s="307"/>
      <c r="D27" s="307"/>
      <c r="E27" s="307"/>
      <c r="F27" s="307"/>
      <c r="G27" s="307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</sheetData>
  <mergeCells count="6">
    <mergeCell ref="B27:G27"/>
    <mergeCell ref="B7:B9"/>
    <mergeCell ref="D7:E8"/>
    <mergeCell ref="G7:K7"/>
    <mergeCell ref="G8:H8"/>
    <mergeCell ref="J8:K8"/>
  </mergeCells>
  <hyperlinks>
    <hyperlink ref="K1" location="ÍNDICE!A1" tooltip="Ir a ÍNDICE" display="ÍNDICE" xr:uid="{CF94140D-5721-4423-822E-764D8A08BF97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0E75E-DF27-4893-84DB-FE9AFCE3BD86}">
  <dimension ref="A1:W5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185</v>
      </c>
      <c r="C5" s="175"/>
      <c r="D5" s="175"/>
      <c r="E5" s="175"/>
      <c r="F5" s="186"/>
      <c r="G5" s="186"/>
      <c r="H5" s="34"/>
      <c r="I5" s="32"/>
      <c r="J5" s="32"/>
      <c r="K5" s="40" t="s">
        <v>85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67</v>
      </c>
      <c r="C7" s="42"/>
      <c r="D7" s="308" t="s">
        <v>184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17" t="s">
        <v>12</v>
      </c>
      <c r="H8" s="317"/>
      <c r="I8" s="26"/>
      <c r="J8" s="317" t="s">
        <v>0</v>
      </c>
      <c r="K8" s="317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24722232.177472699</v>
      </c>
      <c r="E11" s="61">
        <v>100</v>
      </c>
      <c r="F11" s="62"/>
      <c r="G11" s="60">
        <v>11719096.3635129</v>
      </c>
      <c r="H11" s="61">
        <v>100</v>
      </c>
      <c r="I11" s="57"/>
      <c r="J11" s="60">
        <v>12632819.6200726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15</v>
      </c>
      <c r="C13" s="91"/>
      <c r="D13" s="67">
        <v>10000913.7887096</v>
      </c>
      <c r="E13" s="68">
        <v>39.5209219214317</v>
      </c>
      <c r="F13" s="70"/>
      <c r="G13" s="67">
        <v>4769200.5611306001</v>
      </c>
      <c r="H13" s="68">
        <v>39.168990992353002</v>
      </c>
      <c r="I13" s="41"/>
      <c r="J13" s="67">
        <v>4995486.8073934102</v>
      </c>
      <c r="K13" s="68">
        <v>38.285081253674001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14</v>
      </c>
      <c r="C14" s="95"/>
      <c r="D14" s="67">
        <v>7182945.5281945197</v>
      </c>
      <c r="E14" s="68">
        <v>28.277900009709501</v>
      </c>
      <c r="F14" s="70"/>
      <c r="G14" s="67">
        <v>3234934.9661474102</v>
      </c>
      <c r="H14" s="68">
        <v>26.609308656155299</v>
      </c>
      <c r="I14" s="41"/>
      <c r="J14" s="67">
        <v>3729328.7714600498</v>
      </c>
      <c r="K14" s="68">
        <v>28.507779452271699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87" t="s">
        <v>16</v>
      </c>
      <c r="C15" s="95"/>
      <c r="D15" s="67">
        <v>5276376.4817487299</v>
      </c>
      <c r="E15" s="68">
        <v>20.821375997523798</v>
      </c>
      <c r="F15" s="70"/>
      <c r="G15" s="67">
        <v>1976785.06667789</v>
      </c>
      <c r="H15" s="68">
        <v>16.159548578303198</v>
      </c>
      <c r="I15" s="41"/>
      <c r="J15" s="67">
        <v>3115084.71854155</v>
      </c>
      <c r="K15" s="68">
        <v>23.877599459492199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18</v>
      </c>
      <c r="C16" s="95"/>
      <c r="D16" s="67">
        <v>2919062.0289106402</v>
      </c>
      <c r="E16" s="68">
        <v>11.463236504626099</v>
      </c>
      <c r="F16" s="70"/>
      <c r="G16" s="67">
        <v>1737511.16933121</v>
      </c>
      <c r="H16" s="68">
        <v>14.387427306323699</v>
      </c>
      <c r="I16" s="41"/>
      <c r="J16" s="67">
        <v>1038667.76304877</v>
      </c>
      <c r="K16" s="68">
        <v>7.8055536219798496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0" t="s">
        <v>19</v>
      </c>
      <c r="C17" s="95"/>
      <c r="D17" s="67">
        <v>1978881.4008438699</v>
      </c>
      <c r="E17" s="68">
        <v>7.6509096143316704</v>
      </c>
      <c r="F17" s="70"/>
      <c r="G17" s="67">
        <v>995009.55816741998</v>
      </c>
      <c r="H17" s="68">
        <v>8.0276022925920802</v>
      </c>
      <c r="I17" s="41"/>
      <c r="J17" s="67">
        <v>867066.48596234398</v>
      </c>
      <c r="K17" s="68">
        <v>6.4964077880578799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17</v>
      </c>
      <c r="C18" s="95"/>
      <c r="D18" s="67">
        <v>1734675.68922156</v>
      </c>
      <c r="E18" s="68">
        <v>6.76032065865836</v>
      </c>
      <c r="F18" s="70"/>
      <c r="G18" s="67">
        <v>955976.07743308402</v>
      </c>
      <c r="H18" s="68">
        <v>7.7340058837262502</v>
      </c>
      <c r="I18" s="41"/>
      <c r="J18" s="67">
        <v>664934.35725306906</v>
      </c>
      <c r="K18" s="68">
        <v>5.0063939320169801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20</v>
      </c>
      <c r="C19" s="95"/>
      <c r="D19" s="67">
        <v>1675440.7894041601</v>
      </c>
      <c r="E19" s="68">
        <v>6.5660801321344904</v>
      </c>
      <c r="F19" s="70"/>
      <c r="G19" s="67">
        <v>512043.00483197899</v>
      </c>
      <c r="H19" s="68">
        <v>4.1641610413113099</v>
      </c>
      <c r="I19" s="41"/>
      <c r="J19" s="67">
        <v>1043067.35714619</v>
      </c>
      <c r="K19" s="68">
        <v>7.9362926318167499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34</v>
      </c>
      <c r="C20" s="95"/>
      <c r="D20" s="67">
        <v>529973.63143376703</v>
      </c>
      <c r="E20" s="68">
        <v>2.0560880230490701</v>
      </c>
      <c r="F20" s="70"/>
      <c r="G20" s="67">
        <v>225422.977981312</v>
      </c>
      <c r="H20" s="68">
        <v>1.82092998487723</v>
      </c>
      <c r="I20" s="41"/>
      <c r="J20" s="67">
        <v>252162.01449154699</v>
      </c>
      <c r="K20" s="68">
        <v>1.8870235824211701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22</v>
      </c>
      <c r="C21" s="95"/>
      <c r="D21" s="67">
        <v>292469.01437423797</v>
      </c>
      <c r="E21" s="68">
        <v>1.1334602288715001</v>
      </c>
      <c r="F21" s="70"/>
      <c r="G21" s="67">
        <v>134089.65613595399</v>
      </c>
      <c r="H21" s="68">
        <v>1.07938317374402</v>
      </c>
      <c r="I21" s="41"/>
      <c r="J21" s="67">
        <v>116003.689649166</v>
      </c>
      <c r="K21" s="68">
        <v>0.86987903112303699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176"/>
      <c r="C22" s="97"/>
      <c r="D22" s="67"/>
      <c r="E22" s="68"/>
      <c r="F22" s="70"/>
      <c r="G22" s="67"/>
      <c r="H22" s="68"/>
      <c r="I22" s="41"/>
      <c r="J22" s="67"/>
      <c r="K22" s="6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188" t="s">
        <v>2</v>
      </c>
      <c r="C23" s="97"/>
      <c r="D23" s="60">
        <v>5076816.3110481501</v>
      </c>
      <c r="E23" s="61">
        <v>100</v>
      </c>
      <c r="F23" s="62"/>
      <c r="G23" s="60">
        <v>2335958.02487315</v>
      </c>
      <c r="H23" s="61">
        <v>100</v>
      </c>
      <c r="I23" s="57"/>
      <c r="J23" s="60">
        <v>2591482.2552924398</v>
      </c>
      <c r="K23" s="61">
        <v>100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189"/>
      <c r="C24" s="97"/>
      <c r="D24" s="67"/>
      <c r="E24" s="68"/>
      <c r="F24" s="62"/>
      <c r="G24" s="67"/>
      <c r="H24" s="68"/>
      <c r="I24" s="57"/>
      <c r="J24" s="67"/>
      <c r="K24" s="68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15</v>
      </c>
      <c r="C25" s="91"/>
      <c r="D25" s="67">
        <v>1901385.5860029799</v>
      </c>
      <c r="E25" s="68">
        <v>35.4694782952728</v>
      </c>
      <c r="F25" s="70"/>
      <c r="G25" s="67">
        <v>905849.68245943403</v>
      </c>
      <c r="H25" s="68">
        <v>34.844451004630002</v>
      </c>
      <c r="I25" s="41"/>
      <c r="J25" s="67">
        <v>876767.13303628599</v>
      </c>
      <c r="K25" s="68">
        <v>31.991512386731898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10" t="s">
        <v>14</v>
      </c>
      <c r="C26" s="95"/>
      <c r="D26" s="67">
        <v>1380214.2267984501</v>
      </c>
      <c r="E26" s="68">
        <v>25.045809095072801</v>
      </c>
      <c r="F26" s="70"/>
      <c r="G26" s="67">
        <v>521465.79776108399</v>
      </c>
      <c r="H26" s="68">
        <v>19.789594187669501</v>
      </c>
      <c r="I26" s="41"/>
      <c r="J26" s="67">
        <v>772533.92027483799</v>
      </c>
      <c r="K26" s="68">
        <v>27.287181119829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187" t="s">
        <v>16</v>
      </c>
      <c r="C27" s="95"/>
      <c r="D27" s="67">
        <v>1135762.7686004201</v>
      </c>
      <c r="E27" s="68">
        <v>20.880431723251402</v>
      </c>
      <c r="F27" s="70"/>
      <c r="G27" s="67">
        <v>437196.75748447701</v>
      </c>
      <c r="H27" s="68">
        <v>17.416166814483901</v>
      </c>
      <c r="I27" s="41"/>
      <c r="J27" s="67">
        <v>616625.37546325498</v>
      </c>
      <c r="K27" s="68">
        <v>21.105024245138502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0" t="s">
        <v>18</v>
      </c>
      <c r="C28" s="95"/>
      <c r="D28" s="67">
        <v>616791.69009489904</v>
      </c>
      <c r="E28" s="68">
        <v>11.3712706515938</v>
      </c>
      <c r="F28" s="70"/>
      <c r="G28" s="67">
        <v>360488.47263420402</v>
      </c>
      <c r="H28" s="68">
        <v>14.824482797527599</v>
      </c>
      <c r="I28" s="41"/>
      <c r="J28" s="67">
        <v>204201.583953122</v>
      </c>
      <c r="K28" s="68">
        <v>6.6601232470336704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0" t="s">
        <v>19</v>
      </c>
      <c r="C29" s="95"/>
      <c r="D29" s="67">
        <v>237924.611525196</v>
      </c>
      <c r="E29" s="68">
        <v>3.9941010661151899</v>
      </c>
      <c r="F29" s="70"/>
      <c r="G29" s="67">
        <v>94713.070077447395</v>
      </c>
      <c r="H29" s="68">
        <v>3.3894777432838401</v>
      </c>
      <c r="I29" s="41"/>
      <c r="J29" s="67">
        <v>99054.237077269703</v>
      </c>
      <c r="K29" s="68">
        <v>3.21359169828964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17</v>
      </c>
      <c r="C30" s="95"/>
      <c r="D30" s="67">
        <v>375858.87757527299</v>
      </c>
      <c r="E30" s="68">
        <v>6.6709435450695898</v>
      </c>
      <c r="F30" s="70"/>
      <c r="G30" s="67">
        <v>173506.055307353</v>
      </c>
      <c r="H30" s="68">
        <v>6.2563619864266302</v>
      </c>
      <c r="I30" s="41"/>
      <c r="J30" s="67">
        <v>142407.134959588</v>
      </c>
      <c r="K30" s="68">
        <v>5.0262879409033401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20</v>
      </c>
      <c r="C31" s="95"/>
      <c r="D31" s="67">
        <v>386898.98669750901</v>
      </c>
      <c r="E31" s="68">
        <v>7.0919846285393504</v>
      </c>
      <c r="F31" s="70"/>
      <c r="G31" s="67">
        <v>68433.915151752299</v>
      </c>
      <c r="H31" s="68">
        <v>2.7506494326958699</v>
      </c>
      <c r="I31" s="41"/>
      <c r="J31" s="67">
        <v>228945.90889535</v>
      </c>
      <c r="K31" s="68">
        <v>8.5039068273440996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34</v>
      </c>
      <c r="C32" s="95"/>
      <c r="D32" s="67">
        <v>11323.5172012203</v>
      </c>
      <c r="E32" s="68">
        <v>0.20157125868477299</v>
      </c>
      <c r="F32" s="70"/>
      <c r="G32" s="67">
        <v>0</v>
      </c>
      <c r="H32" s="68">
        <v>0</v>
      </c>
      <c r="I32" s="41"/>
      <c r="J32" s="67">
        <v>1334.8894690749801</v>
      </c>
      <c r="K32" s="68">
        <v>4.4131075904567198E-2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22</v>
      </c>
      <c r="C33" s="95"/>
      <c r="D33" s="67">
        <v>22495.525037240801</v>
      </c>
      <c r="E33" s="68">
        <v>0.38377167832851</v>
      </c>
      <c r="F33" s="70"/>
      <c r="G33" s="67">
        <v>1650.18348915454</v>
      </c>
      <c r="H33" s="68">
        <v>5.2487846175660803E-2</v>
      </c>
      <c r="I33" s="41"/>
      <c r="J33" s="67">
        <v>4483.6625169438503</v>
      </c>
      <c r="K33" s="68">
        <v>0.154931125095182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89"/>
      <c r="C34" s="97"/>
      <c r="D34" s="131"/>
      <c r="E34" s="131"/>
      <c r="F34" s="190"/>
      <c r="G34" s="131"/>
      <c r="H34" s="131"/>
      <c r="I34" s="131"/>
      <c r="J34" s="131"/>
      <c r="K34" s="13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188" t="s">
        <v>3</v>
      </c>
      <c r="C35" s="97"/>
      <c r="D35" s="60">
        <v>18988229.972178299</v>
      </c>
      <c r="E35" s="61">
        <v>100</v>
      </c>
      <c r="F35" s="62"/>
      <c r="G35" s="60">
        <v>9003668.7737572193</v>
      </c>
      <c r="H35" s="61">
        <v>100</v>
      </c>
      <c r="I35" s="57"/>
      <c r="J35" s="60">
        <v>9679765.7933887597</v>
      </c>
      <c r="K35" s="61">
        <v>100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189"/>
      <c r="C36" s="97"/>
      <c r="D36" s="67"/>
      <c r="E36" s="68"/>
      <c r="F36" s="62"/>
      <c r="G36" s="67"/>
      <c r="H36" s="68"/>
      <c r="I36" s="57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15</v>
      </c>
      <c r="C37" s="91"/>
      <c r="D37" s="67">
        <v>7778246.27482465</v>
      </c>
      <c r="E37" s="68">
        <v>39.874308729794599</v>
      </c>
      <c r="F37" s="70"/>
      <c r="G37" s="67">
        <v>3681248.4514488098</v>
      </c>
      <c r="H37" s="68">
        <v>39.243847444380599</v>
      </c>
      <c r="I37" s="41"/>
      <c r="J37" s="67">
        <v>3909911.1439905302</v>
      </c>
      <c r="K37" s="68">
        <v>38.856843487545497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15" customHeight="1" x14ac:dyDescent="0.25">
      <c r="A38" s="41"/>
      <c r="B38" s="110" t="s">
        <v>14</v>
      </c>
      <c r="C38" s="95"/>
      <c r="D38" s="67">
        <v>5553220.2157005602</v>
      </c>
      <c r="E38" s="68">
        <v>28.340069723139699</v>
      </c>
      <c r="F38" s="70"/>
      <c r="G38" s="67">
        <v>2568407.8374222899</v>
      </c>
      <c r="H38" s="68">
        <v>27.397510997950999</v>
      </c>
      <c r="I38" s="41"/>
      <c r="J38" s="67">
        <v>2788235.8981503099</v>
      </c>
      <c r="K38" s="68">
        <v>27.689213369699701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30" customHeight="1" x14ac:dyDescent="0.25">
      <c r="A39" s="41"/>
      <c r="B39" s="187" t="s">
        <v>16</v>
      </c>
      <c r="C39" s="95"/>
      <c r="D39" s="67">
        <v>3918168.02193452</v>
      </c>
      <c r="E39" s="68">
        <v>20.046522481118501</v>
      </c>
      <c r="F39" s="70"/>
      <c r="G39" s="67">
        <v>1413252.8135524299</v>
      </c>
      <c r="H39" s="68">
        <v>14.8593603022287</v>
      </c>
      <c r="I39" s="41"/>
      <c r="J39" s="67">
        <v>2347959.4592789202</v>
      </c>
      <c r="K39" s="68">
        <v>23.533880765218601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110" t="s">
        <v>18</v>
      </c>
      <c r="C40" s="95"/>
      <c r="D40" s="67">
        <v>2123064.4789909301</v>
      </c>
      <c r="E40" s="68">
        <v>10.775010788369199</v>
      </c>
      <c r="F40" s="70"/>
      <c r="G40" s="67">
        <v>1229676.8792361</v>
      </c>
      <c r="H40" s="68">
        <v>13.1176419047957</v>
      </c>
      <c r="I40" s="41"/>
      <c r="J40" s="67">
        <v>763225.56915255601</v>
      </c>
      <c r="K40" s="68">
        <v>7.4639253741942504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0" t="s">
        <v>19</v>
      </c>
      <c r="C41" s="95"/>
      <c r="D41" s="67">
        <v>1657525.7016175501</v>
      </c>
      <c r="E41" s="68">
        <v>8.3133356184195009</v>
      </c>
      <c r="F41" s="70"/>
      <c r="G41" s="67">
        <v>837391.84226265701</v>
      </c>
      <c r="H41" s="68">
        <v>8.7586670820559593</v>
      </c>
      <c r="I41" s="41"/>
      <c r="J41" s="67">
        <v>712282.30803954997</v>
      </c>
      <c r="K41" s="68">
        <v>6.9245184448884798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17</v>
      </c>
      <c r="C42" s="95"/>
      <c r="D42" s="67">
        <v>1241463.33819555</v>
      </c>
      <c r="E42" s="68">
        <v>6.2659072108136602</v>
      </c>
      <c r="F42" s="70"/>
      <c r="G42" s="67">
        <v>711450.50583915203</v>
      </c>
      <c r="H42" s="68">
        <v>7.4565615712001296</v>
      </c>
      <c r="I42" s="41"/>
      <c r="J42" s="67">
        <v>448268.10518827901</v>
      </c>
      <c r="K42" s="68">
        <v>4.3431908608148797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20</v>
      </c>
      <c r="C43" s="95"/>
      <c r="D43" s="67">
        <v>1154210.73290028</v>
      </c>
      <c r="E43" s="68">
        <v>5.8502196555109096</v>
      </c>
      <c r="F43" s="70"/>
      <c r="G43" s="67">
        <v>363680.36783467</v>
      </c>
      <c r="H43" s="68">
        <v>3.8274780027708202</v>
      </c>
      <c r="I43" s="41"/>
      <c r="J43" s="67">
        <v>708129.09532204596</v>
      </c>
      <c r="K43" s="68">
        <v>6.9129064374770897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34</v>
      </c>
      <c r="C44" s="95"/>
      <c r="D44" s="67">
        <v>475834.34682294901</v>
      </c>
      <c r="E44" s="68">
        <v>2.3850467428551898</v>
      </c>
      <c r="F44" s="70"/>
      <c r="G44" s="67">
        <v>203883.92231121799</v>
      </c>
      <c r="H44" s="68">
        <v>2.1151362827077902</v>
      </c>
      <c r="I44" s="41"/>
      <c r="J44" s="67">
        <v>225884.93766449299</v>
      </c>
      <c r="K44" s="68">
        <v>2.1897763629276099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22</v>
      </c>
      <c r="C45" s="95"/>
      <c r="D45" s="67">
        <v>236727.89790692701</v>
      </c>
      <c r="E45" s="68">
        <v>1.18958618721948</v>
      </c>
      <c r="F45" s="70"/>
      <c r="G45" s="67">
        <v>112808.16665311401</v>
      </c>
      <c r="H45" s="68">
        <v>1.1722304745491201</v>
      </c>
      <c r="I45" s="41"/>
      <c r="J45" s="67">
        <v>85444.1570908297</v>
      </c>
      <c r="K45" s="68">
        <v>0.83325469124084806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6.95" customHeight="1" x14ac:dyDescent="0.25">
      <c r="A46" s="41"/>
      <c r="B46" s="166"/>
      <c r="C46" s="52"/>
      <c r="D46" s="80"/>
      <c r="E46" s="80"/>
      <c r="F46" s="168"/>
      <c r="G46" s="80"/>
      <c r="H46" s="80"/>
      <c r="I46" s="80"/>
      <c r="J46" s="80"/>
      <c r="K46" s="80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105"/>
      <c r="C47" s="105"/>
      <c r="D47" s="104"/>
      <c r="E47" s="104"/>
      <c r="F47" s="17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2" customHeight="1" x14ac:dyDescent="0.25">
      <c r="A48" s="41"/>
      <c r="B48" s="191" t="s">
        <v>130</v>
      </c>
      <c r="C48" s="192"/>
      <c r="D48" s="193"/>
      <c r="E48" s="193"/>
      <c r="F48" s="193"/>
      <c r="G48" s="194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2" customHeight="1" x14ac:dyDescent="0.25">
      <c r="A49" s="41"/>
      <c r="B49" s="106" t="s">
        <v>134</v>
      </c>
      <c r="C49" s="195"/>
      <c r="D49" s="195"/>
      <c r="E49" s="195"/>
      <c r="F49" s="195"/>
      <c r="G49" s="194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12" customHeight="1" x14ac:dyDescent="0.25">
      <c r="A50" s="41"/>
      <c r="B50" s="307" t="s">
        <v>145</v>
      </c>
      <c r="C50" s="307"/>
      <c r="D50" s="307"/>
      <c r="E50" s="307"/>
      <c r="F50" s="307"/>
      <c r="G50" s="307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</sheetData>
  <mergeCells count="6">
    <mergeCell ref="B50:G50"/>
    <mergeCell ref="B7:B9"/>
    <mergeCell ref="D7:E8"/>
    <mergeCell ref="G7:K7"/>
    <mergeCell ref="G8:H8"/>
    <mergeCell ref="J8:K8"/>
  </mergeCells>
  <hyperlinks>
    <hyperlink ref="K1" location="ÍNDICE!A1" tooltip="Ir a ÍNDICE" display="ÍNDICE" xr:uid="{67C10010-9778-4C15-B1A9-E81C932702A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7EC44-C648-4614-81AB-303F82CA7B1F}">
  <dimension ref="A1:W36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175" t="s">
        <v>187</v>
      </c>
      <c r="C5" s="175"/>
      <c r="D5" s="175"/>
      <c r="E5" s="175"/>
      <c r="F5" s="39"/>
      <c r="G5" s="38"/>
      <c r="H5" s="34"/>
      <c r="I5" s="32"/>
      <c r="J5" s="32"/>
      <c r="K5" s="40" t="s">
        <v>84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76</v>
      </c>
      <c r="C7" s="42"/>
      <c r="D7" s="308" t="s">
        <v>186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23"/>
      <c r="C10" s="123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24" t="s">
        <v>4</v>
      </c>
      <c r="C11" s="59"/>
      <c r="D11" s="60">
        <v>24722232.177472699</v>
      </c>
      <c r="E11" s="61">
        <v>100</v>
      </c>
      <c r="F11" s="62"/>
      <c r="G11" s="60">
        <v>11719096.3635129</v>
      </c>
      <c r="H11" s="61">
        <v>100</v>
      </c>
      <c r="I11" s="57"/>
      <c r="J11" s="60">
        <v>12632819.6200726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24"/>
      <c r="C12" s="5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25" t="s">
        <v>97</v>
      </c>
      <c r="C13" s="91"/>
      <c r="D13" s="67">
        <v>2070435.88065365</v>
      </c>
      <c r="E13" s="68">
        <v>8.0762613285657192</v>
      </c>
      <c r="F13" s="70"/>
      <c r="G13" s="67">
        <v>946343.36780635198</v>
      </c>
      <c r="H13" s="68">
        <v>7.6848306290341402</v>
      </c>
      <c r="I13" s="41"/>
      <c r="J13" s="67">
        <v>998632.66053765698</v>
      </c>
      <c r="K13" s="68">
        <v>7.5422673066627803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25" t="s">
        <v>98</v>
      </c>
      <c r="C14" s="95"/>
      <c r="D14" s="67">
        <v>3299458.4502875698</v>
      </c>
      <c r="E14" s="68">
        <v>12.9412535385711</v>
      </c>
      <c r="F14" s="70"/>
      <c r="G14" s="67">
        <v>1616008.6945448001</v>
      </c>
      <c r="H14" s="68">
        <v>13.3476440138797</v>
      </c>
      <c r="I14" s="41"/>
      <c r="J14" s="67">
        <v>1514586.0476944</v>
      </c>
      <c r="K14" s="68">
        <v>11.4870849887117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25" t="s">
        <v>99</v>
      </c>
      <c r="C15" s="95"/>
      <c r="D15" s="67">
        <v>5760818.5440315902</v>
      </c>
      <c r="E15" s="68">
        <v>22.531500254764399</v>
      </c>
      <c r="F15" s="70"/>
      <c r="G15" s="67">
        <v>2729179.0936324499</v>
      </c>
      <c r="H15" s="68">
        <v>22.213125116928801</v>
      </c>
      <c r="I15" s="41"/>
      <c r="J15" s="67">
        <v>2851370.0337222898</v>
      </c>
      <c r="K15" s="68">
        <v>21.6447120388607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25" t="s">
        <v>100</v>
      </c>
      <c r="C16" s="95"/>
      <c r="D16" s="67">
        <v>11949363.810722001</v>
      </c>
      <c r="E16" s="68">
        <v>47.294015590502099</v>
      </c>
      <c r="F16" s="70"/>
      <c r="G16" s="67">
        <v>5363953.2470876602</v>
      </c>
      <c r="H16" s="68">
        <v>44.291244612381597</v>
      </c>
      <c r="I16" s="41"/>
      <c r="J16" s="67">
        <v>6354453.0877523404</v>
      </c>
      <c r="K16" s="68">
        <v>48.706243854305903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25" t="s">
        <v>118</v>
      </c>
      <c r="C17" s="127"/>
      <c r="D17" s="67">
        <v>547646.31159716798</v>
      </c>
      <c r="E17" s="68">
        <v>2.1278052596294899</v>
      </c>
      <c r="F17" s="70"/>
      <c r="G17" s="67">
        <v>339802.14823662199</v>
      </c>
      <c r="H17" s="68">
        <v>2.74978474449318</v>
      </c>
      <c r="I17" s="41"/>
      <c r="J17" s="67">
        <v>151719.175220968</v>
      </c>
      <c r="K17" s="68">
        <v>1.1356438435341301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6.95" customHeight="1" x14ac:dyDescent="0.25">
      <c r="A18" s="41"/>
      <c r="B18" s="128"/>
      <c r="C18" s="127"/>
      <c r="D18" s="131"/>
      <c r="E18" s="131"/>
      <c r="F18" s="196"/>
      <c r="G18" s="131"/>
      <c r="H18" s="131"/>
      <c r="I18" s="131"/>
      <c r="J18" s="131"/>
      <c r="K18" s="13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97" t="s">
        <v>2</v>
      </c>
      <c r="C19" s="95"/>
      <c r="D19" s="60">
        <v>5076816.3110481501</v>
      </c>
      <c r="E19" s="61">
        <v>100</v>
      </c>
      <c r="F19" s="62"/>
      <c r="G19" s="60">
        <v>2335958.02487315</v>
      </c>
      <c r="H19" s="61">
        <v>100</v>
      </c>
      <c r="I19" s="57"/>
      <c r="J19" s="60">
        <v>2591482.2552924398</v>
      </c>
      <c r="K19" s="61">
        <v>100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6.95" customHeight="1" x14ac:dyDescent="0.25">
      <c r="A20" s="41"/>
      <c r="B20" s="198"/>
      <c r="C20" s="95"/>
      <c r="D20" s="67"/>
      <c r="E20" s="68"/>
      <c r="F20" s="62"/>
      <c r="G20" s="67"/>
      <c r="H20" s="68"/>
      <c r="I20" s="57"/>
      <c r="J20" s="67"/>
      <c r="K20" s="68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25" t="s">
        <v>97</v>
      </c>
      <c r="C21" s="91"/>
      <c r="D21" s="67">
        <v>446202.87858578301</v>
      </c>
      <c r="E21" s="68">
        <v>7.7765576547284097</v>
      </c>
      <c r="F21" s="70"/>
      <c r="G21" s="67">
        <v>151812.78828911501</v>
      </c>
      <c r="H21" s="68">
        <v>5.3832239992935396</v>
      </c>
      <c r="I21" s="41"/>
      <c r="J21" s="67">
        <v>245649.268039613</v>
      </c>
      <c r="K21" s="68">
        <v>8.5190102712001696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25" t="s">
        <v>98</v>
      </c>
      <c r="C22" s="95"/>
      <c r="D22" s="67">
        <v>570074.15413298702</v>
      </c>
      <c r="E22" s="68">
        <v>10.486646719243501</v>
      </c>
      <c r="F22" s="70"/>
      <c r="G22" s="67">
        <v>225525.82996533401</v>
      </c>
      <c r="H22" s="68">
        <v>9.3263722122905008</v>
      </c>
      <c r="I22" s="41"/>
      <c r="J22" s="67">
        <v>266531.43468457001</v>
      </c>
      <c r="K22" s="68">
        <v>9.1207969079310907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25" t="s">
        <v>99</v>
      </c>
      <c r="C23" s="95"/>
      <c r="D23" s="67">
        <v>1118945.05417922</v>
      </c>
      <c r="E23" s="68">
        <v>20.1880416899285</v>
      </c>
      <c r="F23" s="70"/>
      <c r="G23" s="67">
        <v>471826.84654233803</v>
      </c>
      <c r="H23" s="68">
        <v>18.334943726964401</v>
      </c>
      <c r="I23" s="41"/>
      <c r="J23" s="67">
        <v>561234.64739729895</v>
      </c>
      <c r="K23" s="68">
        <v>19.164958210672498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25" t="s">
        <v>100</v>
      </c>
      <c r="C24" s="95"/>
      <c r="D24" s="67">
        <v>2452617.2570520798</v>
      </c>
      <c r="E24" s="68">
        <v>45.532413928558398</v>
      </c>
      <c r="F24" s="70"/>
      <c r="G24" s="67">
        <v>1191896.1328437901</v>
      </c>
      <c r="H24" s="68">
        <v>46.2942390187415</v>
      </c>
      <c r="I24" s="41"/>
      <c r="J24" s="67">
        <v>1161365.71526078</v>
      </c>
      <c r="K24" s="68">
        <v>41.821825004801198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25" t="s">
        <v>118</v>
      </c>
      <c r="C25" s="127"/>
      <c r="D25" s="67">
        <v>42275.574240807102</v>
      </c>
      <c r="E25" s="68">
        <v>0.735874309311779</v>
      </c>
      <c r="F25" s="70"/>
      <c r="G25" s="67">
        <v>23889.737564326901</v>
      </c>
      <c r="H25" s="68">
        <v>0.87847851634198004</v>
      </c>
      <c r="I25" s="41"/>
      <c r="J25" s="67">
        <v>4075.1049686548799</v>
      </c>
      <c r="K25" s="68">
        <v>0.136557062659522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198"/>
      <c r="C26" s="95"/>
      <c r="D26" s="131"/>
      <c r="E26" s="131"/>
      <c r="F26" s="94"/>
      <c r="G26" s="131"/>
      <c r="H26" s="131"/>
      <c r="I26" s="131"/>
      <c r="J26" s="131"/>
      <c r="K26" s="13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97" t="s">
        <v>3</v>
      </c>
      <c r="C27" s="95"/>
      <c r="D27" s="60">
        <v>18988229.972178299</v>
      </c>
      <c r="E27" s="61">
        <v>100</v>
      </c>
      <c r="F27" s="62"/>
      <c r="G27" s="60">
        <v>9003668.7737572193</v>
      </c>
      <c r="H27" s="61">
        <v>100</v>
      </c>
      <c r="I27" s="57"/>
      <c r="J27" s="60">
        <v>9679765.7933887597</v>
      </c>
      <c r="K27" s="61">
        <v>100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198"/>
      <c r="C28" s="95"/>
      <c r="D28" s="67"/>
      <c r="E28" s="68"/>
      <c r="F28" s="62"/>
      <c r="G28" s="67"/>
      <c r="H28" s="68"/>
      <c r="I28" s="57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25" t="s">
        <v>97</v>
      </c>
      <c r="C29" s="91"/>
      <c r="D29" s="67">
        <v>1483221.82809278</v>
      </c>
      <c r="E29" s="68">
        <v>7.5040496146187801</v>
      </c>
      <c r="F29" s="70"/>
      <c r="G29" s="67">
        <v>728878.99071591301</v>
      </c>
      <c r="H29" s="68">
        <v>7.66818459703837</v>
      </c>
      <c r="I29" s="41"/>
      <c r="J29" s="67">
        <v>649474.07657364104</v>
      </c>
      <c r="K29" s="68">
        <v>6.3595429748455503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25" t="s">
        <v>98</v>
      </c>
      <c r="C30" s="95"/>
      <c r="D30" s="67">
        <v>2576520.3925633598</v>
      </c>
      <c r="E30" s="68">
        <v>13.0889788585798</v>
      </c>
      <c r="F30" s="70"/>
      <c r="G30" s="67">
        <v>1273555.0230725701</v>
      </c>
      <c r="H30" s="68">
        <v>13.5913495435197</v>
      </c>
      <c r="I30" s="41"/>
      <c r="J30" s="67">
        <v>1161876.26709777</v>
      </c>
      <c r="K30" s="68">
        <v>11.4505989989261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25" t="s">
        <v>99</v>
      </c>
      <c r="C31" s="95"/>
      <c r="D31" s="67">
        <v>4410431.7386273099</v>
      </c>
      <c r="E31" s="68">
        <v>22.419707191586799</v>
      </c>
      <c r="F31" s="70"/>
      <c r="G31" s="67">
        <v>2117961.64562116</v>
      </c>
      <c r="H31" s="68">
        <v>22.331406258252201</v>
      </c>
      <c r="I31" s="41"/>
      <c r="J31" s="67">
        <v>2141783.72617445</v>
      </c>
      <c r="K31" s="68">
        <v>21.193325043696799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25" t="s">
        <v>100</v>
      </c>
      <c r="C32" s="95"/>
      <c r="D32" s="67">
        <v>9133028.0603009891</v>
      </c>
      <c r="E32" s="68">
        <v>46.749979265379103</v>
      </c>
      <c r="F32" s="70"/>
      <c r="G32" s="67">
        <v>3968894.1470322502</v>
      </c>
      <c r="H32" s="68">
        <v>42.339668954475101</v>
      </c>
      <c r="I32" s="41"/>
      <c r="J32" s="67">
        <v>4961616.4902026104</v>
      </c>
      <c r="K32" s="68">
        <v>49.275197034369803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25" t="s">
        <v>118</v>
      </c>
      <c r="C33" s="127"/>
      <c r="D33" s="67">
        <v>461822.19693007303</v>
      </c>
      <c r="E33" s="68">
        <v>2.33155141796452</v>
      </c>
      <c r="F33" s="70"/>
      <c r="G33" s="67">
        <v>276275.33144345297</v>
      </c>
      <c r="H33" s="68">
        <v>2.91231317285754</v>
      </c>
      <c r="I33" s="41"/>
      <c r="J33" s="67">
        <v>131923.73142944099</v>
      </c>
      <c r="K33" s="68">
        <v>1.2829169520708099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32"/>
      <c r="C34" s="132"/>
      <c r="D34" s="80"/>
      <c r="E34" s="80"/>
      <c r="F34" s="132"/>
      <c r="G34" s="80"/>
      <c r="H34" s="80"/>
      <c r="I34" s="80"/>
      <c r="J34" s="80"/>
      <c r="K34" s="80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6.95" customHeight="1" x14ac:dyDescent="0.25">
      <c r="A35" s="41"/>
      <c r="B35" s="136"/>
      <c r="C35" s="136"/>
      <c r="D35" s="136"/>
      <c r="E35" s="136"/>
      <c r="F35" s="136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2" customHeight="1" x14ac:dyDescent="0.25">
      <c r="A36" s="41"/>
      <c r="B36" s="307" t="s">
        <v>145</v>
      </c>
      <c r="C36" s="307"/>
      <c r="D36" s="307"/>
      <c r="E36" s="307"/>
      <c r="F36" s="307"/>
      <c r="G36" s="307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</sheetData>
  <mergeCells count="6">
    <mergeCell ref="B36:G36"/>
    <mergeCell ref="B7:B9"/>
    <mergeCell ref="D7:E8"/>
    <mergeCell ref="G7:K7"/>
    <mergeCell ref="G8:H8"/>
    <mergeCell ref="J8:K8"/>
  </mergeCells>
  <hyperlinks>
    <hyperlink ref="K1" location="ÍNDICE!A1" tooltip="Ir a ÍNDICE" display="ÍNDICE" xr:uid="{4DE6E519-A2F5-432B-A5E7-0BD96BEB868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08146-61A5-46B9-901C-8C74EF954816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18" t="s">
        <v>189</v>
      </c>
      <c r="C5" s="318"/>
      <c r="D5" s="318"/>
      <c r="E5" s="318"/>
      <c r="F5" s="318"/>
      <c r="G5" s="318"/>
      <c r="H5" s="34"/>
      <c r="I5" s="32"/>
      <c r="J5" s="32"/>
      <c r="K5" s="40" t="s">
        <v>83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68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99"/>
      <c r="C10" s="199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200" t="s">
        <v>1</v>
      </c>
      <c r="C11" s="89"/>
      <c r="D11" s="60">
        <v>53212292.201383904</v>
      </c>
      <c r="E11" s="61">
        <v>100</v>
      </c>
      <c r="F11" s="62"/>
      <c r="G11" s="60">
        <v>26264570.384937</v>
      </c>
      <c r="H11" s="61">
        <v>100</v>
      </c>
      <c r="I11" s="57"/>
      <c r="J11" s="60">
        <v>26326428.950599998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200"/>
      <c r="C12" s="89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s="6" customFormat="1" ht="15" customHeight="1" x14ac:dyDescent="0.25">
      <c r="A13" s="57"/>
      <c r="B13" s="64" t="s">
        <v>113</v>
      </c>
      <c r="C13" s="91"/>
      <c r="D13" s="60">
        <v>50122048.325643003</v>
      </c>
      <c r="E13" s="61">
        <v>93.529506405193899</v>
      </c>
      <c r="F13" s="62"/>
      <c r="G13" s="60">
        <v>24668367.839885201</v>
      </c>
      <c r="H13" s="61">
        <v>93.1564420671383</v>
      </c>
      <c r="I13" s="57"/>
      <c r="J13" s="60">
        <v>24860936.342594001</v>
      </c>
      <c r="K13" s="61">
        <v>93.479438809263499</v>
      </c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</row>
    <row r="14" spans="1:23" ht="6.95" customHeight="1" x14ac:dyDescent="0.25">
      <c r="A14" s="41"/>
      <c r="B14" s="201"/>
      <c r="C14" s="91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202" t="s">
        <v>43</v>
      </c>
      <c r="C15" s="95"/>
      <c r="D15" s="67">
        <v>3516359.4564765701</v>
      </c>
      <c r="E15" s="68">
        <v>6.8461457591222397</v>
      </c>
      <c r="F15" s="70"/>
      <c r="G15" s="67">
        <v>2067248.31826549</v>
      </c>
      <c r="H15" s="68">
        <v>8.1100681486052206</v>
      </c>
      <c r="I15" s="41"/>
      <c r="J15" s="67">
        <v>1293090.2468499399</v>
      </c>
      <c r="K15" s="68">
        <v>5.0271570311334504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03" t="s">
        <v>44</v>
      </c>
      <c r="C16" s="95"/>
      <c r="D16" s="67">
        <v>13046033.3507843</v>
      </c>
      <c r="E16" s="68">
        <v>25.542767321451301</v>
      </c>
      <c r="F16" s="70"/>
      <c r="G16" s="67">
        <v>6111974.4369499702</v>
      </c>
      <c r="H16" s="68">
        <v>24.091997774891201</v>
      </c>
      <c r="I16" s="41"/>
      <c r="J16" s="67">
        <v>6609952.9967021002</v>
      </c>
      <c r="K16" s="68">
        <v>25.982571626951401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03" t="s">
        <v>45</v>
      </c>
      <c r="C17" s="95"/>
      <c r="D17" s="67">
        <v>8465223.8384715803</v>
      </c>
      <c r="E17" s="68">
        <v>16.509084569166099</v>
      </c>
      <c r="F17" s="70"/>
      <c r="G17" s="67">
        <v>3870090.2070553</v>
      </c>
      <c r="H17" s="68">
        <v>15.1788012826167</v>
      </c>
      <c r="I17" s="41"/>
      <c r="J17" s="67">
        <v>4349318.0859362101</v>
      </c>
      <c r="K17" s="68">
        <v>16.925302251776301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03" t="s">
        <v>46</v>
      </c>
      <c r="C18" s="95"/>
      <c r="D18" s="67">
        <v>6439153.5537554901</v>
      </c>
      <c r="E18" s="68">
        <v>12.579170356204701</v>
      </c>
      <c r="F18" s="70"/>
      <c r="G18" s="67">
        <v>2395135.87238567</v>
      </c>
      <c r="H18" s="68">
        <v>9.4005834516787896</v>
      </c>
      <c r="I18" s="41"/>
      <c r="J18" s="67">
        <v>3855330.5440294198</v>
      </c>
      <c r="K18" s="68">
        <v>15.048178327446999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69" t="s">
        <v>114</v>
      </c>
      <c r="C19" s="95"/>
      <c r="D19" s="67">
        <v>2273861.3362704599</v>
      </c>
      <c r="E19" s="68">
        <v>4.4466103185095402</v>
      </c>
      <c r="F19" s="70"/>
      <c r="G19" s="67">
        <v>1109540.2229154599</v>
      </c>
      <c r="H19" s="68">
        <v>4.3466407588785803</v>
      </c>
      <c r="I19" s="41"/>
      <c r="J19" s="67">
        <v>1030345.90775268</v>
      </c>
      <c r="K19" s="68">
        <v>4.0213048523505099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69" t="s">
        <v>47</v>
      </c>
      <c r="C20" s="95"/>
      <c r="D20" s="67">
        <v>14176284.9047847</v>
      </c>
      <c r="E20" s="68">
        <v>27.741354156670699</v>
      </c>
      <c r="F20" s="70"/>
      <c r="G20" s="67">
        <v>7665702.3880576901</v>
      </c>
      <c r="H20" s="68">
        <v>30.258617535266001</v>
      </c>
      <c r="I20" s="41"/>
      <c r="J20" s="67">
        <v>6181571.95536042</v>
      </c>
      <c r="K20" s="68">
        <v>24.175757712184001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201"/>
      <c r="C21" s="91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15" customHeight="1" x14ac:dyDescent="0.25">
      <c r="A22" s="57"/>
      <c r="B22" s="64" t="s">
        <v>115</v>
      </c>
      <c r="C22" s="95"/>
      <c r="D22" s="60">
        <v>2668370.7644550102</v>
      </c>
      <c r="E22" s="61">
        <v>4.9057544360081797</v>
      </c>
      <c r="F22" s="62"/>
      <c r="G22" s="60">
        <v>1325380.20533574</v>
      </c>
      <c r="H22" s="61">
        <v>4.8688126435759704</v>
      </c>
      <c r="I22" s="57"/>
      <c r="J22" s="60">
        <v>1223290.7618932</v>
      </c>
      <c r="K22" s="61">
        <v>4.5200801989959496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204"/>
      <c r="C23" s="95"/>
      <c r="D23" s="131"/>
      <c r="E23" s="131"/>
      <c r="F23" s="94"/>
      <c r="G23" s="205"/>
      <c r="H23" s="131"/>
      <c r="I23" s="131"/>
      <c r="J23" s="131"/>
      <c r="K23" s="13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6" customFormat="1" ht="15" customHeight="1" x14ac:dyDescent="0.25">
      <c r="A24" s="57"/>
      <c r="B24" s="206" t="s">
        <v>2</v>
      </c>
      <c r="C24" s="95"/>
      <c r="D24" s="60">
        <v>14082825.1384091</v>
      </c>
      <c r="E24" s="61">
        <v>100</v>
      </c>
      <c r="F24" s="62"/>
      <c r="G24" s="60">
        <v>7069718.5974771101</v>
      </c>
      <c r="H24" s="61">
        <v>100</v>
      </c>
      <c r="I24" s="57"/>
      <c r="J24" s="60">
        <v>6792807.9209150597</v>
      </c>
      <c r="K24" s="61">
        <v>100</v>
      </c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</row>
    <row r="25" spans="1:23" ht="6.95" customHeight="1" x14ac:dyDescent="0.25">
      <c r="A25" s="41"/>
      <c r="B25" s="207"/>
      <c r="C25" s="95"/>
      <c r="D25" s="67"/>
      <c r="E25" s="68"/>
      <c r="F25" s="62"/>
      <c r="G25" s="67"/>
      <c r="H25" s="68"/>
      <c r="I25" s="57"/>
      <c r="J25" s="67"/>
      <c r="K25" s="68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s="6" customFormat="1" ht="15" customHeight="1" x14ac:dyDescent="0.25">
      <c r="A26" s="57"/>
      <c r="B26" s="64" t="s">
        <v>113</v>
      </c>
      <c r="C26" s="91"/>
      <c r="D26" s="60">
        <v>12886859.4423237</v>
      </c>
      <c r="E26" s="61">
        <v>90.072858750682698</v>
      </c>
      <c r="F26" s="62"/>
      <c r="G26" s="60">
        <v>6408146.5847750902</v>
      </c>
      <c r="H26" s="61">
        <v>89.200502782636505</v>
      </c>
      <c r="I26" s="57"/>
      <c r="J26" s="60">
        <v>6257867.5494297603</v>
      </c>
      <c r="K26" s="61">
        <v>90.294645993810605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ht="6.95" customHeight="1" x14ac:dyDescent="0.25">
      <c r="A27" s="41"/>
      <c r="B27" s="201"/>
      <c r="C27" s="91"/>
      <c r="D27" s="67"/>
      <c r="E27" s="68"/>
      <c r="F27" s="70"/>
      <c r="G27" s="67"/>
      <c r="H27" s="68"/>
      <c r="I27" s="41"/>
      <c r="J27" s="67"/>
      <c r="K27" s="68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02" t="s">
        <v>43</v>
      </c>
      <c r="C28" s="95"/>
      <c r="D28" s="67">
        <v>842970.49247073801</v>
      </c>
      <c r="E28" s="68">
        <v>6.0450932913918498</v>
      </c>
      <c r="F28" s="70"/>
      <c r="G28" s="67">
        <v>436352.12953222002</v>
      </c>
      <c r="H28" s="68">
        <v>6.1642467633011799</v>
      </c>
      <c r="I28" s="41"/>
      <c r="J28" s="67">
        <v>340809.60856999003</v>
      </c>
      <c r="K28" s="68">
        <v>5.01208353212684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03" t="s">
        <v>44</v>
      </c>
      <c r="C29" s="95"/>
      <c r="D29" s="67">
        <v>2654129.4557812898</v>
      </c>
      <c r="E29" s="68">
        <v>19.682572868068501</v>
      </c>
      <c r="F29" s="70"/>
      <c r="G29" s="67">
        <v>1195955.2927087899</v>
      </c>
      <c r="H29" s="68">
        <v>17.558154288983602</v>
      </c>
      <c r="I29" s="41"/>
      <c r="J29" s="67">
        <v>1328625.06554427</v>
      </c>
      <c r="K29" s="68">
        <v>20.1232975727054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03" t="s">
        <v>45</v>
      </c>
      <c r="C30" s="95"/>
      <c r="D30" s="67">
        <v>1148080.1249563401</v>
      </c>
      <c r="E30" s="68">
        <v>8.3573742452836495</v>
      </c>
      <c r="F30" s="70"/>
      <c r="G30" s="67">
        <v>424104.342636752</v>
      </c>
      <c r="H30" s="68">
        <v>6.2103020595091101</v>
      </c>
      <c r="I30" s="41"/>
      <c r="J30" s="67">
        <v>607476.44151267805</v>
      </c>
      <c r="K30" s="68">
        <v>8.9878777963796299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203" t="s">
        <v>46</v>
      </c>
      <c r="C31" s="95"/>
      <c r="D31" s="67">
        <v>607296.59626713698</v>
      </c>
      <c r="E31" s="68">
        <v>4.4779954164213098</v>
      </c>
      <c r="F31" s="70"/>
      <c r="G31" s="67">
        <v>197123.01839826599</v>
      </c>
      <c r="H31" s="68">
        <v>2.9531213490888302</v>
      </c>
      <c r="I31" s="41"/>
      <c r="J31" s="67">
        <v>321730.11264409701</v>
      </c>
      <c r="K31" s="68">
        <v>4.7917263551162401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69" t="s">
        <v>114</v>
      </c>
      <c r="C32" s="95"/>
      <c r="D32" s="67">
        <v>636500.80886491504</v>
      </c>
      <c r="E32" s="68">
        <v>4.5991364323188</v>
      </c>
      <c r="F32" s="70"/>
      <c r="G32" s="67">
        <v>311282.22917727497</v>
      </c>
      <c r="H32" s="68">
        <v>4.3517606313146597</v>
      </c>
      <c r="I32" s="41"/>
      <c r="J32" s="67">
        <v>267953.82008228201</v>
      </c>
      <c r="K32" s="68">
        <v>3.8570781165247401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69" t="s">
        <v>47</v>
      </c>
      <c r="C33" s="95"/>
      <c r="D33" s="67">
        <v>6063329.8608652996</v>
      </c>
      <c r="E33" s="68">
        <v>44.253710371927802</v>
      </c>
      <c r="F33" s="70"/>
      <c r="G33" s="67">
        <v>3207750.22508437</v>
      </c>
      <c r="H33" s="68">
        <v>46.739326254585599</v>
      </c>
      <c r="I33" s="41"/>
      <c r="J33" s="67">
        <v>2668016.98827171</v>
      </c>
      <c r="K33" s="68">
        <v>39.376019063799703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201"/>
      <c r="C34" s="91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15" customHeight="1" x14ac:dyDescent="0.25">
      <c r="A35" s="57"/>
      <c r="B35" s="64" t="s">
        <v>115</v>
      </c>
      <c r="C35" s="95"/>
      <c r="D35" s="60">
        <v>937834.80690308905</v>
      </c>
      <c r="E35" s="61">
        <v>6.1486815416746703</v>
      </c>
      <c r="F35" s="62"/>
      <c r="G35" s="60">
        <v>509696.85306220799</v>
      </c>
      <c r="H35" s="61">
        <v>6.5161048939322503</v>
      </c>
      <c r="I35" s="57"/>
      <c r="J35" s="60">
        <v>378353.13272672403</v>
      </c>
      <c r="K35" s="61">
        <v>5.0829076916144196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ht="6.95" customHeight="1" x14ac:dyDescent="0.25">
      <c r="A36" s="41"/>
      <c r="B36" s="207"/>
      <c r="C36" s="95"/>
      <c r="D36" s="131"/>
      <c r="E36" s="131"/>
      <c r="F36" s="94"/>
      <c r="G36" s="205"/>
      <c r="H36" s="131"/>
      <c r="I36" s="131"/>
      <c r="J36" s="131"/>
      <c r="K36" s="13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206" t="s">
        <v>3</v>
      </c>
      <c r="C37" s="95"/>
      <c r="D37" s="60">
        <v>37721646.714671902</v>
      </c>
      <c r="E37" s="61">
        <v>100</v>
      </c>
      <c r="F37" s="62"/>
      <c r="G37" s="60">
        <v>18449035.518207699</v>
      </c>
      <c r="H37" s="61">
        <v>100</v>
      </c>
      <c r="I37" s="57"/>
      <c r="J37" s="60">
        <v>18831115.855787199</v>
      </c>
      <c r="K37" s="61">
        <v>100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207"/>
      <c r="C38" s="95"/>
      <c r="D38" s="67"/>
      <c r="E38" s="68"/>
      <c r="F38" s="62"/>
      <c r="G38" s="67"/>
      <c r="H38" s="68"/>
      <c r="I38" s="57"/>
      <c r="J38" s="67"/>
      <c r="K38" s="68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64" t="s">
        <v>113</v>
      </c>
      <c r="C39" s="91"/>
      <c r="D39" s="60">
        <v>35917454.919537097</v>
      </c>
      <c r="E39" s="61">
        <v>94.426403315957302</v>
      </c>
      <c r="F39" s="62"/>
      <c r="G39" s="60">
        <v>17559556.436877001</v>
      </c>
      <c r="H39" s="61">
        <v>94.178616012590098</v>
      </c>
      <c r="I39" s="57"/>
      <c r="J39" s="60">
        <v>17936959.437584002</v>
      </c>
      <c r="K39" s="61">
        <v>94.125094836436304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01"/>
      <c r="C40" s="91"/>
      <c r="D40" s="67"/>
      <c r="E40" s="68"/>
      <c r="F40" s="70"/>
      <c r="G40" s="67"/>
      <c r="H40" s="68"/>
      <c r="I40" s="41"/>
      <c r="J40" s="67"/>
      <c r="K40" s="68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202" t="s">
        <v>43</v>
      </c>
      <c r="C41" s="95"/>
      <c r="D41" s="67">
        <v>2477053.0383125902</v>
      </c>
      <c r="E41" s="68">
        <v>6.6829069978235802</v>
      </c>
      <c r="F41" s="70"/>
      <c r="G41" s="67">
        <v>1511067.1949763501</v>
      </c>
      <c r="H41" s="68">
        <v>8.2768588490545696</v>
      </c>
      <c r="I41" s="41"/>
      <c r="J41" s="67">
        <v>836776.39002848603</v>
      </c>
      <c r="K41" s="68">
        <v>4.4653060558680799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203" t="s">
        <v>44</v>
      </c>
      <c r="C42" s="95"/>
      <c r="D42" s="67">
        <v>9938575.2282524202</v>
      </c>
      <c r="E42" s="68">
        <v>26.91294462199</v>
      </c>
      <c r="F42" s="70"/>
      <c r="G42" s="67">
        <v>4651484.9584092395</v>
      </c>
      <c r="H42" s="68">
        <v>25.545726951341699</v>
      </c>
      <c r="I42" s="41"/>
      <c r="J42" s="67">
        <v>4997029.6091180705</v>
      </c>
      <c r="K42" s="68">
        <v>27.013882335756101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203" t="s">
        <v>45</v>
      </c>
      <c r="C43" s="95"/>
      <c r="D43" s="67">
        <v>7045423.0821020696</v>
      </c>
      <c r="E43" s="68">
        <v>19.0266945649349</v>
      </c>
      <c r="F43" s="70"/>
      <c r="G43" s="67">
        <v>3306294.3271230501</v>
      </c>
      <c r="H43" s="68">
        <v>17.979343206395999</v>
      </c>
      <c r="I43" s="41"/>
      <c r="J43" s="67">
        <v>3551123.2861225801</v>
      </c>
      <c r="K43" s="68">
        <v>19.017811863521001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x14ac:dyDescent="0.25">
      <c r="A44" s="41"/>
      <c r="B44" s="203" t="s">
        <v>46</v>
      </c>
      <c r="C44" s="95"/>
      <c r="D44" s="67">
        <v>5657568.0297854096</v>
      </c>
      <c r="E44" s="68">
        <v>15.2097702827913</v>
      </c>
      <c r="F44" s="70"/>
      <c r="G44" s="67">
        <v>2078270.17383897</v>
      </c>
      <c r="H44" s="68">
        <v>11.229577793941999</v>
      </c>
      <c r="I44" s="41"/>
      <c r="J44" s="67">
        <v>3419098.5107289101</v>
      </c>
      <c r="K44" s="68">
        <v>18.3333352450964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69" t="s">
        <v>114</v>
      </c>
      <c r="C45" s="95"/>
      <c r="D45" s="67">
        <v>1486827.46921797</v>
      </c>
      <c r="E45" s="68">
        <v>4.0291284194811796</v>
      </c>
      <c r="F45" s="70"/>
      <c r="G45" s="67">
        <v>706739.40939888905</v>
      </c>
      <c r="H45" s="68">
        <v>3.8691122393656898</v>
      </c>
      <c r="I45" s="41"/>
      <c r="J45" s="67">
        <v>663926.38480694999</v>
      </c>
      <c r="K45" s="68">
        <v>3.5801384424846798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69" t="s">
        <v>47</v>
      </c>
      <c r="C46" s="95"/>
      <c r="D46" s="67">
        <v>7562511.1946804002</v>
      </c>
      <c r="E46" s="68">
        <v>20.590973142922099</v>
      </c>
      <c r="F46" s="70"/>
      <c r="G46" s="67">
        <v>4101729.4876935799</v>
      </c>
      <c r="H46" s="68">
        <v>22.689360888900499</v>
      </c>
      <c r="I46" s="41"/>
      <c r="J46" s="67">
        <v>3234750.58449614</v>
      </c>
      <c r="K46" s="68">
        <v>17.445441553472001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201"/>
      <c r="C47" s="91"/>
      <c r="D47" s="67"/>
      <c r="E47" s="68"/>
      <c r="F47" s="70"/>
      <c r="G47" s="67"/>
      <c r="H47" s="68"/>
      <c r="I47" s="41"/>
      <c r="J47" s="67"/>
      <c r="K47" s="6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15" customHeight="1" x14ac:dyDescent="0.25">
      <c r="A48" s="57"/>
      <c r="B48" s="64" t="s">
        <v>115</v>
      </c>
      <c r="C48" s="95"/>
      <c r="D48" s="60">
        <v>1536853.70319356</v>
      </c>
      <c r="E48" s="61">
        <v>3.9580122046969501</v>
      </c>
      <c r="F48" s="62"/>
      <c r="G48" s="60">
        <v>698885.42161091196</v>
      </c>
      <c r="H48" s="61">
        <v>3.6308819086622699</v>
      </c>
      <c r="I48" s="57"/>
      <c r="J48" s="60">
        <v>725914.51373872999</v>
      </c>
      <c r="K48" s="61">
        <v>3.7347107696897899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208"/>
      <c r="C49" s="209"/>
      <c r="D49" s="80"/>
      <c r="E49" s="80"/>
      <c r="F49" s="209"/>
      <c r="G49" s="209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210"/>
      <c r="C50" s="211"/>
      <c r="D50" s="211"/>
      <c r="E50" s="211"/>
      <c r="F50" s="211"/>
      <c r="G50" s="21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212" t="s">
        <v>116</v>
      </c>
      <c r="C51" s="213"/>
      <c r="D51" s="213"/>
      <c r="E51" s="213"/>
      <c r="F51" s="213"/>
      <c r="G51" s="21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212" t="s">
        <v>117</v>
      </c>
      <c r="C52" s="213"/>
      <c r="D52" s="213"/>
      <c r="E52" s="213"/>
      <c r="F52" s="213"/>
      <c r="G52" s="213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2" customHeight="1" x14ac:dyDescent="0.25">
      <c r="A53" s="41"/>
      <c r="B53" s="307" t="s">
        <v>145</v>
      </c>
      <c r="C53" s="307"/>
      <c r="D53" s="307"/>
      <c r="E53" s="307"/>
      <c r="F53" s="307"/>
      <c r="G53" s="307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B9681B1C-E104-4146-9604-34779B90198B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3C95D-59B1-427D-8F1C-A419AB45B178}">
  <dimension ref="A1:W34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79" t="s">
        <v>206</v>
      </c>
      <c r="C5" s="37"/>
      <c r="D5" s="39"/>
      <c r="E5" s="39"/>
      <c r="F5" s="39"/>
      <c r="G5" s="38"/>
      <c r="H5" s="34"/>
      <c r="I5" s="32"/>
      <c r="J5" s="32"/>
      <c r="K5" s="40" t="s">
        <v>82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9" t="s">
        <v>207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20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21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280" t="s">
        <v>1</v>
      </c>
      <c r="C11" s="95"/>
      <c r="D11" s="60">
        <v>85074250.450445905</v>
      </c>
      <c r="E11" s="61">
        <v>100</v>
      </c>
      <c r="F11" s="62"/>
      <c r="G11" s="60">
        <v>45189093.536525302</v>
      </c>
      <c r="H11" s="61">
        <v>100</v>
      </c>
      <c r="I11" s="57"/>
      <c r="J11" s="60">
        <v>38949471.211108603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280"/>
      <c r="C12" s="95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81" t="s">
        <v>208</v>
      </c>
      <c r="C13" s="91"/>
      <c r="D13" s="67">
        <v>53212292.201383904</v>
      </c>
      <c r="E13" s="68">
        <v>61.809769726475501</v>
      </c>
      <c r="F13" s="70"/>
      <c r="G13" s="67">
        <v>26264570.384937</v>
      </c>
      <c r="H13" s="68">
        <v>57.102050914204398</v>
      </c>
      <c r="I13" s="41"/>
      <c r="J13" s="67">
        <v>26326428.950599998</v>
      </c>
      <c r="K13" s="68">
        <v>66.442135194174696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281" t="s">
        <v>209</v>
      </c>
      <c r="C14" s="95"/>
      <c r="D14" s="67">
        <v>30857200.954469901</v>
      </c>
      <c r="E14" s="68">
        <v>35.846867053406797</v>
      </c>
      <c r="F14" s="70"/>
      <c r="G14" s="67">
        <v>18301722.629319001</v>
      </c>
      <c r="H14" s="68">
        <v>39.840618204775197</v>
      </c>
      <c r="I14" s="41"/>
      <c r="J14" s="67">
        <v>12063398.7981801</v>
      </c>
      <c r="K14" s="68">
        <v>30.399591253926602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282" t="s">
        <v>210</v>
      </c>
      <c r="C15" s="95"/>
      <c r="D15" s="67">
        <v>21162913.981818601</v>
      </c>
      <c r="E15" s="68">
        <v>67.6005487460192</v>
      </c>
      <c r="F15" s="70"/>
      <c r="G15" s="67">
        <v>12711239.358704699</v>
      </c>
      <c r="H15" s="68">
        <v>68.094370262348704</v>
      </c>
      <c r="I15" s="41"/>
      <c r="J15" s="67">
        <v>8048171.6765838396</v>
      </c>
      <c r="K15" s="68">
        <v>65.1337091653063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82" t="s">
        <v>211</v>
      </c>
      <c r="C16" s="95"/>
      <c r="D16" s="67">
        <v>9246156.9976985194</v>
      </c>
      <c r="E16" s="68">
        <v>29.077622590542902</v>
      </c>
      <c r="F16" s="70"/>
      <c r="G16" s="67">
        <v>5262958.6198395602</v>
      </c>
      <c r="H16" s="68">
        <v>27.749911777762598</v>
      </c>
      <c r="I16" s="41"/>
      <c r="J16" s="67">
        <v>3712324.2864420498</v>
      </c>
      <c r="K16" s="68">
        <v>29.340427885246701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6.95" customHeight="1" x14ac:dyDescent="0.25">
      <c r="A17" s="41"/>
      <c r="B17" s="280"/>
      <c r="C17" s="214"/>
      <c r="D17" s="152"/>
      <c r="E17" s="152"/>
      <c r="F17" s="215"/>
      <c r="G17" s="215"/>
      <c r="H17" s="152"/>
      <c r="I17" s="152"/>
      <c r="J17" s="152"/>
      <c r="K17" s="152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83" t="s">
        <v>2</v>
      </c>
      <c r="C18" s="95"/>
      <c r="D18" s="60">
        <v>27919808.370060898</v>
      </c>
      <c r="E18" s="61">
        <v>100</v>
      </c>
      <c r="F18" s="62"/>
      <c r="G18" s="60">
        <v>15147712.0036007</v>
      </c>
      <c r="H18" s="61">
        <v>100</v>
      </c>
      <c r="I18" s="57"/>
      <c r="J18" s="60">
        <v>12466861.324348001</v>
      </c>
      <c r="K18" s="61">
        <v>100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280"/>
      <c r="C19" s="95"/>
      <c r="D19" s="67"/>
      <c r="E19" s="68"/>
      <c r="F19" s="70"/>
      <c r="G19" s="67"/>
      <c r="H19" s="68"/>
      <c r="I19" s="41"/>
      <c r="J19" s="67"/>
      <c r="K19" s="68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281" t="s">
        <v>208</v>
      </c>
      <c r="C20" s="95"/>
      <c r="D20" s="67">
        <v>14082825.1384091</v>
      </c>
      <c r="E20" s="68">
        <v>49.195830249042402</v>
      </c>
      <c r="F20" s="70"/>
      <c r="G20" s="67">
        <v>7069718.5974771101</v>
      </c>
      <c r="H20" s="68">
        <v>45.025964242808797</v>
      </c>
      <c r="I20" s="41"/>
      <c r="J20" s="67">
        <v>6792807.9209150597</v>
      </c>
      <c r="K20" s="68">
        <v>52.7916604068933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281" t="s">
        <v>209</v>
      </c>
      <c r="C21" s="95"/>
      <c r="D21" s="67">
        <v>13430429.3419747</v>
      </c>
      <c r="E21" s="68">
        <v>46.327972700521201</v>
      </c>
      <c r="F21" s="70"/>
      <c r="G21" s="67">
        <v>7753842.7640117798</v>
      </c>
      <c r="H21" s="68">
        <v>49.209096761140898</v>
      </c>
      <c r="I21" s="41"/>
      <c r="J21" s="67">
        <v>5415565.1841906803</v>
      </c>
      <c r="K21" s="68">
        <v>41.411662063527402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282" t="s">
        <v>210</v>
      </c>
      <c r="C22" s="95"/>
      <c r="D22" s="67">
        <v>9628603.8459430803</v>
      </c>
      <c r="E22" s="68">
        <v>70.079469596257894</v>
      </c>
      <c r="F22" s="70"/>
      <c r="G22" s="67">
        <v>5587113.3373457603</v>
      </c>
      <c r="H22" s="68">
        <v>69.866872173183395</v>
      </c>
      <c r="I22" s="41"/>
      <c r="J22" s="67">
        <v>3813055.6222103299</v>
      </c>
      <c r="K22" s="68">
        <v>68.1266495503111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282" t="s">
        <v>211</v>
      </c>
      <c r="C23" s="95"/>
      <c r="D23" s="67">
        <v>3549350.2585468702</v>
      </c>
      <c r="E23" s="68">
        <v>25.007802083764901</v>
      </c>
      <c r="F23" s="70"/>
      <c r="G23" s="67">
        <v>1986207.94524436</v>
      </c>
      <c r="H23" s="68">
        <v>24.1179077978259</v>
      </c>
      <c r="I23" s="41"/>
      <c r="J23" s="67">
        <v>1409448.38951981</v>
      </c>
      <c r="K23" s="68">
        <v>24.016225540293199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280"/>
      <c r="C24" s="216"/>
      <c r="D24" s="152"/>
      <c r="E24" s="152"/>
      <c r="F24" s="215"/>
      <c r="G24" s="215"/>
      <c r="H24" s="152"/>
      <c r="I24" s="152"/>
      <c r="J24" s="152"/>
      <c r="K24" s="152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83" t="s">
        <v>3</v>
      </c>
      <c r="C25" s="95"/>
      <c r="D25" s="60">
        <v>54724471.783623897</v>
      </c>
      <c r="E25" s="61">
        <v>100</v>
      </c>
      <c r="F25" s="62"/>
      <c r="G25" s="60">
        <v>28733115.775626201</v>
      </c>
      <c r="H25" s="61">
        <v>100</v>
      </c>
      <c r="I25" s="57"/>
      <c r="J25" s="60">
        <v>25428611.494824</v>
      </c>
      <c r="K25" s="61">
        <v>100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280"/>
      <c r="C26" s="95"/>
      <c r="D26" s="67"/>
      <c r="E26" s="68"/>
      <c r="F26" s="70"/>
      <c r="G26" s="67"/>
      <c r="H26" s="68"/>
      <c r="I26" s="41"/>
      <c r="J26" s="67"/>
      <c r="K26" s="68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281" t="s">
        <v>208</v>
      </c>
      <c r="C27" s="95"/>
      <c r="D27" s="67">
        <v>37721646.714671902</v>
      </c>
      <c r="E27" s="68">
        <v>67.674446035470595</v>
      </c>
      <c r="F27" s="70"/>
      <c r="G27" s="67">
        <v>18449035.518207699</v>
      </c>
      <c r="H27" s="68">
        <v>62.624700101706601</v>
      </c>
      <c r="I27" s="41"/>
      <c r="J27" s="67">
        <v>18831115.855787199</v>
      </c>
      <c r="K27" s="68">
        <v>72.407395914615094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81" t="s">
        <v>209</v>
      </c>
      <c r="C28" s="95"/>
      <c r="D28" s="67">
        <v>16454339.7861904</v>
      </c>
      <c r="E28" s="68">
        <v>29.538514913968001</v>
      </c>
      <c r="F28" s="70"/>
      <c r="G28" s="67">
        <v>9910007.6295537706</v>
      </c>
      <c r="H28" s="68">
        <v>33.7270960375252</v>
      </c>
      <c r="I28" s="41"/>
      <c r="J28" s="67">
        <v>6206042.89318207</v>
      </c>
      <c r="K28" s="68">
        <v>23.799825630589599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82" t="s">
        <v>210</v>
      </c>
      <c r="C29" s="95"/>
      <c r="D29" s="67">
        <v>10824700.952947499</v>
      </c>
      <c r="E29" s="68">
        <v>64.257192628386207</v>
      </c>
      <c r="F29" s="70"/>
      <c r="G29" s="67">
        <v>6644903.10890166</v>
      </c>
      <c r="H29" s="68">
        <v>65.082514242282599</v>
      </c>
      <c r="I29" s="41"/>
      <c r="J29" s="67">
        <v>3897097.6046727798</v>
      </c>
      <c r="K29" s="68">
        <v>60.481763752610497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82" t="s">
        <v>211</v>
      </c>
      <c r="C30" s="95"/>
      <c r="D30" s="67">
        <v>5342561.7780249296</v>
      </c>
      <c r="E30" s="68">
        <v>31.153802997259699</v>
      </c>
      <c r="F30" s="70"/>
      <c r="G30" s="67">
        <v>3028135.3515629899</v>
      </c>
      <c r="H30" s="68">
        <v>29.035022901852798</v>
      </c>
      <c r="I30" s="41"/>
      <c r="J30" s="67">
        <v>2113990.2708334499</v>
      </c>
      <c r="K30" s="68">
        <v>31.995367265555299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6.95" customHeight="1" x14ac:dyDescent="0.25">
      <c r="A31" s="41"/>
      <c r="B31" s="217"/>
      <c r="C31" s="218"/>
      <c r="D31" s="80"/>
      <c r="E31" s="80"/>
      <c r="F31" s="219"/>
      <c r="G31" s="217"/>
      <c r="H31" s="80"/>
      <c r="I31" s="80"/>
      <c r="J31" s="80"/>
      <c r="K31" s="80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6.95" customHeight="1" x14ac:dyDescent="0.25">
      <c r="A32" s="41"/>
      <c r="B32" s="220"/>
      <c r="C32" s="221"/>
      <c r="D32" s="222"/>
      <c r="E32" s="222"/>
      <c r="F32" s="222"/>
      <c r="G32" s="220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s="4" customFormat="1" ht="12" customHeight="1" x14ac:dyDescent="0.2">
      <c r="A33" s="99"/>
      <c r="B33" s="106" t="s">
        <v>101</v>
      </c>
      <c r="C33" s="223"/>
      <c r="D33" s="224"/>
      <c r="E33" s="224"/>
      <c r="F33" s="224"/>
      <c r="G33" s="224"/>
      <c r="H33" s="99"/>
      <c r="I33" s="99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</row>
    <row r="34" spans="1:23" ht="12" customHeight="1" x14ac:dyDescent="0.25">
      <c r="A34" s="41"/>
      <c r="B34" s="307" t="s">
        <v>145</v>
      </c>
      <c r="C34" s="307"/>
      <c r="D34" s="307"/>
      <c r="E34" s="307"/>
      <c r="F34" s="307"/>
      <c r="G34" s="307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</sheetData>
  <mergeCells count="6">
    <mergeCell ref="B34:G34"/>
    <mergeCell ref="B7:B9"/>
    <mergeCell ref="D7:E8"/>
    <mergeCell ref="G7:K7"/>
    <mergeCell ref="G8:H8"/>
    <mergeCell ref="J8:K8"/>
  </mergeCells>
  <hyperlinks>
    <hyperlink ref="K1" location="ÍNDICE!A1" tooltip="Ir a ÍNDICE" display="ÍNDICE" xr:uid="{8B443523-A15D-4CAA-9901-BA436E07913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5822-B06E-4DC7-9E13-66E146A29D4F}">
  <dimension ref="A1:W53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2" t="s">
        <v>191</v>
      </c>
      <c r="C5" s="322"/>
      <c r="D5" s="322"/>
      <c r="E5" s="322"/>
      <c r="F5" s="322"/>
      <c r="G5" s="322"/>
      <c r="H5" s="34"/>
      <c r="I5" s="32"/>
      <c r="J5" s="32"/>
      <c r="K5" s="40" t="s">
        <v>81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69</v>
      </c>
      <c r="C7" s="42"/>
      <c r="D7" s="308" t="s">
        <v>182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140"/>
      <c r="C10" s="140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39" t="s">
        <v>1</v>
      </c>
      <c r="C11" s="225"/>
      <c r="D11" s="60">
        <v>53212292.201383904</v>
      </c>
      <c r="E11" s="61">
        <v>100</v>
      </c>
      <c r="F11" s="62"/>
      <c r="G11" s="60">
        <v>26264570.384937</v>
      </c>
      <c r="H11" s="61">
        <v>100</v>
      </c>
      <c r="I11" s="57"/>
      <c r="J11" s="60">
        <v>26326428.950599998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39"/>
      <c r="C12" s="225"/>
      <c r="D12" s="67"/>
      <c r="E12" s="68"/>
      <c r="F12" s="62"/>
      <c r="G12" s="67"/>
      <c r="H12" s="68"/>
      <c r="I12" s="57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30" customHeight="1" x14ac:dyDescent="0.25">
      <c r="A13" s="41"/>
      <c r="B13" s="226" t="s">
        <v>151</v>
      </c>
      <c r="C13" s="227"/>
      <c r="D13" s="60">
        <v>9444683.2752999701</v>
      </c>
      <c r="E13" s="61">
        <v>17.405051975246501</v>
      </c>
      <c r="F13" s="62"/>
      <c r="G13" s="60">
        <v>3751955.5970597002</v>
      </c>
      <c r="H13" s="61">
        <v>13.852882634911801</v>
      </c>
      <c r="I13" s="57"/>
      <c r="J13" s="60">
        <v>5466607.9464755403</v>
      </c>
      <c r="K13" s="61">
        <v>20.234943958726198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6.95" customHeight="1" x14ac:dyDescent="0.25">
      <c r="A14" s="41"/>
      <c r="B14" s="149"/>
      <c r="C14" s="227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162" t="s">
        <v>50</v>
      </c>
      <c r="C15" s="227"/>
      <c r="D15" s="67">
        <v>7981086.7495508296</v>
      </c>
      <c r="E15" s="68">
        <v>82.7084490057767</v>
      </c>
      <c r="F15" s="70"/>
      <c r="G15" s="67">
        <v>3092109.5234517599</v>
      </c>
      <c r="H15" s="68">
        <v>79.704015049592101</v>
      </c>
      <c r="I15" s="41"/>
      <c r="J15" s="67">
        <v>4679859.0045632301</v>
      </c>
      <c r="K15" s="68">
        <v>83.545465346386294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62" t="s">
        <v>51</v>
      </c>
      <c r="C16" s="227"/>
      <c r="D16" s="67">
        <v>4465542.7898840299</v>
      </c>
      <c r="E16" s="68">
        <v>45.431112134165602</v>
      </c>
      <c r="F16" s="70"/>
      <c r="G16" s="67">
        <v>1967299.5230628999</v>
      </c>
      <c r="H16" s="68">
        <v>49.330525219809203</v>
      </c>
      <c r="I16" s="41"/>
      <c r="J16" s="67">
        <v>2337131.1329260999</v>
      </c>
      <c r="K16" s="68">
        <v>40.514256421299301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30" customHeight="1" x14ac:dyDescent="0.25">
      <c r="A17" s="41"/>
      <c r="B17" s="162" t="s">
        <v>149</v>
      </c>
      <c r="C17" s="227"/>
      <c r="D17" s="67">
        <v>2068057.85868275</v>
      </c>
      <c r="E17" s="68">
        <v>20.501254640167001</v>
      </c>
      <c r="F17" s="70"/>
      <c r="G17" s="67">
        <v>610776.22139626194</v>
      </c>
      <c r="H17" s="68">
        <v>15.059584272772399</v>
      </c>
      <c r="I17" s="41"/>
      <c r="J17" s="67">
        <v>1352046.25226575</v>
      </c>
      <c r="K17" s="68">
        <v>22.752750854288902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30" customHeight="1" x14ac:dyDescent="0.25">
      <c r="A18" s="41"/>
      <c r="B18" s="162" t="s">
        <v>48</v>
      </c>
      <c r="C18" s="227"/>
      <c r="D18" s="67">
        <v>2251654.0888341302</v>
      </c>
      <c r="E18" s="68">
        <v>22.6339386593672</v>
      </c>
      <c r="F18" s="70"/>
      <c r="G18" s="67">
        <v>693835.37266866397</v>
      </c>
      <c r="H18" s="68">
        <v>17.177661173801599</v>
      </c>
      <c r="I18" s="41"/>
      <c r="J18" s="67">
        <v>1441368.5449149599</v>
      </c>
      <c r="K18" s="68">
        <v>24.609031771937701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62" t="s">
        <v>49</v>
      </c>
      <c r="C19" s="227"/>
      <c r="D19" s="67">
        <v>1132390.71296924</v>
      </c>
      <c r="E19" s="68">
        <v>11.222042215358501</v>
      </c>
      <c r="F19" s="70"/>
      <c r="G19" s="67">
        <v>372549.03232496401</v>
      </c>
      <c r="H19" s="68">
        <v>9.1173004670453697</v>
      </c>
      <c r="I19" s="41"/>
      <c r="J19" s="67">
        <v>687451.56143323495</v>
      </c>
      <c r="K19" s="68">
        <v>11.4989246731849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62" t="s">
        <v>159</v>
      </c>
      <c r="C20" s="227"/>
      <c r="D20" s="67">
        <v>751027.38111978804</v>
      </c>
      <c r="E20" s="68">
        <v>7.4681868650309999</v>
      </c>
      <c r="F20" s="70"/>
      <c r="G20" s="67">
        <v>141876.02764959901</v>
      </c>
      <c r="H20" s="68">
        <v>3.4523356989812002</v>
      </c>
      <c r="I20" s="41"/>
      <c r="J20" s="67">
        <v>559050.46830567904</v>
      </c>
      <c r="K20" s="68">
        <v>9.4511338885828593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162"/>
      <c r="C21" s="227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s="6" customFormat="1" ht="30" customHeight="1" x14ac:dyDescent="0.25">
      <c r="A22" s="57"/>
      <c r="B22" s="226" t="s">
        <v>150</v>
      </c>
      <c r="C22" s="227"/>
      <c r="D22" s="60">
        <v>43162223.159629203</v>
      </c>
      <c r="E22" s="61">
        <v>80.249253473814605</v>
      </c>
      <c r="F22" s="62"/>
      <c r="G22" s="60">
        <v>22191574.250697099</v>
      </c>
      <c r="H22" s="61">
        <v>83.510695273523893</v>
      </c>
      <c r="I22" s="57"/>
      <c r="J22" s="60">
        <v>20427350.335244901</v>
      </c>
      <c r="K22" s="61">
        <v>76.275992327217594</v>
      </c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</row>
    <row r="23" spans="1:23" ht="6.95" customHeight="1" x14ac:dyDescent="0.25">
      <c r="A23" s="41"/>
      <c r="B23" s="228"/>
      <c r="C23" s="227"/>
      <c r="D23" s="131"/>
      <c r="E23" s="131"/>
      <c r="F23" s="229"/>
      <c r="G23" s="131"/>
      <c r="H23" s="131"/>
      <c r="I23" s="131"/>
      <c r="J23" s="131"/>
      <c r="K23" s="13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s="5" customFormat="1" ht="15" customHeight="1" x14ac:dyDescent="0.25">
      <c r="A24" s="143"/>
      <c r="B24" s="230" t="s">
        <v>2</v>
      </c>
      <c r="C24" s="231"/>
      <c r="D24" s="60">
        <v>14082825.1384091</v>
      </c>
      <c r="E24" s="61">
        <v>100</v>
      </c>
      <c r="F24" s="62"/>
      <c r="G24" s="60">
        <v>7069718.5974771101</v>
      </c>
      <c r="H24" s="61">
        <v>100</v>
      </c>
      <c r="I24" s="57"/>
      <c r="J24" s="60">
        <v>6792807.9209150597</v>
      </c>
      <c r="K24" s="61">
        <v>100</v>
      </c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</row>
    <row r="25" spans="1:23" s="5" customFormat="1" ht="6.95" customHeight="1" x14ac:dyDescent="0.25">
      <c r="A25" s="143"/>
      <c r="B25" s="232"/>
      <c r="C25" s="231"/>
      <c r="D25" s="67"/>
      <c r="E25" s="68"/>
      <c r="F25" s="62"/>
      <c r="G25" s="67"/>
      <c r="H25" s="68"/>
      <c r="I25" s="57"/>
      <c r="J25" s="67"/>
      <c r="K25" s="68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</row>
    <row r="26" spans="1:23" s="6" customFormat="1" ht="30" customHeight="1" x14ac:dyDescent="0.25">
      <c r="A26" s="57"/>
      <c r="B26" s="226" t="s">
        <v>151</v>
      </c>
      <c r="C26" s="227"/>
      <c r="D26" s="60">
        <v>1490413.44465683</v>
      </c>
      <c r="E26" s="61">
        <v>9.9882077883716196</v>
      </c>
      <c r="F26" s="62"/>
      <c r="G26" s="60">
        <v>553494.63523351704</v>
      </c>
      <c r="H26" s="61">
        <v>7.2898609536502397</v>
      </c>
      <c r="I26" s="57"/>
      <c r="J26" s="60">
        <v>861202.58930731297</v>
      </c>
      <c r="K26" s="61">
        <v>11.8590306992519</v>
      </c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</row>
    <row r="27" spans="1:23" s="6" customFormat="1" ht="6.95" customHeight="1" x14ac:dyDescent="0.25">
      <c r="A27" s="57"/>
      <c r="B27" s="149"/>
      <c r="C27" s="227"/>
      <c r="D27" s="67"/>
      <c r="E27" s="68"/>
      <c r="F27" s="70"/>
      <c r="G27" s="67"/>
      <c r="H27" s="68"/>
      <c r="I27" s="41"/>
      <c r="J27" s="67"/>
      <c r="K27" s="68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30" customHeight="1" x14ac:dyDescent="0.25">
      <c r="A28" s="41"/>
      <c r="B28" s="162" t="s">
        <v>50</v>
      </c>
      <c r="C28" s="227"/>
      <c r="D28" s="67">
        <v>1228448.04447013</v>
      </c>
      <c r="E28" s="68">
        <v>76.452076881165993</v>
      </c>
      <c r="F28" s="70"/>
      <c r="G28" s="67">
        <v>424642.822430612</v>
      </c>
      <c r="H28" s="68">
        <v>68.028694578795196</v>
      </c>
      <c r="I28" s="41"/>
      <c r="J28" s="67">
        <v>741639.31541926297</v>
      </c>
      <c r="K28" s="68">
        <v>79.2169871110152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62" t="s">
        <v>51</v>
      </c>
      <c r="C29" s="227"/>
      <c r="D29" s="67">
        <v>664319.23609197605</v>
      </c>
      <c r="E29" s="68">
        <v>38.690444179567102</v>
      </c>
      <c r="F29" s="70"/>
      <c r="G29" s="67">
        <v>319432.46293552697</v>
      </c>
      <c r="H29" s="68">
        <v>53.172232635600302</v>
      </c>
      <c r="I29" s="41"/>
      <c r="J29" s="67">
        <v>280127.30876111903</v>
      </c>
      <c r="K29" s="68">
        <v>26.184759734385999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30" customHeight="1" x14ac:dyDescent="0.25">
      <c r="A30" s="41"/>
      <c r="B30" s="162" t="s">
        <v>149</v>
      </c>
      <c r="C30" s="227"/>
      <c r="D30" s="67">
        <v>262178.114806536</v>
      </c>
      <c r="E30" s="68">
        <v>13.9618226520259</v>
      </c>
      <c r="F30" s="70"/>
      <c r="G30" s="67">
        <v>31369.4059470096</v>
      </c>
      <c r="H30" s="68">
        <v>4.6756003817691401</v>
      </c>
      <c r="I30" s="41"/>
      <c r="J30" s="67">
        <v>201245.04624292199</v>
      </c>
      <c r="K30" s="68">
        <v>17.258256275273901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30" customHeight="1" x14ac:dyDescent="0.25">
      <c r="A31" s="41"/>
      <c r="B31" s="162" t="s">
        <v>48</v>
      </c>
      <c r="C31" s="227"/>
      <c r="D31" s="67">
        <v>326932.167335051</v>
      </c>
      <c r="E31" s="68">
        <v>18.298084185274199</v>
      </c>
      <c r="F31" s="70"/>
      <c r="G31" s="67">
        <v>83690.069451503907</v>
      </c>
      <c r="H31" s="68">
        <v>12.229628345243601</v>
      </c>
      <c r="I31" s="41"/>
      <c r="J31" s="67">
        <v>200312.26435403901</v>
      </c>
      <c r="K31" s="68">
        <v>18.788426245540499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2" t="s">
        <v>49</v>
      </c>
      <c r="C32" s="227"/>
      <c r="D32" s="67">
        <v>138289.50294791299</v>
      </c>
      <c r="E32" s="68">
        <v>7.2922407540843999</v>
      </c>
      <c r="F32" s="70"/>
      <c r="G32" s="67">
        <v>41904.032944977203</v>
      </c>
      <c r="H32" s="68">
        <v>6.4848502360868396</v>
      </c>
      <c r="I32" s="41"/>
      <c r="J32" s="67">
        <v>61050.171142222302</v>
      </c>
      <c r="K32" s="68">
        <v>5.0261709711930003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62" t="s">
        <v>159</v>
      </c>
      <c r="C33" s="227"/>
      <c r="D33" s="67">
        <v>82388.094410659003</v>
      </c>
      <c r="E33" s="68">
        <v>5.01251642371298</v>
      </c>
      <c r="F33" s="70"/>
      <c r="G33" s="67">
        <v>0</v>
      </c>
      <c r="H33" s="68">
        <v>0.16291623426706001</v>
      </c>
      <c r="I33" s="41"/>
      <c r="J33" s="67">
        <v>56675.1136214695</v>
      </c>
      <c r="K33" s="68">
        <v>6.0421990179042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162"/>
      <c r="C34" s="227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s="6" customFormat="1" ht="30" customHeight="1" x14ac:dyDescent="0.25">
      <c r="A35" s="57"/>
      <c r="B35" s="226" t="s">
        <v>150</v>
      </c>
      <c r="C35" s="227"/>
      <c r="D35" s="60">
        <v>12327207.792714</v>
      </c>
      <c r="E35" s="61">
        <v>85.430156354192505</v>
      </c>
      <c r="F35" s="62"/>
      <c r="G35" s="60">
        <v>6409000.2789590303</v>
      </c>
      <c r="H35" s="61">
        <v>88.922057359147601</v>
      </c>
      <c r="I35" s="57"/>
      <c r="J35" s="60">
        <v>5707317.6341388999</v>
      </c>
      <c r="K35" s="61">
        <v>80.872155888984594</v>
      </c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</row>
    <row r="36" spans="1:23" s="5" customFormat="1" ht="6.95" customHeight="1" x14ac:dyDescent="0.25">
      <c r="A36" s="143"/>
      <c r="B36" s="232"/>
      <c r="C36" s="231"/>
      <c r="D36" s="131"/>
      <c r="E36" s="131"/>
      <c r="F36" s="94"/>
      <c r="G36" s="205"/>
      <c r="H36" s="131"/>
      <c r="I36" s="131"/>
      <c r="J36" s="131"/>
      <c r="K36" s="131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</row>
    <row r="37" spans="1:23" s="5" customFormat="1" ht="15" customHeight="1" x14ac:dyDescent="0.25">
      <c r="A37" s="143"/>
      <c r="B37" s="230" t="s">
        <v>3</v>
      </c>
      <c r="C37" s="233"/>
      <c r="D37" s="60">
        <v>37721646.714671902</v>
      </c>
      <c r="E37" s="61">
        <v>100</v>
      </c>
      <c r="F37" s="62"/>
      <c r="G37" s="60">
        <v>18449035.518207699</v>
      </c>
      <c r="H37" s="61">
        <v>100</v>
      </c>
      <c r="I37" s="57"/>
      <c r="J37" s="60">
        <v>18831115.855787199</v>
      </c>
      <c r="K37" s="61">
        <v>100</v>
      </c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</row>
    <row r="38" spans="1:23" s="5" customFormat="1" ht="6.95" customHeight="1" x14ac:dyDescent="0.25">
      <c r="A38" s="143"/>
      <c r="B38" s="232"/>
      <c r="C38" s="234"/>
      <c r="D38" s="67"/>
      <c r="E38" s="68"/>
      <c r="F38" s="62"/>
      <c r="G38" s="67"/>
      <c r="H38" s="68"/>
      <c r="I38" s="57"/>
      <c r="J38" s="67"/>
      <c r="K38" s="68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</row>
    <row r="39" spans="1:23" s="6" customFormat="1" ht="30" customHeight="1" x14ac:dyDescent="0.25">
      <c r="A39" s="57"/>
      <c r="B39" s="226" t="s">
        <v>151</v>
      </c>
      <c r="C39" s="227"/>
      <c r="D39" s="60">
        <v>7654068.3608913096</v>
      </c>
      <c r="E39" s="61">
        <v>19.696945257892899</v>
      </c>
      <c r="F39" s="62"/>
      <c r="G39" s="60">
        <v>3062277.9891544902</v>
      </c>
      <c r="H39" s="61">
        <v>15.8990200266662</v>
      </c>
      <c r="I39" s="57"/>
      <c r="J39" s="60">
        <v>4385376.9215329997</v>
      </c>
      <c r="K39" s="61">
        <v>22.5308512268115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s="6" customFormat="1" ht="6.95" customHeight="1" x14ac:dyDescent="0.25">
      <c r="A40" s="57"/>
      <c r="B40" s="149"/>
      <c r="C40" s="227"/>
      <c r="D40" s="67"/>
      <c r="E40" s="68"/>
      <c r="F40" s="70"/>
      <c r="G40" s="67"/>
      <c r="H40" s="68"/>
      <c r="I40" s="41"/>
      <c r="J40" s="67"/>
      <c r="K40" s="68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</row>
    <row r="41" spans="1:23" ht="30" customHeight="1" x14ac:dyDescent="0.25">
      <c r="A41" s="41"/>
      <c r="B41" s="162" t="s">
        <v>50</v>
      </c>
      <c r="C41" s="227"/>
      <c r="D41" s="67">
        <v>6494844.0319967195</v>
      </c>
      <c r="E41" s="68">
        <v>83.141557587513105</v>
      </c>
      <c r="F41" s="70"/>
      <c r="G41" s="67">
        <v>2555475.4250444202</v>
      </c>
      <c r="H41" s="68">
        <v>80.7276587985546</v>
      </c>
      <c r="I41" s="41"/>
      <c r="J41" s="67">
        <v>3743940.8726425702</v>
      </c>
      <c r="K41" s="68">
        <v>83.407791493673997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62" t="s">
        <v>51</v>
      </c>
      <c r="C42" s="227"/>
      <c r="D42" s="67">
        <v>3613288.5990267401</v>
      </c>
      <c r="E42" s="68">
        <v>45.433222404595298</v>
      </c>
      <c r="F42" s="70"/>
      <c r="G42" s="67">
        <v>1538964.0025299301</v>
      </c>
      <c r="H42" s="68">
        <v>46.768500843805597</v>
      </c>
      <c r="I42" s="41"/>
      <c r="J42" s="67">
        <v>1927083.52042834</v>
      </c>
      <c r="K42" s="68">
        <v>41.956144385990498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30" customHeight="1" x14ac:dyDescent="0.25">
      <c r="A43" s="41"/>
      <c r="B43" s="162" t="s">
        <v>149</v>
      </c>
      <c r="C43" s="227"/>
      <c r="D43" s="67">
        <v>1708910.1734457801</v>
      </c>
      <c r="E43" s="68">
        <v>20.911156197637499</v>
      </c>
      <c r="F43" s="70"/>
      <c r="G43" s="67">
        <v>544632.46524332999</v>
      </c>
      <c r="H43" s="68">
        <v>16.316240599118601</v>
      </c>
      <c r="I43" s="41"/>
      <c r="J43" s="67">
        <v>1067439.14149329</v>
      </c>
      <c r="K43" s="68">
        <v>22.441242864341401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30" customHeight="1" x14ac:dyDescent="0.25">
      <c r="A44" s="41"/>
      <c r="B44" s="162" t="s">
        <v>48</v>
      </c>
      <c r="C44" s="227"/>
      <c r="D44" s="67">
        <v>1821599.4019647499</v>
      </c>
      <c r="E44" s="68">
        <v>22.604300501004801</v>
      </c>
      <c r="F44" s="70"/>
      <c r="G44" s="67">
        <v>562847.73503889504</v>
      </c>
      <c r="H44" s="68">
        <v>16.939790382379801</v>
      </c>
      <c r="I44" s="41"/>
      <c r="J44" s="67">
        <v>1152480.48750534</v>
      </c>
      <c r="K44" s="68">
        <v>24.524732874039898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62" t="s">
        <v>49</v>
      </c>
      <c r="C45" s="227"/>
      <c r="D45" s="67">
        <v>928028.88525837997</v>
      </c>
      <c r="E45" s="68">
        <v>11.3573848058398</v>
      </c>
      <c r="F45" s="70"/>
      <c r="G45" s="67">
        <v>288390.83993673802</v>
      </c>
      <c r="H45" s="68">
        <v>8.5810689437504095</v>
      </c>
      <c r="I45" s="41"/>
      <c r="J45" s="67">
        <v>577547.70536739705</v>
      </c>
      <c r="K45" s="68">
        <v>12.0824899076259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162" t="s">
        <v>159</v>
      </c>
      <c r="C46" s="227"/>
      <c r="D46" s="67">
        <v>606525.40836782102</v>
      </c>
      <c r="E46" s="68">
        <v>7.3683540879391396</v>
      </c>
      <c r="F46" s="70"/>
      <c r="G46" s="67">
        <v>115524.769915386</v>
      </c>
      <c r="H46" s="68">
        <v>3.39031646421788</v>
      </c>
      <c r="I46" s="41"/>
      <c r="J46" s="67">
        <v>448674.31493007502</v>
      </c>
      <c r="K46" s="68">
        <v>9.3217878873430706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6.95" customHeight="1" x14ac:dyDescent="0.25">
      <c r="A47" s="41"/>
      <c r="B47" s="162"/>
      <c r="C47" s="227"/>
      <c r="D47" s="67"/>
      <c r="E47" s="68"/>
      <c r="F47" s="70"/>
      <c r="G47" s="67"/>
      <c r="H47" s="68"/>
      <c r="I47" s="41"/>
      <c r="J47" s="67"/>
      <c r="K47" s="68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s="6" customFormat="1" ht="30" customHeight="1" x14ac:dyDescent="0.25">
      <c r="A48" s="57"/>
      <c r="B48" s="226" t="s">
        <v>150</v>
      </c>
      <c r="C48" s="227"/>
      <c r="D48" s="60">
        <v>29630463.6150796</v>
      </c>
      <c r="E48" s="61">
        <v>77.596380787607401</v>
      </c>
      <c r="F48" s="62"/>
      <c r="G48" s="60">
        <v>15108924.007750601</v>
      </c>
      <c r="H48" s="61">
        <v>80.726876839311203</v>
      </c>
      <c r="I48" s="57"/>
      <c r="J48" s="60">
        <v>14135031.7025006</v>
      </c>
      <c r="K48" s="61">
        <v>73.618523685097401</v>
      </c>
      <c r="L48" s="57"/>
      <c r="M48" s="57"/>
      <c r="N48" s="57"/>
      <c r="O48" s="57"/>
      <c r="P48" s="57"/>
      <c r="Q48" s="57"/>
      <c r="R48" s="57"/>
      <c r="S48" s="57"/>
      <c r="T48" s="57"/>
      <c r="U48" s="57"/>
      <c r="V48" s="57"/>
      <c r="W48" s="57"/>
    </row>
    <row r="49" spans="1:23" ht="6.95" customHeight="1" x14ac:dyDescent="0.25">
      <c r="A49" s="41"/>
      <c r="B49" s="235"/>
      <c r="C49" s="236"/>
      <c r="D49" s="80"/>
      <c r="E49" s="80"/>
      <c r="F49" s="237"/>
      <c r="G49" s="80"/>
      <c r="H49" s="80"/>
      <c r="I49" s="80"/>
      <c r="J49" s="80"/>
      <c r="K49" s="8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7.15" customHeight="1" x14ac:dyDescent="0.25">
      <c r="A50" s="41"/>
      <c r="B50" s="238"/>
      <c r="C50" s="97"/>
      <c r="D50" s="239"/>
      <c r="E50" s="239"/>
      <c r="F50" s="240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ht="12" customHeight="1" x14ac:dyDescent="0.25">
      <c r="A51" s="41"/>
      <c r="B51" s="241" t="s">
        <v>199</v>
      </c>
      <c r="C51" s="242"/>
      <c r="D51" s="243"/>
      <c r="E51" s="243"/>
      <c r="F51" s="244"/>
      <c r="G51" s="143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</row>
    <row r="52" spans="1:23" ht="12" customHeight="1" x14ac:dyDescent="0.25">
      <c r="A52" s="41"/>
      <c r="B52" s="241" t="s">
        <v>213</v>
      </c>
      <c r="C52" s="242"/>
      <c r="D52" s="243"/>
      <c r="E52" s="243"/>
      <c r="F52" s="244"/>
      <c r="G52" s="143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12" customHeight="1" x14ac:dyDescent="0.25">
      <c r="A53" s="41"/>
      <c r="B53" s="307" t="s">
        <v>145</v>
      </c>
      <c r="C53" s="307"/>
      <c r="D53" s="307"/>
      <c r="E53" s="307"/>
      <c r="F53" s="307"/>
      <c r="G53" s="307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</sheetData>
  <mergeCells count="7">
    <mergeCell ref="B53:G53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B45C0187-B4BC-45B3-A34E-95EE562EE422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0AEB-1563-45F6-BB72-AD520EBA6222}">
  <dimension ref="A1:W5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152</v>
      </c>
      <c r="C5" s="37"/>
      <c r="D5" s="39"/>
      <c r="E5" s="39"/>
      <c r="F5" s="39"/>
      <c r="G5" s="38"/>
      <c r="H5" s="34"/>
      <c r="I5" s="32"/>
      <c r="J5" s="32"/>
      <c r="K5" s="40" t="s">
        <v>80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70</v>
      </c>
      <c r="C7" s="42"/>
      <c r="D7" s="308" t="s">
        <v>194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21162913.981818601</v>
      </c>
      <c r="E11" s="61">
        <v>100</v>
      </c>
      <c r="F11" s="62"/>
      <c r="G11" s="60">
        <v>12711239.358704699</v>
      </c>
      <c r="H11" s="61">
        <v>100</v>
      </c>
      <c r="I11" s="57"/>
      <c r="J11" s="60">
        <v>8048171.6765838396</v>
      </c>
      <c r="K11" s="61">
        <v>100</v>
      </c>
      <c r="L11" s="246"/>
      <c r="M11" s="246"/>
      <c r="N11" s="246"/>
      <c r="O11" s="246"/>
      <c r="P11" s="246"/>
      <c r="Q11" s="246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247"/>
      <c r="M12" s="247"/>
      <c r="N12" s="247"/>
      <c r="O12" s="247"/>
      <c r="P12" s="247"/>
      <c r="Q12" s="247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52</v>
      </c>
      <c r="C13" s="91"/>
      <c r="D13" s="67">
        <v>198594.39167508401</v>
      </c>
      <c r="E13" s="68">
        <v>0.89763843112082997</v>
      </c>
      <c r="F13" s="70"/>
      <c r="G13" s="67">
        <v>45321.9023181312</v>
      </c>
      <c r="H13" s="68">
        <v>0.33437898426885998</v>
      </c>
      <c r="I13" s="41"/>
      <c r="J13" s="67">
        <v>110564.123782739</v>
      </c>
      <c r="K13" s="68">
        <v>1.28264118639007</v>
      </c>
      <c r="L13" s="247"/>
      <c r="M13" s="247"/>
      <c r="N13" s="247"/>
      <c r="O13" s="247"/>
      <c r="P13" s="247"/>
      <c r="Q13" s="247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53</v>
      </c>
      <c r="C14" s="95"/>
      <c r="D14" s="67">
        <v>522486.19213902199</v>
      </c>
      <c r="E14" s="68">
        <v>2.3678872946881899</v>
      </c>
      <c r="F14" s="70"/>
      <c r="G14" s="67">
        <v>282619.88713772601</v>
      </c>
      <c r="H14" s="68">
        <v>2.11309583673847</v>
      </c>
      <c r="I14" s="41"/>
      <c r="J14" s="67">
        <v>163977.7977773</v>
      </c>
      <c r="K14" s="68">
        <v>1.9216602291812399</v>
      </c>
      <c r="L14" s="247"/>
      <c r="M14" s="247"/>
      <c r="N14" s="247"/>
      <c r="O14" s="247"/>
      <c r="P14" s="247"/>
      <c r="Q14" s="247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10" t="s">
        <v>54</v>
      </c>
      <c r="C15" s="95"/>
      <c r="D15" s="67">
        <v>1046627.2263326599</v>
      </c>
      <c r="E15" s="68">
        <v>4.7411816078838998</v>
      </c>
      <c r="F15" s="70"/>
      <c r="G15" s="67">
        <v>471768.57934410998</v>
      </c>
      <c r="H15" s="68">
        <v>3.4890907768773101</v>
      </c>
      <c r="I15" s="41"/>
      <c r="J15" s="67">
        <v>489681.35238900798</v>
      </c>
      <c r="K15" s="68">
        <v>5.7424788362252501</v>
      </c>
      <c r="L15" s="247"/>
      <c r="M15" s="247"/>
      <c r="N15" s="247"/>
      <c r="O15" s="247"/>
      <c r="P15" s="247"/>
      <c r="Q15" s="247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55</v>
      </c>
      <c r="C16" s="95"/>
      <c r="D16" s="67">
        <v>1517923.5194322399</v>
      </c>
      <c r="E16" s="68">
        <v>6.90551403518878</v>
      </c>
      <c r="F16" s="70"/>
      <c r="G16" s="67">
        <v>869360.81416642095</v>
      </c>
      <c r="H16" s="68">
        <v>6.55794305655406</v>
      </c>
      <c r="I16" s="41"/>
      <c r="J16" s="67">
        <v>524516.90835837601</v>
      </c>
      <c r="K16" s="68">
        <v>6.0790359953083497</v>
      </c>
      <c r="L16" s="247"/>
      <c r="M16" s="247"/>
      <c r="N16" s="247"/>
      <c r="O16" s="247"/>
      <c r="P16" s="247"/>
      <c r="Q16" s="247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10" t="s">
        <v>56</v>
      </c>
      <c r="C17" s="95"/>
      <c r="D17" s="67">
        <v>914971.63196906704</v>
      </c>
      <c r="E17" s="68">
        <v>4.1329258633349397</v>
      </c>
      <c r="F17" s="70"/>
      <c r="G17" s="67">
        <v>547217.31245505903</v>
      </c>
      <c r="H17" s="68">
        <v>4.0719361307030999</v>
      </c>
      <c r="I17" s="41"/>
      <c r="J17" s="67">
        <v>289733.39715962298</v>
      </c>
      <c r="K17" s="68">
        <v>3.3604648560868902</v>
      </c>
      <c r="L17" s="247"/>
      <c r="M17" s="247"/>
      <c r="N17" s="247"/>
      <c r="O17" s="247"/>
      <c r="P17" s="247"/>
      <c r="Q17" s="247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10" t="s">
        <v>57</v>
      </c>
      <c r="C18" s="95"/>
      <c r="D18" s="67">
        <v>7325455.6700804103</v>
      </c>
      <c r="E18" s="68">
        <v>33.546613968254697</v>
      </c>
      <c r="F18" s="70"/>
      <c r="G18" s="67">
        <v>4281453.2871792596</v>
      </c>
      <c r="H18" s="68">
        <v>32.405217164145398</v>
      </c>
      <c r="I18" s="41"/>
      <c r="J18" s="67">
        <v>2785762.5380305001</v>
      </c>
      <c r="K18" s="68">
        <v>33.0734620852067</v>
      </c>
      <c r="L18" s="247"/>
      <c r="M18" s="247"/>
      <c r="N18" s="247"/>
      <c r="O18" s="247"/>
      <c r="P18" s="247"/>
      <c r="Q18" s="247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110" t="s">
        <v>58</v>
      </c>
      <c r="C19" s="95"/>
      <c r="D19" s="67">
        <v>6064669.9352247203</v>
      </c>
      <c r="E19" s="68">
        <v>27.814511172459301</v>
      </c>
      <c r="F19" s="70"/>
      <c r="G19" s="67">
        <v>3817476.8289920199</v>
      </c>
      <c r="H19" s="68">
        <v>28.925315678637901</v>
      </c>
      <c r="I19" s="41"/>
      <c r="J19" s="67">
        <v>2052698.1792001999</v>
      </c>
      <c r="K19" s="68">
        <v>24.071647323680502</v>
      </c>
      <c r="L19" s="247"/>
      <c r="M19" s="247"/>
      <c r="N19" s="247"/>
      <c r="O19" s="247"/>
      <c r="P19" s="247"/>
      <c r="Q19" s="247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59</v>
      </c>
      <c r="C20" s="95"/>
      <c r="D20" s="67">
        <v>1723758.1690893299</v>
      </c>
      <c r="E20" s="68">
        <v>7.8104750601164099</v>
      </c>
      <c r="F20" s="70"/>
      <c r="G20" s="67">
        <v>1101608.5325168699</v>
      </c>
      <c r="H20" s="68">
        <v>8.2235111868667392</v>
      </c>
      <c r="I20" s="41"/>
      <c r="J20" s="67">
        <v>531998.56449193903</v>
      </c>
      <c r="K20" s="68">
        <v>6.1964927157335898</v>
      </c>
      <c r="L20" s="247"/>
      <c r="M20" s="247"/>
      <c r="N20" s="247"/>
      <c r="O20" s="247"/>
      <c r="P20" s="247"/>
      <c r="Q20" s="247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110" t="s">
        <v>60</v>
      </c>
      <c r="C21" s="95"/>
      <c r="D21" s="67">
        <v>81629.171778868505</v>
      </c>
      <c r="E21" s="68">
        <v>0.36873563454050601</v>
      </c>
      <c r="F21" s="70"/>
      <c r="G21" s="67">
        <v>30435.9040010024</v>
      </c>
      <c r="H21" s="68">
        <v>0.22752637638788301</v>
      </c>
      <c r="I21" s="41"/>
      <c r="J21" s="67">
        <v>21280.790863451501</v>
      </c>
      <c r="K21" s="68">
        <v>0.24702741597832001</v>
      </c>
      <c r="L21" s="247"/>
      <c r="M21" s="247"/>
      <c r="N21" s="247"/>
      <c r="O21" s="247"/>
      <c r="P21" s="247"/>
      <c r="Q21" s="247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10" t="s">
        <v>41</v>
      </c>
      <c r="C22" s="95"/>
      <c r="D22" s="67">
        <v>186950.32828803899</v>
      </c>
      <c r="E22" s="68">
        <v>0.84385149020754302</v>
      </c>
      <c r="F22" s="70"/>
      <c r="G22" s="67">
        <v>58275.784832873098</v>
      </c>
      <c r="H22" s="68">
        <v>0.434699771070922</v>
      </c>
      <c r="I22" s="41"/>
      <c r="J22" s="67">
        <v>87519.552141517997</v>
      </c>
      <c r="K22" s="68">
        <v>1.01950028993564</v>
      </c>
      <c r="L22" s="247"/>
      <c r="M22" s="247"/>
      <c r="N22" s="247"/>
      <c r="O22" s="247"/>
      <c r="P22" s="247"/>
      <c r="Q22" s="247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0" t="s">
        <v>42</v>
      </c>
      <c r="C23" s="95"/>
      <c r="D23" s="67">
        <v>0</v>
      </c>
      <c r="E23" s="68">
        <v>0</v>
      </c>
      <c r="F23" s="70"/>
      <c r="G23" s="67">
        <v>0</v>
      </c>
      <c r="H23" s="68">
        <v>0</v>
      </c>
      <c r="I23" s="41"/>
      <c r="J23" s="67">
        <v>0</v>
      </c>
      <c r="K23" s="68">
        <v>0</v>
      </c>
      <c r="L23" s="247"/>
      <c r="M23" s="247"/>
      <c r="N23" s="247"/>
      <c r="O23" s="247"/>
      <c r="P23" s="247"/>
      <c r="Q23" s="247"/>
      <c r="R23" s="41"/>
      <c r="S23" s="41"/>
      <c r="T23" s="41"/>
      <c r="U23" s="41"/>
      <c r="V23" s="41"/>
      <c r="W23" s="41"/>
    </row>
    <row r="24" spans="1:23" ht="6.95" customHeight="1" x14ac:dyDescent="0.25">
      <c r="A24" s="41"/>
      <c r="B24" s="176"/>
      <c r="C24" s="95"/>
      <c r="D24" s="67"/>
      <c r="E24" s="68"/>
      <c r="F24" s="70"/>
      <c r="G24" s="67"/>
      <c r="H24" s="68"/>
      <c r="I24" s="41"/>
      <c r="J24" s="67"/>
      <c r="K24" s="68"/>
      <c r="L24" s="247"/>
      <c r="M24" s="247"/>
      <c r="N24" s="247"/>
      <c r="O24" s="247"/>
      <c r="P24" s="247"/>
      <c r="Q24" s="247"/>
      <c r="R24" s="41"/>
      <c r="S24" s="41"/>
      <c r="T24" s="41"/>
      <c r="U24" s="41"/>
      <c r="V24" s="41"/>
      <c r="W24" s="41"/>
    </row>
    <row r="25" spans="1:23" s="6" customFormat="1" ht="15" customHeight="1" x14ac:dyDescent="0.25">
      <c r="A25" s="57"/>
      <c r="B25" s="248" t="s">
        <v>2</v>
      </c>
      <c r="C25" s="95"/>
      <c r="D25" s="60">
        <v>9628603.8459430803</v>
      </c>
      <c r="E25" s="61">
        <v>100</v>
      </c>
      <c r="F25" s="62"/>
      <c r="G25" s="60">
        <v>5587113.3373457603</v>
      </c>
      <c r="H25" s="61">
        <v>100</v>
      </c>
      <c r="I25" s="57"/>
      <c r="J25" s="60">
        <v>3813055.6222103299</v>
      </c>
      <c r="K25" s="61">
        <v>100</v>
      </c>
      <c r="L25" s="246"/>
      <c r="M25" s="246"/>
      <c r="N25" s="246"/>
      <c r="O25" s="246"/>
      <c r="P25" s="246"/>
      <c r="Q25" s="246"/>
      <c r="R25" s="57"/>
      <c r="S25" s="57"/>
      <c r="T25" s="57"/>
      <c r="U25" s="57"/>
      <c r="V25" s="57"/>
      <c r="W25" s="57"/>
    </row>
    <row r="26" spans="1:23" ht="6.95" customHeight="1" x14ac:dyDescent="0.25">
      <c r="A26" s="41"/>
      <c r="B26" s="249"/>
      <c r="C26" s="95"/>
      <c r="D26" s="67"/>
      <c r="E26" s="68"/>
      <c r="F26" s="70"/>
      <c r="G26" s="67"/>
      <c r="H26" s="68"/>
      <c r="I26" s="41"/>
      <c r="J26" s="67"/>
      <c r="K26" s="68"/>
      <c r="L26" s="247"/>
      <c r="M26" s="247"/>
      <c r="N26" s="247"/>
      <c r="O26" s="247"/>
      <c r="P26" s="247"/>
      <c r="Q26" s="247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10" t="s">
        <v>52</v>
      </c>
      <c r="C27" s="91"/>
      <c r="D27" s="67">
        <v>180605.34576830801</v>
      </c>
      <c r="E27" s="68">
        <v>1.7321489884013399</v>
      </c>
      <c r="F27" s="70"/>
      <c r="G27" s="67">
        <v>31866.548608002598</v>
      </c>
      <c r="H27" s="68">
        <v>0.510075285239457</v>
      </c>
      <c r="I27" s="41"/>
      <c r="J27" s="67">
        <v>107420.286215592</v>
      </c>
      <c r="K27" s="68">
        <v>2.5424967143553099</v>
      </c>
      <c r="L27" s="247"/>
      <c r="M27" s="247"/>
      <c r="N27" s="247"/>
      <c r="O27" s="247"/>
      <c r="P27" s="247"/>
      <c r="Q27" s="247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110" t="s">
        <v>53</v>
      </c>
      <c r="C28" s="95"/>
      <c r="D28" s="67">
        <v>206201.89679868301</v>
      </c>
      <c r="E28" s="68">
        <v>1.9982240740314099</v>
      </c>
      <c r="F28" s="70"/>
      <c r="G28" s="67">
        <v>111201.781804208</v>
      </c>
      <c r="H28" s="68">
        <v>1.7980216786082099</v>
      </c>
      <c r="I28" s="41"/>
      <c r="J28" s="67">
        <v>56838.462879157603</v>
      </c>
      <c r="K28" s="68">
        <v>1.38504310316353</v>
      </c>
      <c r="L28" s="247"/>
      <c r="M28" s="247"/>
      <c r="N28" s="247"/>
      <c r="O28" s="247"/>
      <c r="P28" s="247"/>
      <c r="Q28" s="247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110" t="s">
        <v>54</v>
      </c>
      <c r="C29" s="95"/>
      <c r="D29" s="67">
        <v>379334.56547347503</v>
      </c>
      <c r="E29" s="68">
        <v>3.6479311083852002</v>
      </c>
      <c r="F29" s="70"/>
      <c r="G29" s="67">
        <v>151168.37036423301</v>
      </c>
      <c r="H29" s="68">
        <v>2.3963366242603099</v>
      </c>
      <c r="I29" s="41"/>
      <c r="J29" s="67">
        <v>179714.29107789599</v>
      </c>
      <c r="K29" s="68">
        <v>4.3482816257753401</v>
      </c>
      <c r="L29" s="247"/>
      <c r="M29" s="247"/>
      <c r="N29" s="247"/>
      <c r="O29" s="247"/>
      <c r="P29" s="247"/>
      <c r="Q29" s="247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110" t="s">
        <v>55</v>
      </c>
      <c r="C30" s="95"/>
      <c r="D30" s="67">
        <v>403537.37197903701</v>
      </c>
      <c r="E30" s="68">
        <v>3.9561149419459301</v>
      </c>
      <c r="F30" s="70"/>
      <c r="G30" s="67">
        <v>251301.932026658</v>
      </c>
      <c r="H30" s="68">
        <v>4.3062760681276702</v>
      </c>
      <c r="I30" s="41"/>
      <c r="J30" s="67">
        <v>101417.361331725</v>
      </c>
      <c r="K30" s="68">
        <v>2.3255035222809401</v>
      </c>
      <c r="L30" s="247"/>
      <c r="M30" s="247"/>
      <c r="N30" s="247"/>
      <c r="O30" s="247"/>
      <c r="P30" s="247"/>
      <c r="Q30" s="247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56</v>
      </c>
      <c r="C31" s="95"/>
      <c r="D31" s="67">
        <v>241019.76891938201</v>
      </c>
      <c r="E31" s="68">
        <v>2.3229349362496698</v>
      </c>
      <c r="F31" s="70"/>
      <c r="G31" s="67">
        <v>102601.035642163</v>
      </c>
      <c r="H31" s="68">
        <v>1.6395411726250899</v>
      </c>
      <c r="I31" s="41"/>
      <c r="J31" s="67">
        <v>105637.433855678</v>
      </c>
      <c r="K31" s="68">
        <v>2.5228760717182901</v>
      </c>
      <c r="L31" s="247"/>
      <c r="M31" s="247"/>
      <c r="N31" s="247"/>
      <c r="O31" s="247"/>
      <c r="P31" s="247"/>
      <c r="Q31" s="247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57</v>
      </c>
      <c r="C32" s="95"/>
      <c r="D32" s="67">
        <v>2875486.7560076499</v>
      </c>
      <c r="E32" s="68">
        <v>28.597805844926601</v>
      </c>
      <c r="F32" s="70"/>
      <c r="G32" s="67">
        <v>1568097.1739996299</v>
      </c>
      <c r="H32" s="68">
        <v>26.671134224315299</v>
      </c>
      <c r="I32" s="41"/>
      <c r="J32" s="67">
        <v>1165622.5125885699</v>
      </c>
      <c r="K32" s="68">
        <v>28.7735707132416</v>
      </c>
      <c r="L32" s="247"/>
      <c r="M32" s="247"/>
      <c r="N32" s="247"/>
      <c r="O32" s="247"/>
      <c r="P32" s="247"/>
      <c r="Q32" s="247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58</v>
      </c>
      <c r="C33" s="95"/>
      <c r="D33" s="67">
        <v>3451776.0234776</v>
      </c>
      <c r="E33" s="68">
        <v>33.819244463555101</v>
      </c>
      <c r="F33" s="70"/>
      <c r="G33" s="67">
        <v>2010901.49164544</v>
      </c>
      <c r="H33" s="68">
        <v>33.5724527082278</v>
      </c>
      <c r="I33" s="41"/>
      <c r="J33" s="67">
        <v>1295448.7575278799</v>
      </c>
      <c r="K33" s="68">
        <v>31.217878139329599</v>
      </c>
      <c r="L33" s="247"/>
      <c r="M33" s="247"/>
      <c r="N33" s="247"/>
      <c r="O33" s="247"/>
      <c r="P33" s="247"/>
      <c r="Q33" s="247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10" t="s">
        <v>59</v>
      </c>
      <c r="C34" s="95"/>
      <c r="D34" s="67">
        <v>896586.94736081699</v>
      </c>
      <c r="E34" s="68">
        <v>8.6332780037404309</v>
      </c>
      <c r="F34" s="70"/>
      <c r="G34" s="67">
        <v>609596.82168310299</v>
      </c>
      <c r="H34" s="68">
        <v>10.0203949970005</v>
      </c>
      <c r="I34" s="41"/>
      <c r="J34" s="67">
        <v>232756.85055852801</v>
      </c>
      <c r="K34" s="68">
        <v>5.5388398971034496</v>
      </c>
      <c r="L34" s="247"/>
      <c r="M34" s="247"/>
      <c r="N34" s="247"/>
      <c r="O34" s="247"/>
      <c r="P34" s="247"/>
      <c r="Q34" s="247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10" t="s">
        <v>60</v>
      </c>
      <c r="C35" s="95"/>
      <c r="D35" s="67">
        <v>35597.986969578</v>
      </c>
      <c r="E35" s="68">
        <v>0.33809823920934901</v>
      </c>
      <c r="F35" s="70"/>
      <c r="G35" s="67">
        <v>8100.5652071978802</v>
      </c>
      <c r="H35" s="68">
        <v>0.13188151014192301</v>
      </c>
      <c r="I35" s="41"/>
      <c r="J35" s="67">
        <v>11056.382786652801</v>
      </c>
      <c r="K35" s="68">
        <v>0.26296080072294198</v>
      </c>
      <c r="L35" s="247"/>
      <c r="M35" s="247"/>
      <c r="N35" s="247"/>
      <c r="O35" s="247"/>
      <c r="P35" s="247"/>
      <c r="Q35" s="247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10" t="s">
        <v>41</v>
      </c>
      <c r="C36" s="95"/>
      <c r="D36" s="67">
        <v>43183.466761995602</v>
      </c>
      <c r="E36" s="68">
        <v>0.40956265055933799</v>
      </c>
      <c r="F36" s="70"/>
      <c r="G36" s="67">
        <v>17667.308222744701</v>
      </c>
      <c r="H36" s="68">
        <v>0.28687611979181299</v>
      </c>
      <c r="I36" s="41"/>
      <c r="J36" s="67">
        <v>6186.5639546086604</v>
      </c>
      <c r="K36" s="68">
        <v>0.15042671396819801</v>
      </c>
      <c r="L36" s="247"/>
      <c r="M36" s="247"/>
      <c r="N36" s="247"/>
      <c r="O36" s="247"/>
      <c r="P36" s="247"/>
      <c r="Q36" s="247"/>
      <c r="R36" s="41"/>
      <c r="S36" s="41"/>
      <c r="T36" s="41"/>
      <c r="U36" s="41"/>
      <c r="V36" s="41"/>
      <c r="W36" s="41"/>
    </row>
    <row r="37" spans="1:23" ht="15" customHeight="1" x14ac:dyDescent="0.25">
      <c r="A37" s="41"/>
      <c r="B37" s="110" t="s">
        <v>42</v>
      </c>
      <c r="C37" s="95"/>
      <c r="D37" s="67">
        <v>0</v>
      </c>
      <c r="E37" s="68">
        <v>0</v>
      </c>
      <c r="F37" s="70"/>
      <c r="G37" s="67">
        <v>0</v>
      </c>
      <c r="H37" s="68">
        <v>0</v>
      </c>
      <c r="I37" s="41"/>
      <c r="J37" s="67">
        <v>0</v>
      </c>
      <c r="K37" s="68">
        <v>0</v>
      </c>
      <c r="L37" s="247"/>
      <c r="M37" s="247"/>
      <c r="N37" s="247"/>
      <c r="O37" s="247"/>
      <c r="P37" s="247"/>
      <c r="Q37" s="247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249"/>
      <c r="C38" s="95"/>
      <c r="D38" s="131"/>
      <c r="E38" s="131"/>
      <c r="F38" s="131"/>
      <c r="G38" s="131"/>
      <c r="H38" s="131"/>
      <c r="I38" s="131"/>
      <c r="J38" s="131"/>
      <c r="K38" s="131"/>
      <c r="L38" s="247"/>
      <c r="M38" s="247"/>
      <c r="N38" s="247"/>
      <c r="O38" s="247"/>
      <c r="P38" s="247"/>
      <c r="Q38" s="247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248" t="s">
        <v>3</v>
      </c>
      <c r="C39" s="95"/>
      <c r="D39" s="60">
        <v>10824700.952947499</v>
      </c>
      <c r="E39" s="61">
        <v>100</v>
      </c>
      <c r="F39" s="62"/>
      <c r="G39" s="60">
        <v>6644903.10890166</v>
      </c>
      <c r="H39" s="61">
        <v>100</v>
      </c>
      <c r="I39" s="57"/>
      <c r="J39" s="60">
        <v>3897097.6046727798</v>
      </c>
      <c r="K39" s="61">
        <v>100</v>
      </c>
      <c r="L39" s="246"/>
      <c r="M39" s="246"/>
      <c r="N39" s="246"/>
      <c r="O39" s="246"/>
      <c r="P39" s="246"/>
      <c r="Q39" s="246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49"/>
      <c r="C40" s="95"/>
      <c r="D40" s="67"/>
      <c r="E40" s="68"/>
      <c r="F40" s="70"/>
      <c r="G40" s="67"/>
      <c r="H40" s="68"/>
      <c r="I40" s="41"/>
      <c r="J40" s="67"/>
      <c r="K40" s="68"/>
      <c r="L40" s="247"/>
      <c r="M40" s="247"/>
      <c r="N40" s="247"/>
      <c r="O40" s="247"/>
      <c r="P40" s="247"/>
      <c r="Q40" s="247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110" t="s">
        <v>52</v>
      </c>
      <c r="C41" s="91"/>
      <c r="D41" s="67">
        <v>0</v>
      </c>
      <c r="E41" s="68">
        <v>0</v>
      </c>
      <c r="F41" s="70"/>
      <c r="G41" s="67">
        <v>0</v>
      </c>
      <c r="H41" s="68">
        <v>0</v>
      </c>
      <c r="I41" s="41"/>
      <c r="J41" s="67">
        <v>0</v>
      </c>
      <c r="K41" s="68">
        <v>0</v>
      </c>
      <c r="L41" s="247"/>
      <c r="M41" s="247"/>
      <c r="N41" s="247"/>
      <c r="O41" s="247"/>
      <c r="P41" s="247"/>
      <c r="Q41" s="247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53</v>
      </c>
      <c r="C42" s="95"/>
      <c r="D42" s="67">
        <v>239701.06174559199</v>
      </c>
      <c r="E42" s="68">
        <v>2.1046671188628698</v>
      </c>
      <c r="F42" s="70"/>
      <c r="G42" s="67">
        <v>120962.304821208</v>
      </c>
      <c r="H42" s="68">
        <v>1.7363639725839799</v>
      </c>
      <c r="I42" s="41"/>
      <c r="J42" s="67">
        <v>59608.285324989301</v>
      </c>
      <c r="K42" s="68">
        <v>1.4319852685810399</v>
      </c>
      <c r="L42" s="247"/>
      <c r="M42" s="247"/>
      <c r="N42" s="247"/>
      <c r="O42" s="247"/>
      <c r="P42" s="247"/>
      <c r="Q42" s="247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110" t="s">
        <v>54</v>
      </c>
      <c r="C43" s="95"/>
      <c r="D43" s="67">
        <v>586184.39830202796</v>
      </c>
      <c r="E43" s="68">
        <v>5.0732055056091996</v>
      </c>
      <c r="F43" s="70"/>
      <c r="G43" s="67">
        <v>270937.08853434602</v>
      </c>
      <c r="H43" s="68">
        <v>3.7554442624614301</v>
      </c>
      <c r="I43" s="41"/>
      <c r="J43" s="67">
        <v>247297.11005531999</v>
      </c>
      <c r="K43" s="68">
        <v>5.7868250519883899</v>
      </c>
      <c r="L43" s="247"/>
      <c r="M43" s="247"/>
      <c r="N43" s="247"/>
      <c r="O43" s="247"/>
      <c r="P43" s="247"/>
      <c r="Q43" s="247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110" t="s">
        <v>55</v>
      </c>
      <c r="C44" s="95"/>
      <c r="D44" s="67">
        <v>993725.68197500904</v>
      </c>
      <c r="E44" s="68">
        <v>8.6130163309479908</v>
      </c>
      <c r="F44" s="70"/>
      <c r="G44" s="67">
        <v>518599.25646841998</v>
      </c>
      <c r="H44" s="68">
        <v>7.2184746082700197</v>
      </c>
      <c r="I44" s="41"/>
      <c r="J44" s="67">
        <v>369707.60980021203</v>
      </c>
      <c r="K44" s="68">
        <v>8.6563366703143902</v>
      </c>
      <c r="L44" s="247"/>
      <c r="M44" s="247"/>
      <c r="N44" s="247"/>
      <c r="O44" s="247"/>
      <c r="P44" s="247"/>
      <c r="Q44" s="247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110" t="s">
        <v>56</v>
      </c>
      <c r="C45" s="95"/>
      <c r="D45" s="67">
        <v>584102.252291966</v>
      </c>
      <c r="E45" s="68">
        <v>5.0526961599806297</v>
      </c>
      <c r="F45" s="70"/>
      <c r="G45" s="67">
        <v>367394.00774749799</v>
      </c>
      <c r="H45" s="68">
        <v>5.1575731302671501</v>
      </c>
      <c r="I45" s="41"/>
      <c r="J45" s="67">
        <v>143957.912309868</v>
      </c>
      <c r="K45" s="68">
        <v>3.3110139246128898</v>
      </c>
      <c r="L45" s="247"/>
      <c r="M45" s="247"/>
      <c r="N45" s="247"/>
      <c r="O45" s="247"/>
      <c r="P45" s="247"/>
      <c r="Q45" s="247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110" t="s">
        <v>57</v>
      </c>
      <c r="C46" s="95"/>
      <c r="D46" s="67">
        <v>4115922.1718191099</v>
      </c>
      <c r="E46" s="68">
        <v>36.2097128551925</v>
      </c>
      <c r="F46" s="70"/>
      <c r="G46" s="67">
        <v>2491305.4414092698</v>
      </c>
      <c r="H46" s="68">
        <v>35.139266335312101</v>
      </c>
      <c r="I46" s="41"/>
      <c r="J46" s="67">
        <v>1428956.33801036</v>
      </c>
      <c r="K46" s="68">
        <v>34.326202726131399</v>
      </c>
      <c r="L46" s="247"/>
      <c r="M46" s="247"/>
      <c r="N46" s="247"/>
      <c r="O46" s="247"/>
      <c r="P46" s="247"/>
      <c r="Q46" s="247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110" t="s">
        <v>58</v>
      </c>
      <c r="C47" s="95"/>
      <c r="D47" s="67">
        <v>2324841.7649675799</v>
      </c>
      <c r="E47" s="68">
        <v>20.640939412974099</v>
      </c>
      <c r="F47" s="70"/>
      <c r="G47" s="67">
        <v>1585776.5853985799</v>
      </c>
      <c r="H47" s="68">
        <v>22.7400804421106</v>
      </c>
      <c r="I47" s="41"/>
      <c r="J47" s="67">
        <v>619884.23840356094</v>
      </c>
      <c r="K47" s="68">
        <v>14.6115346056337</v>
      </c>
      <c r="L47" s="247"/>
      <c r="M47" s="247"/>
      <c r="N47" s="247"/>
      <c r="O47" s="247"/>
      <c r="P47" s="247"/>
      <c r="Q47" s="247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110" t="s">
        <v>59</v>
      </c>
      <c r="C48" s="95"/>
      <c r="D48" s="67">
        <v>707599.58346532402</v>
      </c>
      <c r="E48" s="68">
        <v>6.1275357677399098</v>
      </c>
      <c r="F48" s="70"/>
      <c r="G48" s="67">
        <v>406372.74674724101</v>
      </c>
      <c r="H48" s="68">
        <v>5.6223703424824301</v>
      </c>
      <c r="I48" s="41"/>
      <c r="J48" s="67">
        <v>232787.45426835399</v>
      </c>
      <c r="K48" s="68">
        <v>5.4244375723252096</v>
      </c>
      <c r="L48" s="247"/>
      <c r="M48" s="247"/>
      <c r="N48" s="247"/>
      <c r="O48" s="247"/>
      <c r="P48" s="247"/>
      <c r="Q48" s="247"/>
      <c r="R48" s="41"/>
      <c r="S48" s="41"/>
      <c r="T48" s="41"/>
      <c r="U48" s="41"/>
      <c r="V48" s="41"/>
      <c r="W48" s="41"/>
    </row>
    <row r="49" spans="1:23" ht="15" customHeight="1" x14ac:dyDescent="0.25">
      <c r="A49" s="41"/>
      <c r="B49" s="110" t="s">
        <v>60</v>
      </c>
      <c r="C49" s="95"/>
      <c r="D49" s="67">
        <v>18773.141000670399</v>
      </c>
      <c r="E49" s="68">
        <v>0.16301347963134999</v>
      </c>
      <c r="F49" s="70"/>
      <c r="G49" s="67">
        <v>296.98574409592402</v>
      </c>
      <c r="H49" s="68">
        <v>7.9424012523757904E-3</v>
      </c>
      <c r="I49" s="41"/>
      <c r="J49" s="67">
        <v>0</v>
      </c>
      <c r="K49" s="68">
        <v>0</v>
      </c>
      <c r="L49" s="247"/>
      <c r="M49" s="247"/>
      <c r="N49" s="247"/>
      <c r="O49" s="247"/>
      <c r="P49" s="247"/>
      <c r="Q49" s="247"/>
      <c r="R49" s="41"/>
      <c r="S49" s="41"/>
      <c r="T49" s="41"/>
      <c r="U49" s="41"/>
      <c r="V49" s="41"/>
      <c r="W49" s="41"/>
    </row>
    <row r="50" spans="1:23" ht="15" customHeight="1" x14ac:dyDescent="0.25">
      <c r="A50" s="41"/>
      <c r="B50" s="110" t="s">
        <v>41</v>
      </c>
      <c r="C50" s="95"/>
      <c r="D50" s="67">
        <v>106769.607166637</v>
      </c>
      <c r="E50" s="68">
        <v>0.92072215257247703</v>
      </c>
      <c r="F50" s="70"/>
      <c r="G50" s="67">
        <v>16870.133736222899</v>
      </c>
      <c r="H50" s="68">
        <v>0.23654425438441701</v>
      </c>
      <c r="I50" s="41"/>
      <c r="J50" s="67">
        <v>55510.344621671204</v>
      </c>
      <c r="K50" s="68">
        <v>1.3053547690224701</v>
      </c>
      <c r="L50" s="247"/>
      <c r="M50" s="247"/>
      <c r="N50" s="247"/>
      <c r="O50" s="247"/>
      <c r="P50" s="247"/>
      <c r="Q50" s="247"/>
      <c r="R50" s="41"/>
      <c r="S50" s="41"/>
      <c r="T50" s="41"/>
      <c r="U50" s="41"/>
      <c r="V50" s="41"/>
      <c r="W50" s="41"/>
    </row>
    <row r="51" spans="1:23" ht="15" customHeight="1" x14ac:dyDescent="0.25">
      <c r="A51" s="41"/>
      <c r="B51" s="110" t="s">
        <v>42</v>
      </c>
      <c r="C51" s="95"/>
      <c r="D51" s="67">
        <v>0</v>
      </c>
      <c r="E51" s="68">
        <v>0</v>
      </c>
      <c r="F51" s="70"/>
      <c r="G51" s="67">
        <v>0</v>
      </c>
      <c r="H51" s="68">
        <v>0</v>
      </c>
      <c r="I51" s="41"/>
      <c r="J51" s="67">
        <v>0</v>
      </c>
      <c r="K51" s="68">
        <v>0</v>
      </c>
      <c r="L51" s="247"/>
      <c r="M51" s="247"/>
      <c r="N51" s="247"/>
      <c r="O51" s="247"/>
      <c r="P51" s="247"/>
      <c r="Q51" s="247"/>
      <c r="R51" s="41"/>
      <c r="S51" s="41"/>
      <c r="T51" s="41"/>
      <c r="U51" s="41"/>
      <c r="V51" s="41"/>
      <c r="W51" s="41"/>
    </row>
    <row r="52" spans="1:23" ht="6.95" customHeight="1" x14ac:dyDescent="0.25">
      <c r="A52" s="41"/>
      <c r="B52" s="52"/>
      <c r="C52" s="52"/>
      <c r="D52" s="80"/>
      <c r="E52" s="80"/>
      <c r="F52" s="102"/>
      <c r="G52" s="80"/>
      <c r="H52" s="80"/>
      <c r="I52" s="80"/>
      <c r="J52" s="80"/>
      <c r="K52" s="80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6.95" customHeight="1" x14ac:dyDescent="0.25">
      <c r="A53" s="41"/>
      <c r="B53" s="87"/>
      <c r="C53" s="87"/>
      <c r="D53" s="250"/>
      <c r="E53" s="250"/>
      <c r="F53" s="250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2" customHeight="1" x14ac:dyDescent="0.25">
      <c r="A54" s="41"/>
      <c r="B54" s="191" t="s">
        <v>102</v>
      </c>
      <c r="C54" s="251"/>
      <c r="D54" s="252"/>
      <c r="E54" s="252"/>
      <c r="F54" s="252"/>
      <c r="G54" s="143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2" customHeight="1" x14ac:dyDescent="0.25">
      <c r="A55" s="41"/>
      <c r="B55" s="307" t="s">
        <v>145</v>
      </c>
      <c r="C55" s="307"/>
      <c r="D55" s="307"/>
      <c r="E55" s="307"/>
      <c r="F55" s="307"/>
      <c r="G55" s="307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</sheetData>
  <mergeCells count="6">
    <mergeCell ref="B55:G55"/>
    <mergeCell ref="B7:B9"/>
    <mergeCell ref="D7:E8"/>
    <mergeCell ref="G7:K7"/>
    <mergeCell ref="G8:H8"/>
    <mergeCell ref="J8:K8"/>
  </mergeCells>
  <hyperlinks>
    <hyperlink ref="K1" location="ÍNDICE!A1" tooltip="Ir a ÍNDICE" display="ÍNDICE" xr:uid="{7785A5D2-4405-4B16-8780-A0120159E12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8693-1C3A-485F-8C27-1D0175A0E061}">
  <dimension ref="A1:W58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23" t="s">
        <v>153</v>
      </c>
      <c r="C5" s="323"/>
      <c r="D5" s="323"/>
      <c r="E5" s="323"/>
      <c r="F5" s="323"/>
      <c r="G5" s="323"/>
      <c r="H5" s="34"/>
      <c r="I5" s="32"/>
      <c r="J5" s="32"/>
      <c r="K5" s="40" t="s">
        <v>79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154</v>
      </c>
      <c r="C7" s="42"/>
      <c r="D7" s="308" t="s">
        <v>169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253"/>
      <c r="C10" s="254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255" t="s">
        <v>4</v>
      </c>
      <c r="C11" s="89"/>
      <c r="D11" s="60">
        <v>85074250.450445905</v>
      </c>
      <c r="E11" s="61">
        <v>100</v>
      </c>
      <c r="F11" s="62"/>
      <c r="G11" s="60">
        <v>45189093.536525302</v>
      </c>
      <c r="H11" s="61">
        <v>100</v>
      </c>
      <c r="I11" s="57"/>
      <c r="J11" s="60">
        <v>38949471.211108603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255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56" t="s">
        <v>61</v>
      </c>
      <c r="C13" s="91"/>
      <c r="D13" s="60">
        <v>25705774.531527799</v>
      </c>
      <c r="E13" s="61">
        <v>29.741149963742899</v>
      </c>
      <c r="F13" s="62"/>
      <c r="G13" s="60">
        <v>11907616.4303528</v>
      </c>
      <c r="H13" s="61">
        <v>25.779349272031801</v>
      </c>
      <c r="I13" s="57"/>
      <c r="J13" s="60">
        <v>13401173.4703617</v>
      </c>
      <c r="K13" s="61">
        <v>33.633220648322997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6.95" customHeight="1" x14ac:dyDescent="0.25">
      <c r="A14" s="41"/>
      <c r="B14" s="257"/>
      <c r="C14" s="91"/>
      <c r="D14" s="67"/>
      <c r="E14" s="68"/>
      <c r="F14" s="70"/>
      <c r="G14" s="67"/>
      <c r="H14" s="68"/>
      <c r="I14" s="41"/>
      <c r="J14" s="67"/>
      <c r="K14" s="68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69" t="s">
        <v>62</v>
      </c>
      <c r="C15" s="95"/>
      <c r="D15" s="67">
        <v>2232454.6854272601</v>
      </c>
      <c r="E15" s="68">
        <v>8.3963540976060802</v>
      </c>
      <c r="F15" s="70"/>
      <c r="G15" s="67">
        <v>774820.98026233597</v>
      </c>
      <c r="H15" s="68">
        <v>6.2398256856133996</v>
      </c>
      <c r="I15" s="41"/>
      <c r="J15" s="67">
        <v>1331025.69826833</v>
      </c>
      <c r="K15" s="68">
        <v>9.5016176165284705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258" t="s">
        <v>124</v>
      </c>
      <c r="C16" s="95"/>
      <c r="D16" s="67">
        <v>214342.713728114</v>
      </c>
      <c r="E16" s="68">
        <v>0.80557324770878902</v>
      </c>
      <c r="F16" s="70"/>
      <c r="G16" s="67">
        <v>90357.282750583196</v>
      </c>
      <c r="H16" s="68">
        <v>0.72235534944596602</v>
      </c>
      <c r="I16" s="41"/>
      <c r="J16" s="67">
        <v>89828.048517429197</v>
      </c>
      <c r="K16" s="68">
        <v>0.639370132747489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58" t="s">
        <v>125</v>
      </c>
      <c r="C17" s="95"/>
      <c r="D17" s="67">
        <v>200293.89182728299</v>
      </c>
      <c r="E17" s="68">
        <v>0.75079412249099997</v>
      </c>
      <c r="F17" s="70"/>
      <c r="G17" s="67">
        <v>34331.339632507101</v>
      </c>
      <c r="H17" s="68">
        <v>0.273571331584546</v>
      </c>
      <c r="I17" s="41"/>
      <c r="J17" s="67">
        <v>136655.174949154</v>
      </c>
      <c r="K17" s="68">
        <v>0.96944821032152095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58" t="s">
        <v>200</v>
      </c>
      <c r="C18" s="95"/>
      <c r="D18" s="67">
        <v>2232631.63864118</v>
      </c>
      <c r="E18" s="68">
        <v>8.4163468816773701</v>
      </c>
      <c r="F18" s="70"/>
      <c r="G18" s="67">
        <v>857396.67384576995</v>
      </c>
      <c r="H18" s="68">
        <v>6.8474617136593299</v>
      </c>
      <c r="I18" s="41"/>
      <c r="J18" s="67">
        <v>1264479.5941032399</v>
      </c>
      <c r="K18" s="68">
        <v>9.0361481168907698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258" t="s">
        <v>201</v>
      </c>
      <c r="C19" s="95"/>
      <c r="D19" s="67">
        <v>716010.735579798</v>
      </c>
      <c r="E19" s="68">
        <v>2.69265182635267</v>
      </c>
      <c r="F19" s="70"/>
      <c r="G19" s="67">
        <v>165075.69962814701</v>
      </c>
      <c r="H19" s="68">
        <v>1.32151605029071</v>
      </c>
      <c r="I19" s="41"/>
      <c r="J19" s="67">
        <v>487259.41801283997</v>
      </c>
      <c r="K19" s="68">
        <v>3.47881502168332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258" t="s">
        <v>63</v>
      </c>
      <c r="C20" s="95"/>
      <c r="D20" s="67">
        <v>143151.461725114</v>
      </c>
      <c r="E20" s="68">
        <v>0.53696237016870396</v>
      </c>
      <c r="F20" s="70"/>
      <c r="G20" s="67">
        <v>35610.294929272299</v>
      </c>
      <c r="H20" s="68">
        <v>0.28419144540045699</v>
      </c>
      <c r="I20" s="41"/>
      <c r="J20" s="67">
        <v>75281.816156939298</v>
      </c>
      <c r="K20" s="68">
        <v>0.53419576485875397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15" customHeight="1" x14ac:dyDescent="0.25">
      <c r="A21" s="41"/>
      <c r="B21" s="258" t="s">
        <v>64</v>
      </c>
      <c r="C21" s="95"/>
      <c r="D21" s="67">
        <v>19164973.635405902</v>
      </c>
      <c r="E21" s="68">
        <v>73.277089008085795</v>
      </c>
      <c r="F21" s="70"/>
      <c r="G21" s="67">
        <v>9448217.88647848</v>
      </c>
      <c r="H21" s="68">
        <v>77.742055442581403</v>
      </c>
      <c r="I21" s="41"/>
      <c r="J21" s="67">
        <v>9384943.7989734299</v>
      </c>
      <c r="K21" s="68">
        <v>68.248493011650993</v>
      </c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6.95" customHeight="1" x14ac:dyDescent="0.25">
      <c r="A22" s="41"/>
      <c r="B22" s="257"/>
      <c r="C22" s="91"/>
      <c r="D22" s="67"/>
      <c r="E22" s="68"/>
      <c r="F22" s="70"/>
      <c r="G22" s="67"/>
      <c r="H22" s="68"/>
      <c r="I22" s="41"/>
      <c r="J22" s="67"/>
      <c r="K22" s="6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s="6" customFormat="1" ht="15" customHeight="1" x14ac:dyDescent="0.25">
      <c r="A23" s="57"/>
      <c r="B23" s="256" t="s">
        <v>65</v>
      </c>
      <c r="C23" s="95"/>
      <c r="D23" s="60">
        <v>58351355.443909399</v>
      </c>
      <c r="E23" s="61">
        <v>68.008643391046604</v>
      </c>
      <c r="F23" s="62"/>
      <c r="G23" s="60">
        <v>32753273.236138001</v>
      </c>
      <c r="H23" s="61">
        <v>71.642833478396398</v>
      </c>
      <c r="I23" s="57"/>
      <c r="J23" s="60">
        <v>24937596.947499901</v>
      </c>
      <c r="K23" s="61">
        <v>63.101641914063798</v>
      </c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</row>
    <row r="24" spans="1:23" ht="6.95" customHeight="1" x14ac:dyDescent="0.25">
      <c r="A24" s="41"/>
      <c r="B24" s="257"/>
      <c r="C24" s="97"/>
      <c r="D24" s="259"/>
      <c r="E24" s="259"/>
      <c r="F24" s="97"/>
      <c r="G24" s="259"/>
      <c r="H24" s="259"/>
      <c r="I24" s="259"/>
      <c r="J24" s="259"/>
      <c r="K24" s="259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60" t="s">
        <v>2</v>
      </c>
      <c r="C25" s="97"/>
      <c r="D25" s="60">
        <v>27919808.370060898</v>
      </c>
      <c r="E25" s="61">
        <v>100</v>
      </c>
      <c r="F25" s="62"/>
      <c r="G25" s="60">
        <v>15147712.0036007</v>
      </c>
      <c r="H25" s="61">
        <v>100</v>
      </c>
      <c r="I25" s="57"/>
      <c r="J25" s="60">
        <v>12466861.324348001</v>
      </c>
      <c r="K25" s="61">
        <v>100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6.95" customHeight="1" x14ac:dyDescent="0.25">
      <c r="A26" s="41"/>
      <c r="B26" s="261"/>
      <c r="C26" s="97"/>
      <c r="D26" s="60"/>
      <c r="E26" s="61"/>
      <c r="F26" s="62"/>
      <c r="G26" s="60"/>
      <c r="H26" s="61"/>
      <c r="I26" s="57"/>
      <c r="J26" s="60"/>
      <c r="K26" s="6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s="6" customFormat="1" ht="15" customHeight="1" x14ac:dyDescent="0.25">
      <c r="A27" s="57"/>
      <c r="B27" s="256" t="s">
        <v>61</v>
      </c>
      <c r="C27" s="91"/>
      <c r="D27" s="60">
        <v>5888629.3276485</v>
      </c>
      <c r="E27" s="61">
        <v>20.2540523932193</v>
      </c>
      <c r="F27" s="62"/>
      <c r="G27" s="60">
        <v>2758339.85697931</v>
      </c>
      <c r="H27" s="61">
        <v>17.391321618501401</v>
      </c>
      <c r="I27" s="57"/>
      <c r="J27" s="60">
        <v>2973592.2068536598</v>
      </c>
      <c r="K27" s="61">
        <v>22.6227834015538</v>
      </c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</row>
    <row r="28" spans="1:23" ht="6.95" customHeight="1" x14ac:dyDescent="0.25">
      <c r="A28" s="41"/>
      <c r="B28" s="257"/>
      <c r="C28" s="91"/>
      <c r="D28" s="67"/>
      <c r="E28" s="68"/>
      <c r="F28" s="70"/>
      <c r="G28" s="67"/>
      <c r="H28" s="68"/>
      <c r="I28" s="41"/>
      <c r="J28" s="67"/>
      <c r="K28" s="68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69" t="s">
        <v>62</v>
      </c>
      <c r="C29" s="95"/>
      <c r="D29" s="67">
        <v>112800.215459827</v>
      </c>
      <c r="E29" s="68">
        <v>1.7720203865078701</v>
      </c>
      <c r="F29" s="70"/>
      <c r="G29" s="67">
        <v>0</v>
      </c>
      <c r="H29" s="68">
        <v>3.5581174394796002E-2</v>
      </c>
      <c r="I29" s="41"/>
      <c r="J29" s="67">
        <v>80108.780553294302</v>
      </c>
      <c r="K29" s="68">
        <v>2.36059437594204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58" t="s">
        <v>124</v>
      </c>
      <c r="C30" s="95"/>
      <c r="D30" s="67">
        <v>8545.4803294994108</v>
      </c>
      <c r="E30" s="68">
        <v>0.12973134600295899</v>
      </c>
      <c r="F30" s="70"/>
      <c r="G30" s="67">
        <v>0</v>
      </c>
      <c r="H30" s="68">
        <v>0</v>
      </c>
      <c r="I30" s="41"/>
      <c r="J30" s="67">
        <v>0</v>
      </c>
      <c r="K30" s="68">
        <v>0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258" t="s">
        <v>125</v>
      </c>
      <c r="C31" s="95"/>
      <c r="D31" s="67">
        <v>6643.2466658097601</v>
      </c>
      <c r="E31" s="68">
        <v>0.100215668881625</v>
      </c>
      <c r="F31" s="70"/>
      <c r="G31" s="67">
        <v>0</v>
      </c>
      <c r="H31" s="68">
        <v>0</v>
      </c>
      <c r="I31" s="41"/>
      <c r="J31" s="67">
        <v>4026.2512849397099</v>
      </c>
      <c r="K31" s="68">
        <v>0.11284999227918099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258" t="s">
        <v>200</v>
      </c>
      <c r="C32" s="95"/>
      <c r="D32" s="67">
        <v>377831.56953946</v>
      </c>
      <c r="E32" s="68">
        <v>5.8952852374215201</v>
      </c>
      <c r="F32" s="70"/>
      <c r="G32" s="67">
        <v>141457.948283932</v>
      </c>
      <c r="H32" s="68">
        <v>4.6342619760666199</v>
      </c>
      <c r="I32" s="41"/>
      <c r="J32" s="67">
        <v>189915.57569395201</v>
      </c>
      <c r="K32" s="68">
        <v>5.7056843673437001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258" t="s">
        <v>201</v>
      </c>
      <c r="C33" s="95"/>
      <c r="D33" s="67">
        <v>23888.779422559899</v>
      </c>
      <c r="E33" s="68">
        <v>0.36420389602813102</v>
      </c>
      <c r="F33" s="70"/>
      <c r="G33" s="67">
        <v>2828.30786357737</v>
      </c>
      <c r="H33" s="68">
        <v>8.8472519328946203E-2</v>
      </c>
      <c r="I33" s="41"/>
      <c r="J33" s="67">
        <v>8150.0456026644297</v>
      </c>
      <c r="K33" s="68">
        <v>0.243402753373511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258" t="s">
        <v>63</v>
      </c>
      <c r="C34" s="95"/>
      <c r="D34" s="67">
        <v>509.71299533711903</v>
      </c>
      <c r="E34" s="68">
        <v>7.4376005762305701E-3</v>
      </c>
      <c r="F34" s="70"/>
      <c r="G34" s="67">
        <v>0</v>
      </c>
      <c r="H34" s="68">
        <v>0</v>
      </c>
      <c r="I34" s="41"/>
      <c r="J34" s="67">
        <v>495.13663781088297</v>
      </c>
      <c r="K34" s="68">
        <v>1.3294727811928799E-2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58" t="s">
        <v>64</v>
      </c>
      <c r="C35" s="95"/>
      <c r="D35" s="67">
        <v>5042232.9870981798</v>
      </c>
      <c r="E35" s="68">
        <v>83.200875342589597</v>
      </c>
      <c r="F35" s="70"/>
      <c r="G35" s="67">
        <v>2424375.2806494301</v>
      </c>
      <c r="H35" s="68">
        <v>84.786112827240402</v>
      </c>
      <c r="I35" s="41"/>
      <c r="J35" s="67">
        <v>2464070.7113501099</v>
      </c>
      <c r="K35" s="68">
        <v>80.213374967593694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6.95" customHeight="1" x14ac:dyDescent="0.25">
      <c r="A36" s="41"/>
      <c r="B36" s="257"/>
      <c r="C36" s="91"/>
      <c r="D36" s="67"/>
      <c r="E36" s="68"/>
      <c r="F36" s="70"/>
      <c r="G36" s="67"/>
      <c r="H36" s="68"/>
      <c r="I36" s="41"/>
      <c r="J36" s="67"/>
      <c r="K36" s="68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s="6" customFormat="1" ht="15" customHeight="1" x14ac:dyDescent="0.25">
      <c r="A37" s="57"/>
      <c r="B37" s="256" t="s">
        <v>65</v>
      </c>
      <c r="C37" s="95"/>
      <c r="D37" s="60">
        <v>21678378.224590302</v>
      </c>
      <c r="E37" s="61">
        <v>76.067177174392398</v>
      </c>
      <c r="F37" s="62"/>
      <c r="G37" s="60">
        <v>12187564.711950099</v>
      </c>
      <c r="H37" s="61">
        <v>78.771817480609499</v>
      </c>
      <c r="I37" s="57"/>
      <c r="J37" s="60">
        <v>9210879.4436943997</v>
      </c>
      <c r="K37" s="61">
        <v>71.714831277393102</v>
      </c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</row>
    <row r="38" spans="1:23" ht="6.95" customHeight="1" x14ac:dyDescent="0.25">
      <c r="A38" s="41"/>
      <c r="B38" s="261"/>
      <c r="C38" s="97"/>
      <c r="D38" s="259"/>
      <c r="E38" s="259"/>
      <c r="F38" s="97"/>
      <c r="G38" s="259"/>
      <c r="H38" s="259"/>
      <c r="I38" s="259"/>
      <c r="J38" s="259"/>
      <c r="K38" s="259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6" customFormat="1" ht="15" customHeight="1" x14ac:dyDescent="0.25">
      <c r="A39" s="57"/>
      <c r="B39" s="260" t="s">
        <v>3</v>
      </c>
      <c r="C39" s="97"/>
      <c r="D39" s="60">
        <v>54724471.783623897</v>
      </c>
      <c r="E39" s="61">
        <v>100</v>
      </c>
      <c r="F39" s="62"/>
      <c r="G39" s="60">
        <v>28733115.775626201</v>
      </c>
      <c r="H39" s="61">
        <v>100</v>
      </c>
      <c r="I39" s="57"/>
      <c r="J39" s="60">
        <v>25428611.494824</v>
      </c>
      <c r="K39" s="61">
        <v>100</v>
      </c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</row>
    <row r="40" spans="1:23" ht="6.95" customHeight="1" x14ac:dyDescent="0.25">
      <c r="A40" s="41"/>
      <c r="B40" s="261"/>
      <c r="C40" s="97"/>
      <c r="D40" s="60"/>
      <c r="E40" s="61"/>
      <c r="F40" s="62"/>
      <c r="G40" s="60"/>
      <c r="H40" s="61"/>
      <c r="I40" s="57"/>
      <c r="J40" s="60"/>
      <c r="K40" s="6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s="6" customFormat="1" ht="15" customHeight="1" x14ac:dyDescent="0.25">
      <c r="A41" s="57"/>
      <c r="B41" s="256" t="s">
        <v>61</v>
      </c>
      <c r="C41" s="91"/>
      <c r="D41" s="60">
        <v>19148773.876887798</v>
      </c>
      <c r="E41" s="61">
        <v>34.056408599955901</v>
      </c>
      <c r="F41" s="62"/>
      <c r="G41" s="60">
        <v>8796531.3777239006</v>
      </c>
      <c r="H41" s="61">
        <v>29.574298189491302</v>
      </c>
      <c r="I41" s="57"/>
      <c r="J41" s="60">
        <v>10027077.212226201</v>
      </c>
      <c r="K41" s="61">
        <v>38.253636777103999</v>
      </c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</row>
    <row r="42" spans="1:23" ht="6.95" customHeight="1" x14ac:dyDescent="0.25">
      <c r="A42" s="41"/>
      <c r="B42" s="257"/>
      <c r="C42" s="91"/>
      <c r="D42" s="67"/>
      <c r="E42" s="68"/>
      <c r="F42" s="70"/>
      <c r="G42" s="67"/>
      <c r="H42" s="68"/>
      <c r="I42" s="41"/>
      <c r="J42" s="67"/>
      <c r="K42" s="68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15" customHeight="1" x14ac:dyDescent="0.25">
      <c r="A43" s="41"/>
      <c r="B43" s="69" t="s">
        <v>62</v>
      </c>
      <c r="C43" s="95"/>
      <c r="D43" s="67">
        <v>2020391.36665199</v>
      </c>
      <c r="E43" s="68">
        <v>10.1193348819876</v>
      </c>
      <c r="F43" s="70"/>
      <c r="G43" s="67">
        <v>721706.18579141004</v>
      </c>
      <c r="H43" s="68">
        <v>7.8045265980219796</v>
      </c>
      <c r="I43" s="41"/>
      <c r="J43" s="67">
        <v>1175913.9567601001</v>
      </c>
      <c r="K43" s="68">
        <v>11.1581794453048</v>
      </c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15" customHeight="1" x14ac:dyDescent="0.25">
      <c r="A44" s="41"/>
      <c r="B44" s="258" t="s">
        <v>124</v>
      </c>
      <c r="C44" s="95"/>
      <c r="D44" s="67">
        <v>183560.539000308</v>
      </c>
      <c r="E44" s="68">
        <v>0.91697438689799304</v>
      </c>
      <c r="F44" s="70"/>
      <c r="G44" s="67">
        <v>73583.027319465706</v>
      </c>
      <c r="H44" s="68">
        <v>0.78681753888126105</v>
      </c>
      <c r="I44" s="41"/>
      <c r="J44" s="67">
        <v>77410.526495863203</v>
      </c>
      <c r="K44" s="68">
        <v>0.72986998104827705</v>
      </c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5" customHeight="1" x14ac:dyDescent="0.25">
      <c r="A45" s="41"/>
      <c r="B45" s="258" t="s">
        <v>125</v>
      </c>
      <c r="C45" s="95"/>
      <c r="D45" s="67">
        <v>177513.75561694399</v>
      </c>
      <c r="E45" s="68">
        <v>0.885067520250437</v>
      </c>
      <c r="F45" s="70"/>
      <c r="G45" s="67">
        <v>28759.220972169998</v>
      </c>
      <c r="H45" s="68">
        <v>0.30549813252719099</v>
      </c>
      <c r="I45" s="41"/>
      <c r="J45" s="67">
        <v>120630.749908639</v>
      </c>
      <c r="K45" s="68">
        <v>1.1348286941610599</v>
      </c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  <row r="46" spans="1:23" ht="15" customHeight="1" x14ac:dyDescent="0.25">
      <c r="A46" s="41"/>
      <c r="B46" s="258" t="s">
        <v>200</v>
      </c>
      <c r="C46" s="95"/>
      <c r="D46" s="67">
        <v>1736717.53429524</v>
      </c>
      <c r="E46" s="68">
        <v>8.7297391633128694</v>
      </c>
      <c r="F46" s="70"/>
      <c r="G46" s="67">
        <v>643706.57594723895</v>
      </c>
      <c r="H46" s="68">
        <v>6.8833520122625798</v>
      </c>
      <c r="I46" s="41"/>
      <c r="J46" s="67">
        <v>992418.40228254104</v>
      </c>
      <c r="K46" s="68">
        <v>9.4060066161522506</v>
      </c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</row>
    <row r="47" spans="1:23" ht="15" customHeight="1" x14ac:dyDescent="0.25">
      <c r="A47" s="41"/>
      <c r="B47" s="258" t="s">
        <v>201</v>
      </c>
      <c r="C47" s="95"/>
      <c r="D47" s="67">
        <v>652206.54788042302</v>
      </c>
      <c r="E47" s="68">
        <v>3.26814919773715</v>
      </c>
      <c r="F47" s="70"/>
      <c r="G47" s="67">
        <v>144700.24778257601</v>
      </c>
      <c r="H47" s="68">
        <v>1.55351263002243</v>
      </c>
      <c r="I47" s="41"/>
      <c r="J47" s="67">
        <v>444909.03339232301</v>
      </c>
      <c r="K47" s="68">
        <v>4.2229058869671796</v>
      </c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</row>
    <row r="48" spans="1:23" ht="15" customHeight="1" x14ac:dyDescent="0.25">
      <c r="A48" s="41"/>
      <c r="B48" s="258" t="s">
        <v>63</v>
      </c>
      <c r="C48" s="95"/>
      <c r="D48" s="67">
        <v>119109.19268911899</v>
      </c>
      <c r="E48" s="68">
        <v>0.59543985302379199</v>
      </c>
      <c r="F48" s="70"/>
      <c r="G48" s="67">
        <v>25647.890276444599</v>
      </c>
      <c r="H48" s="68">
        <v>0.274266282377085</v>
      </c>
      <c r="I48" s="41"/>
      <c r="J48" s="67">
        <v>64547.827276021002</v>
      </c>
      <c r="K48" s="68">
        <v>0.60675119338828898</v>
      </c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</row>
    <row r="49" spans="1:23" ht="15" customHeight="1" x14ac:dyDescent="0.25">
      <c r="A49" s="41"/>
      <c r="B49" s="258" t="s">
        <v>64</v>
      </c>
      <c r="C49" s="95"/>
      <c r="D49" s="67">
        <v>13562794.898170499</v>
      </c>
      <c r="E49" s="68">
        <v>69.304056632384004</v>
      </c>
      <c r="F49" s="70"/>
      <c r="G49" s="67">
        <v>6722128.2303117197</v>
      </c>
      <c r="H49" s="68">
        <v>74.487509473869096</v>
      </c>
      <c r="I49" s="41"/>
      <c r="J49" s="67">
        <v>6578079.16059063</v>
      </c>
      <c r="K49" s="68">
        <v>63.456729286972198</v>
      </c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</row>
    <row r="50" spans="1:23" ht="6.95" customHeight="1" x14ac:dyDescent="0.25">
      <c r="A50" s="41"/>
      <c r="B50" s="257"/>
      <c r="C50" s="91"/>
      <c r="D50" s="67"/>
      <c r="E50" s="68"/>
      <c r="F50" s="70"/>
      <c r="G50" s="67"/>
      <c r="H50" s="68"/>
      <c r="I50" s="41"/>
      <c r="J50" s="67"/>
      <c r="K50" s="68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</row>
    <row r="51" spans="1:23" s="6" customFormat="1" ht="15" customHeight="1" x14ac:dyDescent="0.25">
      <c r="A51" s="57"/>
      <c r="B51" s="256" t="s">
        <v>65</v>
      </c>
      <c r="C51" s="95"/>
      <c r="D51" s="60">
        <v>34952973.122868799</v>
      </c>
      <c r="E51" s="61">
        <v>63.075880710801101</v>
      </c>
      <c r="F51" s="62"/>
      <c r="G51" s="60">
        <v>19559056.43361</v>
      </c>
      <c r="H51" s="61">
        <v>67.0179984262478</v>
      </c>
      <c r="I51" s="57"/>
      <c r="J51" s="60">
        <v>14971129.747190701</v>
      </c>
      <c r="K51" s="61">
        <v>57.724250462612297</v>
      </c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</row>
    <row r="52" spans="1:23" ht="6.95" customHeight="1" x14ac:dyDescent="0.25">
      <c r="A52" s="41"/>
      <c r="B52" s="262"/>
      <c r="C52" s="262"/>
      <c r="D52" s="80"/>
      <c r="E52" s="80"/>
      <c r="F52" s="209"/>
      <c r="G52" s="80"/>
      <c r="H52" s="80"/>
      <c r="I52" s="80"/>
      <c r="J52" s="80"/>
      <c r="K52" s="80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</row>
    <row r="53" spans="1:23" ht="6.95" customHeight="1" x14ac:dyDescent="0.25">
      <c r="A53" s="41"/>
      <c r="B53" s="263"/>
      <c r="C53" s="263"/>
      <c r="D53" s="211"/>
      <c r="E53" s="211"/>
      <c r="F53" s="21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</row>
    <row r="54" spans="1:23" ht="12" customHeight="1" x14ac:dyDescent="0.25">
      <c r="A54" s="41"/>
      <c r="B54" s="264" t="s">
        <v>142</v>
      </c>
      <c r="C54" s="265"/>
      <c r="D54" s="266"/>
      <c r="E54" s="266"/>
      <c r="F54" s="266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</row>
    <row r="55" spans="1:23" ht="12" customHeight="1" x14ac:dyDescent="0.25">
      <c r="A55" s="41"/>
      <c r="B55" s="307" t="s">
        <v>145</v>
      </c>
      <c r="C55" s="307"/>
      <c r="D55" s="307"/>
      <c r="E55" s="307"/>
      <c r="F55" s="307"/>
      <c r="G55" s="307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</row>
    <row r="56" spans="1:23" x14ac:dyDescent="0.25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</row>
    <row r="57" spans="1:23" x14ac:dyDescent="0.25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</row>
    <row r="58" spans="1:23" ht="6.95" customHeight="1" x14ac:dyDescent="0.25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</row>
  </sheetData>
  <mergeCells count="7">
    <mergeCell ref="B55:G55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06FEC319-B5F1-430C-81B0-46867C4D22A7}"/>
  </hyperlink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6A8CA-DC44-4A94-A79D-D9E0E38328D4}">
  <dimension ref="A1:W45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5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168</v>
      </c>
      <c r="C5" s="245"/>
      <c r="D5" s="245"/>
      <c r="E5" s="245"/>
      <c r="F5" s="245"/>
      <c r="G5" s="245"/>
      <c r="H5" s="34"/>
      <c r="I5" s="32"/>
      <c r="J5" s="32"/>
      <c r="K5" s="40" t="s">
        <v>78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195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ht="15" customHeight="1" x14ac:dyDescent="0.25">
      <c r="A11" s="41"/>
      <c r="B11" s="109" t="s">
        <v>1</v>
      </c>
      <c r="C11" s="89"/>
      <c r="D11" s="60">
        <v>53212292.201383904</v>
      </c>
      <c r="E11" s="61">
        <v>100</v>
      </c>
      <c r="F11" s="62"/>
      <c r="G11" s="60">
        <v>26264570.384937</v>
      </c>
      <c r="H11" s="61">
        <v>100</v>
      </c>
      <c r="I11" s="57"/>
      <c r="J11" s="60">
        <v>26326428.950599998</v>
      </c>
      <c r="K11" s="61">
        <v>100</v>
      </c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267" t="s">
        <v>155</v>
      </c>
      <c r="C13" s="91"/>
      <c r="D13" s="67">
        <v>23678792.143121298</v>
      </c>
      <c r="E13" s="68">
        <v>43.848801159726499</v>
      </c>
      <c r="F13" s="70"/>
      <c r="G13" s="67">
        <v>11683399.4077029</v>
      </c>
      <c r="H13" s="68">
        <v>43.559893156207302</v>
      </c>
      <c r="I13" s="41"/>
      <c r="J13" s="67">
        <v>11616533.1294627</v>
      </c>
      <c r="K13" s="68">
        <v>43.107230139166397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268" t="s">
        <v>71</v>
      </c>
      <c r="C14" s="95"/>
      <c r="D14" s="67">
        <v>13884319.5819741</v>
      </c>
      <c r="E14" s="68">
        <v>25.581031946629899</v>
      </c>
      <c r="F14" s="70"/>
      <c r="G14" s="67">
        <v>5870023.67760251</v>
      </c>
      <c r="H14" s="68">
        <v>21.6918311132242</v>
      </c>
      <c r="I14" s="41"/>
      <c r="J14" s="67">
        <v>7739521.60475583</v>
      </c>
      <c r="K14" s="68">
        <v>28.6071438036338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30" customHeight="1" x14ac:dyDescent="0.25">
      <c r="A15" s="41"/>
      <c r="B15" s="269" t="s">
        <v>196</v>
      </c>
      <c r="C15" s="95"/>
      <c r="D15" s="67">
        <v>4756574.5224801796</v>
      </c>
      <c r="E15" s="68">
        <v>8.7565758586838403</v>
      </c>
      <c r="F15" s="70"/>
      <c r="G15" s="67">
        <v>1910198.5315093801</v>
      </c>
      <c r="H15" s="68">
        <v>7.0555488973971903</v>
      </c>
      <c r="I15" s="41"/>
      <c r="J15" s="67">
        <v>2617278.9393744199</v>
      </c>
      <c r="K15" s="68">
        <v>9.6901729292008696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30" customHeight="1" x14ac:dyDescent="0.25">
      <c r="A16" s="41"/>
      <c r="B16" s="269" t="s">
        <v>215</v>
      </c>
      <c r="C16" s="95"/>
      <c r="D16" s="67">
        <v>1386916.09139799</v>
      </c>
      <c r="E16" s="68">
        <v>2.5422975754336798</v>
      </c>
      <c r="F16" s="70"/>
      <c r="G16" s="67">
        <v>788971.484493564</v>
      </c>
      <c r="H16" s="68">
        <v>2.89566928012733</v>
      </c>
      <c r="I16" s="41"/>
      <c r="J16" s="67">
        <v>512168.42500858998</v>
      </c>
      <c r="K16" s="68">
        <v>1.87419099822367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69" t="s">
        <v>203</v>
      </c>
      <c r="C17" s="95"/>
      <c r="D17" s="67">
        <v>624487.80555755401</v>
      </c>
      <c r="E17" s="68">
        <v>1.1435528023552299</v>
      </c>
      <c r="F17" s="70"/>
      <c r="G17" s="67">
        <v>346994.49553862202</v>
      </c>
      <c r="H17" s="68">
        <v>1.27393393600109</v>
      </c>
      <c r="I17" s="41"/>
      <c r="J17" s="67">
        <v>206084.97193673701</v>
      </c>
      <c r="K17" s="68">
        <v>0.75377616115996404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69" t="s">
        <v>204</v>
      </c>
      <c r="C18" s="95"/>
      <c r="D18" s="67">
        <v>6837270.4919227697</v>
      </c>
      <c r="E18" s="68">
        <v>12.574992767494701</v>
      </c>
      <c r="F18" s="70"/>
      <c r="G18" s="67">
        <v>4281522.6583829299</v>
      </c>
      <c r="H18" s="68">
        <v>15.8283735576338</v>
      </c>
      <c r="I18" s="41"/>
      <c r="J18" s="67">
        <v>2312996.4920541001</v>
      </c>
      <c r="K18" s="68">
        <v>8.5215541745658108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15" customHeight="1" x14ac:dyDescent="0.25">
      <c r="A19" s="41"/>
      <c r="B19" s="269" t="s">
        <v>202</v>
      </c>
      <c r="C19" s="95"/>
      <c r="D19" s="67">
        <v>30965.1040391965</v>
      </c>
      <c r="E19" s="68">
        <v>5.6635569970943503E-2</v>
      </c>
      <c r="F19" s="70"/>
      <c r="G19" s="67">
        <v>23580.9728869793</v>
      </c>
      <c r="H19" s="68">
        <v>8.6193117978941303E-2</v>
      </c>
      <c r="I19" s="41"/>
      <c r="J19" s="67">
        <v>0</v>
      </c>
      <c r="K19" s="68">
        <v>0</v>
      </c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ht="15" customHeight="1" x14ac:dyDescent="0.25">
      <c r="A20" s="41"/>
      <c r="B20" s="110" t="s">
        <v>118</v>
      </c>
      <c r="C20" s="95"/>
      <c r="D20" s="67">
        <v>101.063682340185</v>
      </c>
      <c r="E20" s="68">
        <v>1.8265857597292299E-4</v>
      </c>
      <c r="F20" s="70"/>
      <c r="G20" s="67">
        <v>0</v>
      </c>
      <c r="H20" s="68">
        <v>0</v>
      </c>
      <c r="I20" s="41"/>
      <c r="J20" s="67">
        <v>0</v>
      </c>
      <c r="K20" s="68">
        <v>0</v>
      </c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</row>
    <row r="21" spans="1:23" ht="6.95" customHeight="1" x14ac:dyDescent="0.25">
      <c r="A21" s="41"/>
      <c r="B21" s="270"/>
      <c r="C21" s="95"/>
      <c r="D21" s="131"/>
      <c r="E21" s="131"/>
      <c r="F21" s="94"/>
      <c r="G21" s="131"/>
      <c r="H21" s="131"/>
      <c r="I21" s="131"/>
      <c r="J21" s="131"/>
      <c r="K21" s="13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271" t="s">
        <v>2</v>
      </c>
      <c r="C22" s="95"/>
      <c r="D22" s="60">
        <v>14082825.1384091</v>
      </c>
      <c r="E22" s="61">
        <v>100</v>
      </c>
      <c r="F22" s="62"/>
      <c r="G22" s="60">
        <v>7069718.5974771101</v>
      </c>
      <c r="H22" s="61">
        <v>100</v>
      </c>
      <c r="I22" s="57"/>
      <c r="J22" s="60">
        <v>6792807.9209150597</v>
      </c>
      <c r="K22" s="61">
        <v>100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6.95" customHeight="1" x14ac:dyDescent="0.25">
      <c r="A23" s="41"/>
      <c r="B23" s="272"/>
      <c r="C23" s="95"/>
      <c r="D23" s="67"/>
      <c r="E23" s="68"/>
      <c r="F23" s="70"/>
      <c r="G23" s="67"/>
      <c r="H23" s="68"/>
      <c r="I23" s="41"/>
      <c r="J23" s="67"/>
      <c r="K23" s="68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267" t="s">
        <v>155</v>
      </c>
      <c r="C24" s="91"/>
      <c r="D24" s="67">
        <v>5220464.2889479399</v>
      </c>
      <c r="E24" s="68">
        <v>35.763884590466198</v>
      </c>
      <c r="F24" s="70"/>
      <c r="G24" s="67">
        <v>2535915.1326836701</v>
      </c>
      <c r="H24" s="68">
        <v>34.277186240692401</v>
      </c>
      <c r="I24" s="41"/>
      <c r="J24" s="67">
        <v>2528783.0139375702</v>
      </c>
      <c r="K24" s="68">
        <v>35.156943962356699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268" t="s">
        <v>71</v>
      </c>
      <c r="C25" s="95"/>
      <c r="D25" s="67">
        <v>2705531.7312293299</v>
      </c>
      <c r="E25" s="68">
        <v>18.289441925145798</v>
      </c>
      <c r="F25" s="70"/>
      <c r="G25" s="67">
        <v>873299.40856233705</v>
      </c>
      <c r="H25" s="68">
        <v>11.440421635146899</v>
      </c>
      <c r="I25" s="41"/>
      <c r="J25" s="67">
        <v>1741494.4302672599</v>
      </c>
      <c r="K25" s="68">
        <v>24.296009462659502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30" customHeight="1" x14ac:dyDescent="0.25">
      <c r="A26" s="41"/>
      <c r="B26" s="269" t="s">
        <v>196</v>
      </c>
      <c r="C26" s="95"/>
      <c r="D26" s="67">
        <v>803585.65442406805</v>
      </c>
      <c r="E26" s="68">
        <v>5.3990444715451904</v>
      </c>
      <c r="F26" s="70"/>
      <c r="G26" s="67">
        <v>295636.71799717902</v>
      </c>
      <c r="H26" s="68">
        <v>4.0044117142496303</v>
      </c>
      <c r="I26" s="41"/>
      <c r="J26" s="67">
        <v>364085.41447436099</v>
      </c>
      <c r="K26" s="68">
        <v>5.0745036424932701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30" customHeight="1" x14ac:dyDescent="0.25">
      <c r="A27" s="41"/>
      <c r="B27" s="269" t="s">
        <v>215</v>
      </c>
      <c r="C27" s="95"/>
      <c r="D27" s="67">
        <v>486069.08798612503</v>
      </c>
      <c r="E27" s="68">
        <v>3.1893701638644298</v>
      </c>
      <c r="F27" s="70"/>
      <c r="G27" s="67">
        <v>278608.65142951102</v>
      </c>
      <c r="H27" s="68">
        <v>3.5813875274623999</v>
      </c>
      <c r="I27" s="41"/>
      <c r="J27" s="67">
        <v>149254.67139880999</v>
      </c>
      <c r="K27" s="68">
        <v>1.9945452638279599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15" customHeight="1" x14ac:dyDescent="0.25">
      <c r="A28" s="41"/>
      <c r="B28" s="269" t="s">
        <v>203</v>
      </c>
      <c r="C28" s="95"/>
      <c r="D28" s="67">
        <v>204832.235434456</v>
      </c>
      <c r="E28" s="68">
        <v>1.3281636386322599</v>
      </c>
      <c r="F28" s="70"/>
      <c r="G28" s="67">
        <v>135839.263921882</v>
      </c>
      <c r="H28" s="68">
        <v>1.7262408207644699</v>
      </c>
      <c r="I28" s="41"/>
      <c r="J28" s="67">
        <v>29981.760429675702</v>
      </c>
      <c r="K28" s="68">
        <v>0.39744437288559598</v>
      </c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ht="15" customHeight="1" x14ac:dyDescent="0.25">
      <c r="A29" s="41"/>
      <c r="B29" s="269" t="s">
        <v>204</v>
      </c>
      <c r="C29" s="95"/>
      <c r="D29" s="67">
        <v>3652781.3064711699</v>
      </c>
      <c r="E29" s="68">
        <v>23.905918841208699</v>
      </c>
      <c r="F29" s="70"/>
      <c r="G29" s="67">
        <v>2186667.1489512101</v>
      </c>
      <c r="H29" s="68">
        <v>28.3658893419938</v>
      </c>
      <c r="I29" s="41"/>
      <c r="J29" s="67">
        <v>1326444.9434992699</v>
      </c>
      <c r="K29" s="68">
        <v>17.6559098590681</v>
      </c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</row>
    <row r="30" spans="1:23" ht="15" customHeight="1" x14ac:dyDescent="0.25">
      <c r="A30" s="41"/>
      <c r="B30" s="269" t="s">
        <v>202</v>
      </c>
      <c r="C30" s="95"/>
      <c r="D30" s="67">
        <v>0</v>
      </c>
      <c r="E30" s="68">
        <v>0</v>
      </c>
      <c r="F30" s="70"/>
      <c r="G30" s="67">
        <v>0</v>
      </c>
      <c r="H30" s="68">
        <v>0</v>
      </c>
      <c r="I30" s="41"/>
      <c r="J30" s="67">
        <v>0</v>
      </c>
      <c r="K30" s="68">
        <v>0</v>
      </c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118</v>
      </c>
      <c r="C31" s="95"/>
      <c r="D31" s="67">
        <v>0</v>
      </c>
      <c r="E31" s="68">
        <v>0</v>
      </c>
      <c r="F31" s="70"/>
      <c r="G31" s="67">
        <v>0</v>
      </c>
      <c r="H31" s="68">
        <v>0</v>
      </c>
      <c r="I31" s="41"/>
      <c r="J31" s="67">
        <v>0</v>
      </c>
      <c r="K31" s="68">
        <v>0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6.95" customHeight="1" x14ac:dyDescent="0.25">
      <c r="A32" s="41"/>
      <c r="B32" s="272"/>
      <c r="C32" s="95"/>
      <c r="D32" s="131"/>
      <c r="E32" s="131"/>
      <c r="F32" s="94"/>
      <c r="G32" s="131"/>
      <c r="H32" s="131"/>
      <c r="I32" s="131"/>
      <c r="J32" s="131"/>
      <c r="K32" s="13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271" t="s">
        <v>3</v>
      </c>
      <c r="C33" s="95"/>
      <c r="D33" s="60">
        <v>37721646.714671902</v>
      </c>
      <c r="E33" s="61">
        <v>100</v>
      </c>
      <c r="F33" s="62"/>
      <c r="G33" s="60">
        <v>18449035.518207699</v>
      </c>
      <c r="H33" s="61">
        <v>100</v>
      </c>
      <c r="I33" s="57"/>
      <c r="J33" s="60">
        <v>18831115.855787199</v>
      </c>
      <c r="K33" s="61">
        <v>100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6.95" customHeight="1" x14ac:dyDescent="0.25">
      <c r="A34" s="41"/>
      <c r="B34" s="272"/>
      <c r="C34" s="95"/>
      <c r="D34" s="67"/>
      <c r="E34" s="68"/>
      <c r="F34" s="70"/>
      <c r="G34" s="67"/>
      <c r="H34" s="68"/>
      <c r="I34" s="41"/>
      <c r="J34" s="67"/>
      <c r="K34" s="68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67" t="s">
        <v>155</v>
      </c>
      <c r="C35" s="91"/>
      <c r="D35" s="67">
        <v>17779325.249055699</v>
      </c>
      <c r="E35" s="68">
        <v>46.249623152278502</v>
      </c>
      <c r="F35" s="70"/>
      <c r="G35" s="67">
        <v>8726136.3834979609</v>
      </c>
      <c r="H35" s="68">
        <v>46.2149977723126</v>
      </c>
      <c r="I35" s="41"/>
      <c r="J35" s="67">
        <v>8748514.2556522097</v>
      </c>
      <c r="K35" s="68">
        <v>45.125154054066897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268" t="s">
        <v>71</v>
      </c>
      <c r="C36" s="95"/>
      <c r="D36" s="67">
        <v>10716989.7814632</v>
      </c>
      <c r="E36" s="68">
        <v>27.597875301640599</v>
      </c>
      <c r="F36" s="70"/>
      <c r="G36" s="67">
        <v>4778888.46907272</v>
      </c>
      <c r="H36" s="68">
        <v>24.891568376482802</v>
      </c>
      <c r="I36" s="41"/>
      <c r="J36" s="67">
        <v>5692239.5955979303</v>
      </c>
      <c r="K36" s="68">
        <v>29.175570270580099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30" customHeight="1" x14ac:dyDescent="0.25">
      <c r="A37" s="41"/>
      <c r="B37" s="269" t="s">
        <v>196</v>
      </c>
      <c r="C37" s="95"/>
      <c r="D37" s="67">
        <v>3728442.0362374899</v>
      </c>
      <c r="E37" s="68">
        <v>9.5975717226839503</v>
      </c>
      <c r="F37" s="70"/>
      <c r="G37" s="67">
        <v>1465713.9321979799</v>
      </c>
      <c r="H37" s="68">
        <v>7.5800290144350599</v>
      </c>
      <c r="I37" s="41"/>
      <c r="J37" s="67">
        <v>2108696.6801890102</v>
      </c>
      <c r="K37" s="68">
        <v>10.837193239126799</v>
      </c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30" customHeight="1" x14ac:dyDescent="0.25">
      <c r="A38" s="41"/>
      <c r="B38" s="269" t="s">
        <v>215</v>
      </c>
      <c r="C38" s="95"/>
      <c r="D38" s="67">
        <v>804117.97086011001</v>
      </c>
      <c r="E38" s="68">
        <v>2.0569353819680098</v>
      </c>
      <c r="F38" s="70"/>
      <c r="G38" s="67">
        <v>440582.10046361003</v>
      </c>
      <c r="H38" s="68">
        <v>2.2680916181970399</v>
      </c>
      <c r="I38" s="41"/>
      <c r="J38" s="67">
        <v>306398.04056056897</v>
      </c>
      <c r="K38" s="68">
        <v>1.55650775102919</v>
      </c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ht="15" customHeight="1" x14ac:dyDescent="0.25">
      <c r="A39" s="41"/>
      <c r="B39" s="269" t="s">
        <v>203</v>
      </c>
      <c r="C39" s="95"/>
      <c r="D39" s="67">
        <v>351210.41004968999</v>
      </c>
      <c r="E39" s="68">
        <v>0.89700208427612005</v>
      </c>
      <c r="F39" s="70"/>
      <c r="G39" s="67">
        <v>158854.447828776</v>
      </c>
      <c r="H39" s="68">
        <v>0.82229441170904105</v>
      </c>
      <c r="I39" s="41"/>
      <c r="J39" s="67">
        <v>133376.41353512101</v>
      </c>
      <c r="K39" s="68">
        <v>0.67353054134731505</v>
      </c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23" ht="15" customHeight="1" x14ac:dyDescent="0.25">
      <c r="A40" s="41"/>
      <c r="B40" s="269" t="s">
        <v>204</v>
      </c>
      <c r="C40" s="95"/>
      <c r="D40" s="67">
        <v>2914306.4859776599</v>
      </c>
      <c r="E40" s="68">
        <v>7.4961763966420101</v>
      </c>
      <c r="F40" s="70"/>
      <c r="G40" s="67">
        <v>1888759.2143341601</v>
      </c>
      <c r="H40" s="68">
        <v>9.8439781172531209</v>
      </c>
      <c r="I40" s="41"/>
      <c r="J40" s="67">
        <v>832989.506631686</v>
      </c>
      <c r="K40" s="68">
        <v>4.2649083589810299</v>
      </c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23" ht="15" customHeight="1" x14ac:dyDescent="0.25">
      <c r="A41" s="41"/>
      <c r="B41" s="269" t="s">
        <v>202</v>
      </c>
      <c r="C41" s="95"/>
      <c r="D41" s="67">
        <v>24485.844174696402</v>
      </c>
      <c r="E41" s="68">
        <v>6.2726610867625293E-2</v>
      </c>
      <c r="F41" s="70"/>
      <c r="G41" s="67">
        <v>17274.989508062401</v>
      </c>
      <c r="H41" s="68">
        <v>8.8941036414178706E-2</v>
      </c>
      <c r="I41" s="41"/>
      <c r="J41" s="67">
        <v>0</v>
      </c>
      <c r="K41" s="68">
        <v>0</v>
      </c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5" customHeight="1" x14ac:dyDescent="0.25">
      <c r="A42" s="41"/>
      <c r="B42" s="110" t="s">
        <v>118</v>
      </c>
      <c r="C42" s="95"/>
      <c r="D42" s="67">
        <v>0</v>
      </c>
      <c r="E42" s="68">
        <v>0</v>
      </c>
      <c r="F42" s="70"/>
      <c r="G42" s="67">
        <v>0</v>
      </c>
      <c r="H42" s="68">
        <v>0</v>
      </c>
      <c r="I42" s="41"/>
      <c r="J42" s="67">
        <v>0</v>
      </c>
      <c r="K42" s="68">
        <v>0</v>
      </c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23" ht="6.95" customHeight="1" x14ac:dyDescent="0.25">
      <c r="A43" s="41"/>
      <c r="B43" s="52"/>
      <c r="C43" s="52"/>
      <c r="D43" s="80"/>
      <c r="E43" s="80"/>
      <c r="F43" s="102"/>
      <c r="G43" s="80"/>
      <c r="H43" s="80"/>
      <c r="I43" s="80"/>
      <c r="J43" s="80"/>
      <c r="K43" s="80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23" ht="6.95" customHeight="1" x14ac:dyDescent="0.25">
      <c r="A44" s="41"/>
      <c r="B44" s="87"/>
      <c r="C44" s="87"/>
      <c r="D44" s="250"/>
      <c r="E44" s="250"/>
      <c r="F44" s="250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</row>
    <row r="45" spans="1:23" ht="12" customHeight="1" x14ac:dyDescent="0.25">
      <c r="A45" s="41"/>
      <c r="B45" s="307" t="s">
        <v>145</v>
      </c>
      <c r="C45" s="307"/>
      <c r="D45" s="307"/>
      <c r="E45" s="307"/>
      <c r="F45" s="307"/>
      <c r="G45" s="307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</row>
  </sheetData>
  <mergeCells count="6">
    <mergeCell ref="B45:G45"/>
    <mergeCell ref="B7:B9"/>
    <mergeCell ref="D7:E8"/>
    <mergeCell ref="G7:K7"/>
    <mergeCell ref="G8:H8"/>
    <mergeCell ref="J8:K8"/>
  </mergeCells>
  <hyperlinks>
    <hyperlink ref="K1" location="ÍNDICE!A1" tooltip="Ir a ÍNDICE" display="ÍNDICE" xr:uid="{4B73C3F3-154E-4164-AC63-A032EEE2F841}"/>
  </hyperlink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96920-1982-4F26-B1EC-46175BC14BA4}">
  <dimension ref="A1:W40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0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15" customHeight="1" x14ac:dyDescent="0.2">
      <c r="A5" s="32"/>
      <c r="B5" s="245" t="s">
        <v>167</v>
      </c>
      <c r="C5" s="245"/>
      <c r="D5" s="245"/>
      <c r="E5" s="245"/>
      <c r="F5" s="245"/>
      <c r="G5" s="245"/>
      <c r="H5" s="34"/>
      <c r="I5" s="32"/>
      <c r="J5" s="32"/>
      <c r="K5" s="40" t="s">
        <v>77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156</v>
      </c>
      <c r="C7" s="42"/>
      <c r="D7" s="308" t="s">
        <v>178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53212292.201383904</v>
      </c>
      <c r="E11" s="61">
        <v>100</v>
      </c>
      <c r="F11" s="62"/>
      <c r="G11" s="60">
        <v>26264570.384937</v>
      </c>
      <c r="H11" s="61">
        <v>100</v>
      </c>
      <c r="I11" s="57"/>
      <c r="J11" s="60">
        <v>26326428.950599998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10" t="s">
        <v>72</v>
      </c>
      <c r="C13" s="91"/>
      <c r="D13" s="67">
        <v>1592111.3167703201</v>
      </c>
      <c r="E13" s="68">
        <v>2.9308969517652099</v>
      </c>
      <c r="F13" s="70"/>
      <c r="G13" s="67">
        <v>595770.92377239396</v>
      </c>
      <c r="H13" s="68">
        <v>2.2008842541490399</v>
      </c>
      <c r="I13" s="41"/>
      <c r="J13" s="67">
        <v>864671.46231089695</v>
      </c>
      <c r="K13" s="68">
        <v>3.1929884098944701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10" t="s">
        <v>73</v>
      </c>
      <c r="C14" s="95"/>
      <c r="D14" s="67">
        <v>36482862.780302398</v>
      </c>
      <c r="E14" s="68">
        <v>67.714879699018496</v>
      </c>
      <c r="F14" s="70"/>
      <c r="G14" s="67">
        <v>17751517.313862201</v>
      </c>
      <c r="H14" s="68">
        <v>66.421419781726499</v>
      </c>
      <c r="I14" s="41"/>
      <c r="J14" s="67">
        <v>18253405.1110131</v>
      </c>
      <c r="K14" s="68">
        <v>68.085621376608103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10" t="s">
        <v>74</v>
      </c>
      <c r="C15" s="95"/>
      <c r="D15" s="67">
        <v>10378506.4302122</v>
      </c>
      <c r="E15" s="68">
        <v>19.140949109303101</v>
      </c>
      <c r="F15" s="70"/>
      <c r="G15" s="67">
        <v>4633890.3391957805</v>
      </c>
      <c r="H15" s="68">
        <v>17.186150450575099</v>
      </c>
      <c r="I15" s="41"/>
      <c r="J15" s="67">
        <v>5506818.3276433004</v>
      </c>
      <c r="K15" s="68">
        <v>20.3676197453367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15" customHeight="1" x14ac:dyDescent="0.25">
      <c r="A16" s="41"/>
      <c r="B16" s="110" t="s">
        <v>75</v>
      </c>
      <c r="C16" s="95"/>
      <c r="D16" s="67">
        <v>5887314.4670665003</v>
      </c>
      <c r="E16" s="68">
        <v>10.831737275382</v>
      </c>
      <c r="F16" s="70"/>
      <c r="G16" s="67">
        <v>3012346.2504220498</v>
      </c>
      <c r="H16" s="68">
        <v>11.1143467796621</v>
      </c>
      <c r="I16" s="41"/>
      <c r="J16" s="67">
        <v>2670882.1011319398</v>
      </c>
      <c r="K16" s="68">
        <v>9.8549123510618504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273" t="s">
        <v>136</v>
      </c>
      <c r="C17" s="95"/>
      <c r="D17" s="67">
        <v>891205.28672437102</v>
      </c>
      <c r="E17" s="68">
        <v>1.63772518335907</v>
      </c>
      <c r="F17" s="70"/>
      <c r="G17" s="67">
        <v>487795.11636337201</v>
      </c>
      <c r="H17" s="68">
        <v>1.7963688166444101</v>
      </c>
      <c r="I17" s="41"/>
      <c r="J17" s="67">
        <v>337987.70211996301</v>
      </c>
      <c r="K17" s="68">
        <v>1.2401483292080799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273" t="s">
        <v>126</v>
      </c>
      <c r="C18" s="95"/>
      <c r="D18" s="67">
        <v>2974432.0693637799</v>
      </c>
      <c r="E18" s="68">
        <v>5.4698875104691096</v>
      </c>
      <c r="F18" s="70"/>
      <c r="G18" s="67">
        <v>1671976.2886222799</v>
      </c>
      <c r="H18" s="68">
        <v>6.1743252507542996</v>
      </c>
      <c r="I18" s="41"/>
      <c r="J18" s="67">
        <v>1156392.3752504401</v>
      </c>
      <c r="K18" s="68">
        <v>4.2575804604844398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176"/>
      <c r="C19" s="95"/>
      <c r="D19" s="131"/>
      <c r="E19" s="131"/>
      <c r="F19" s="94"/>
      <c r="G19" s="131"/>
      <c r="H19" s="131"/>
      <c r="I19" s="131"/>
      <c r="J19" s="131"/>
      <c r="K19" s="13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s="6" customFormat="1" ht="15" customHeight="1" x14ac:dyDescent="0.25">
      <c r="A20" s="57"/>
      <c r="B20" s="274" t="s">
        <v>2</v>
      </c>
      <c r="C20" s="95"/>
      <c r="D20" s="60">
        <v>14082825.1384091</v>
      </c>
      <c r="E20" s="61">
        <v>100</v>
      </c>
      <c r="F20" s="62"/>
      <c r="G20" s="60">
        <v>7069718.5974771101</v>
      </c>
      <c r="H20" s="61">
        <v>100</v>
      </c>
      <c r="I20" s="57"/>
      <c r="J20" s="60">
        <v>6792807.9209150597</v>
      </c>
      <c r="K20" s="61">
        <v>100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6.95" customHeight="1" x14ac:dyDescent="0.25">
      <c r="A21" s="41"/>
      <c r="B21" s="275"/>
      <c r="C21" s="95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10" t="s">
        <v>72</v>
      </c>
      <c r="C22" s="91"/>
      <c r="D22" s="67">
        <v>229119.36875064101</v>
      </c>
      <c r="E22" s="68">
        <v>1.52957422292496</v>
      </c>
      <c r="F22" s="70"/>
      <c r="G22" s="67">
        <v>118051.826973109</v>
      </c>
      <c r="H22" s="68">
        <v>1.5914391299403301</v>
      </c>
      <c r="I22" s="41"/>
      <c r="J22" s="67">
        <v>43008.710833158097</v>
      </c>
      <c r="K22" s="68">
        <v>0.61388101120745497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10" t="s">
        <v>73</v>
      </c>
      <c r="C23" s="95"/>
      <c r="D23" s="67">
        <v>7515425.1158887101</v>
      </c>
      <c r="E23" s="68">
        <v>52.070046478869301</v>
      </c>
      <c r="F23" s="70"/>
      <c r="G23" s="67">
        <v>3754811.75006</v>
      </c>
      <c r="H23" s="68">
        <v>51.579503664286001</v>
      </c>
      <c r="I23" s="41"/>
      <c r="J23" s="67">
        <v>3567198.0563168898</v>
      </c>
      <c r="K23" s="68">
        <v>50.448640158713602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10" t="s">
        <v>74</v>
      </c>
      <c r="C24" s="95"/>
      <c r="D24" s="67">
        <v>2668495.78447924</v>
      </c>
      <c r="E24" s="68">
        <v>17.927101988128001</v>
      </c>
      <c r="F24" s="70"/>
      <c r="G24" s="67">
        <v>1250158.04274843</v>
      </c>
      <c r="H24" s="68">
        <v>16.596268567794599</v>
      </c>
      <c r="I24" s="41"/>
      <c r="J24" s="67">
        <v>1310563.8525163799</v>
      </c>
      <c r="K24" s="68">
        <v>18.034809523717001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15" customHeight="1" x14ac:dyDescent="0.25">
      <c r="A25" s="41"/>
      <c r="B25" s="110" t="s">
        <v>75</v>
      </c>
      <c r="C25" s="95"/>
      <c r="D25" s="67">
        <v>2078466.00971423</v>
      </c>
      <c r="E25" s="68">
        <v>13.6330553516098</v>
      </c>
      <c r="F25" s="70"/>
      <c r="G25" s="67">
        <v>1096656.81371111</v>
      </c>
      <c r="H25" s="68">
        <v>14.1249146622336</v>
      </c>
      <c r="I25" s="41"/>
      <c r="J25" s="67">
        <v>883250.70500172104</v>
      </c>
      <c r="K25" s="68">
        <v>11.785634075300999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273" t="s">
        <v>136</v>
      </c>
      <c r="C26" s="95"/>
      <c r="D26" s="67">
        <v>361977.77855301602</v>
      </c>
      <c r="E26" s="68">
        <v>2.3697078895344901</v>
      </c>
      <c r="F26" s="70"/>
      <c r="G26" s="67">
        <v>179694.945797425</v>
      </c>
      <c r="H26" s="68">
        <v>2.3200645663325399</v>
      </c>
      <c r="I26" s="41"/>
      <c r="J26" s="67">
        <v>147411.65821573199</v>
      </c>
      <c r="K26" s="68">
        <v>1.98115670910132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273" t="s">
        <v>126</v>
      </c>
      <c r="C27" s="95"/>
      <c r="D27" s="67">
        <v>1608165.0709277501</v>
      </c>
      <c r="E27" s="68">
        <v>10.5103842353197</v>
      </c>
      <c r="F27" s="70"/>
      <c r="G27" s="67">
        <v>849760.74329705304</v>
      </c>
      <c r="H27" s="68">
        <v>10.9765468081508</v>
      </c>
      <c r="I27" s="41"/>
      <c r="J27" s="67">
        <v>676274.94272796297</v>
      </c>
      <c r="K27" s="68">
        <v>9.0631677656017402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275"/>
      <c r="C28" s="95"/>
      <c r="D28" s="131"/>
      <c r="E28" s="131"/>
      <c r="F28" s="94"/>
      <c r="G28" s="131"/>
      <c r="H28" s="131"/>
      <c r="I28" s="131"/>
      <c r="J28" s="131"/>
      <c r="K28" s="13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274" t="s">
        <v>3</v>
      </c>
      <c r="C29" s="95"/>
      <c r="D29" s="60">
        <v>37721646.714671902</v>
      </c>
      <c r="E29" s="61">
        <v>100</v>
      </c>
      <c r="F29" s="62"/>
      <c r="G29" s="60">
        <v>18449035.518207699</v>
      </c>
      <c r="H29" s="61">
        <v>100</v>
      </c>
      <c r="I29" s="57"/>
      <c r="J29" s="60">
        <v>18831115.855787199</v>
      </c>
      <c r="K29" s="61">
        <v>100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275"/>
      <c r="C30" s="95"/>
      <c r="D30" s="67"/>
      <c r="E30" s="68"/>
      <c r="F30" s="70"/>
      <c r="G30" s="67"/>
      <c r="H30" s="68"/>
      <c r="I30" s="41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10" t="s">
        <v>72</v>
      </c>
      <c r="C31" s="91"/>
      <c r="D31" s="67">
        <v>1214965.44445785</v>
      </c>
      <c r="E31" s="68">
        <v>3.1212424956995002</v>
      </c>
      <c r="F31" s="70"/>
      <c r="G31" s="67">
        <v>401631.79636624199</v>
      </c>
      <c r="H31" s="68">
        <v>2.07751265272482</v>
      </c>
      <c r="I31" s="41"/>
      <c r="J31" s="67">
        <v>702983.55930751399</v>
      </c>
      <c r="K31" s="68">
        <v>3.6003879857729499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10" t="s">
        <v>73</v>
      </c>
      <c r="C32" s="95"/>
      <c r="D32" s="67">
        <v>27966740.512697</v>
      </c>
      <c r="E32" s="68">
        <v>72.9479418108169</v>
      </c>
      <c r="F32" s="70"/>
      <c r="G32" s="67">
        <v>13424547.525361599</v>
      </c>
      <c r="H32" s="68">
        <v>71.187096329365104</v>
      </c>
      <c r="I32" s="41"/>
      <c r="J32" s="67">
        <v>14182868.8513538</v>
      </c>
      <c r="K32" s="68">
        <v>73.7104948859551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10" t="s">
        <v>74</v>
      </c>
      <c r="C33" s="95"/>
      <c r="D33" s="67">
        <v>7345973.5593646597</v>
      </c>
      <c r="E33" s="68">
        <v>18.925395086326098</v>
      </c>
      <c r="F33" s="70"/>
      <c r="G33" s="67">
        <v>3179470.2278068201</v>
      </c>
      <c r="H33" s="68">
        <v>16.589212648941899</v>
      </c>
      <c r="I33" s="41"/>
      <c r="J33" s="67">
        <v>3968871.6815345599</v>
      </c>
      <c r="K33" s="68">
        <v>20.375854772328601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15" customHeight="1" x14ac:dyDescent="0.25">
      <c r="A34" s="41"/>
      <c r="B34" s="110" t="s">
        <v>75</v>
      </c>
      <c r="C34" s="95"/>
      <c r="D34" s="67">
        <v>3556999.0668214201</v>
      </c>
      <c r="E34" s="68">
        <v>9.1682613096155308</v>
      </c>
      <c r="F34" s="70"/>
      <c r="G34" s="67">
        <v>1757466.6303789499</v>
      </c>
      <c r="H34" s="68">
        <v>9.1748635131877503</v>
      </c>
      <c r="I34" s="41"/>
      <c r="J34" s="67">
        <v>1625265.06571991</v>
      </c>
      <c r="K34" s="68">
        <v>8.3431727572497607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273" t="s">
        <v>136</v>
      </c>
      <c r="C35" s="95"/>
      <c r="D35" s="67">
        <v>450584.91125470499</v>
      </c>
      <c r="E35" s="68">
        <v>1.1563302138942699</v>
      </c>
      <c r="F35" s="70"/>
      <c r="G35" s="67">
        <v>251596.74693801801</v>
      </c>
      <c r="H35" s="68">
        <v>1.3072361168762301</v>
      </c>
      <c r="I35" s="41"/>
      <c r="J35" s="67">
        <v>145363.96872998</v>
      </c>
      <c r="K35" s="68">
        <v>0.73515635658490697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273" t="s">
        <v>126</v>
      </c>
      <c r="C36" s="95"/>
      <c r="D36" s="67">
        <v>1188669.65412289</v>
      </c>
      <c r="E36" s="68">
        <v>3.0517377638803</v>
      </c>
      <c r="F36" s="70"/>
      <c r="G36" s="67">
        <v>702979.13832380797</v>
      </c>
      <c r="H36" s="68">
        <v>3.6558036978717898</v>
      </c>
      <c r="I36" s="41"/>
      <c r="J36" s="67">
        <v>364618.74161397701</v>
      </c>
      <c r="K36" s="68">
        <v>1.8594522746005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6.95" customHeight="1" x14ac:dyDescent="0.25">
      <c r="A37" s="41"/>
      <c r="B37" s="52"/>
      <c r="C37" s="52"/>
      <c r="D37" s="182"/>
      <c r="E37" s="182"/>
      <c r="F37" s="276"/>
      <c r="G37" s="182"/>
      <c r="H37" s="182"/>
      <c r="I37" s="182"/>
      <c r="J37" s="182"/>
      <c r="K37" s="182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87"/>
      <c r="C38" s="87"/>
      <c r="D38" s="250"/>
      <c r="E38" s="250"/>
      <c r="F38" s="25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4" customFormat="1" ht="12" customHeight="1" x14ac:dyDescent="0.2">
      <c r="A39" s="99"/>
      <c r="B39" s="277" t="s">
        <v>135</v>
      </c>
      <c r="C39" s="109"/>
      <c r="D39" s="88"/>
      <c r="E39" s="88"/>
      <c r="F39" s="88"/>
      <c r="G39" s="278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</row>
    <row r="40" spans="1:23" ht="12" customHeight="1" x14ac:dyDescent="0.25">
      <c r="A40" s="41"/>
      <c r="B40" s="307" t="s">
        <v>145</v>
      </c>
      <c r="C40" s="307"/>
      <c r="D40" s="307"/>
      <c r="E40" s="307"/>
      <c r="F40" s="307"/>
      <c r="G40" s="307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</sheetData>
  <mergeCells count="6">
    <mergeCell ref="B40:G40"/>
    <mergeCell ref="B7:B9"/>
    <mergeCell ref="D7:E8"/>
    <mergeCell ref="G7:K7"/>
    <mergeCell ref="G8:H8"/>
    <mergeCell ref="J8:K8"/>
  </mergeCells>
  <hyperlinks>
    <hyperlink ref="K1" location="ÍNDICE!A1" tooltip="Ir a ÍNDICE" display="ÍNDICE" xr:uid="{3DA365AC-995F-4265-9475-2E5FA93409F4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AD8D5-FE7D-4D75-AEB7-03D64125D388}">
  <dimension ref="A1:W42"/>
  <sheetViews>
    <sheetView showGridLines="0" zoomScaleNormal="100" workbookViewId="0"/>
  </sheetViews>
  <sheetFormatPr baseColWidth="10" defaultColWidth="11.42578125" defaultRowHeight="15" x14ac:dyDescent="0.25"/>
  <cols>
    <col min="1" max="1" width="1.7109375" customWidth="1"/>
    <col min="2" max="2" width="45.7109375" customWidth="1"/>
    <col min="3" max="3" width="1.7109375" customWidth="1"/>
    <col min="4" max="4" width="15.7109375" style="8" customWidth="1"/>
    <col min="5" max="5" width="15.7109375" customWidth="1"/>
    <col min="6" max="6" width="1.7109375" customWidth="1"/>
    <col min="7" max="7" width="15.7109375" style="8" customWidth="1"/>
    <col min="8" max="8" width="15.7109375" customWidth="1"/>
    <col min="9" max="9" width="1.7109375" customWidth="1"/>
    <col min="10" max="10" width="15.7109375" style="8" customWidth="1"/>
    <col min="11" max="11" width="15.7109375" customWidth="1"/>
  </cols>
  <sheetData>
    <row r="1" spans="1:23" s="1" customFormat="1" ht="15" customHeight="1" x14ac:dyDescent="0.2">
      <c r="A1" s="30"/>
      <c r="B1" s="285" t="s">
        <v>214</v>
      </c>
      <c r="C1" s="31"/>
      <c r="D1" s="31"/>
      <c r="E1" s="30"/>
      <c r="F1" s="30"/>
      <c r="G1" s="30"/>
      <c r="H1" s="30"/>
      <c r="I1" s="30"/>
      <c r="J1" s="30"/>
      <c r="K1" s="284" t="s">
        <v>94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</row>
    <row r="2" spans="1:23" s="2" customFormat="1" ht="6.95" customHeight="1" x14ac:dyDescent="0.2">
      <c r="A2" s="32"/>
      <c r="B2" s="33"/>
      <c r="C2" s="33"/>
      <c r="D2" s="33"/>
      <c r="E2" s="33"/>
      <c r="F2" s="33"/>
      <c r="G2" s="33"/>
      <c r="H2" s="34"/>
      <c r="I2" s="32"/>
      <c r="J2" s="32"/>
      <c r="K2" s="34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</row>
    <row r="3" spans="1:23" s="2" customFormat="1" ht="15" customHeight="1" x14ac:dyDescent="0.2">
      <c r="A3" s="32"/>
      <c r="B3" s="31" t="s">
        <v>205</v>
      </c>
      <c r="C3" s="33"/>
      <c r="D3" s="33"/>
      <c r="E3" s="33"/>
      <c r="F3" s="33"/>
      <c r="G3" s="33"/>
      <c r="H3" s="34"/>
      <c r="I3" s="32"/>
      <c r="J3" s="32"/>
      <c r="K3" s="34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</row>
    <row r="4" spans="1:23" s="2" customFormat="1" ht="6.95" customHeight="1" x14ac:dyDescent="0.2">
      <c r="A4" s="32"/>
      <c r="B4" s="35"/>
      <c r="C4" s="35"/>
      <c r="D4" s="35"/>
      <c r="E4" s="35"/>
      <c r="F4" s="35"/>
      <c r="G4" s="35"/>
      <c r="H4" s="34"/>
      <c r="I4" s="32"/>
      <c r="J4" s="32"/>
      <c r="K4" s="34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</row>
    <row r="5" spans="1:23" s="2" customFormat="1" ht="30" customHeight="1" x14ac:dyDescent="0.2">
      <c r="A5" s="32"/>
      <c r="B5" s="316" t="s">
        <v>162</v>
      </c>
      <c r="C5" s="316"/>
      <c r="D5" s="316"/>
      <c r="E5" s="316"/>
      <c r="F5" s="316"/>
      <c r="G5" s="316"/>
      <c r="H5" s="34"/>
      <c r="I5" s="32"/>
      <c r="J5" s="32"/>
      <c r="K5" s="40" t="s">
        <v>138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</row>
    <row r="6" spans="1:23" s="2" customFormat="1" ht="6.95" customHeight="1" x14ac:dyDescent="0.2">
      <c r="A6" s="32"/>
      <c r="B6" s="32"/>
      <c r="C6" s="32"/>
      <c r="D6" s="35"/>
      <c r="E6" s="35"/>
      <c r="F6" s="35"/>
      <c r="G6" s="35"/>
      <c r="H6" s="35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</row>
    <row r="7" spans="1:23" ht="15" customHeight="1" x14ac:dyDescent="0.25">
      <c r="A7" s="41"/>
      <c r="B7" s="311" t="s">
        <v>198</v>
      </c>
      <c r="C7" s="42"/>
      <c r="D7" s="308" t="s">
        <v>197</v>
      </c>
      <c r="E7" s="308"/>
      <c r="F7" s="43"/>
      <c r="G7" s="310" t="s">
        <v>170</v>
      </c>
      <c r="H7" s="310"/>
      <c r="I7" s="310"/>
      <c r="J7" s="310"/>
      <c r="K7" s="310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</row>
    <row r="8" spans="1:23" s="3" customFormat="1" ht="15" customHeight="1" x14ac:dyDescent="0.25">
      <c r="A8" s="45"/>
      <c r="B8" s="312"/>
      <c r="C8" s="47"/>
      <c r="D8" s="309"/>
      <c r="E8" s="309"/>
      <c r="F8" s="26"/>
      <c r="G8" s="309" t="s">
        <v>12</v>
      </c>
      <c r="H8" s="309"/>
      <c r="I8" s="26"/>
      <c r="J8" s="309" t="s">
        <v>0</v>
      </c>
      <c r="K8" s="309"/>
      <c r="L8" s="48"/>
      <c r="M8" s="49"/>
      <c r="N8" s="49"/>
      <c r="O8" s="50"/>
      <c r="P8" s="49"/>
      <c r="Q8" s="49"/>
      <c r="R8" s="45"/>
      <c r="S8" s="45"/>
      <c r="T8" s="45"/>
      <c r="U8" s="45"/>
      <c r="V8" s="45"/>
      <c r="W8" s="45"/>
    </row>
    <row r="9" spans="1:23" ht="15" customHeight="1" x14ac:dyDescent="0.25">
      <c r="A9" s="41"/>
      <c r="B9" s="313"/>
      <c r="C9" s="52"/>
      <c r="D9" s="53" t="s">
        <v>171</v>
      </c>
      <c r="E9" s="53" t="s">
        <v>95</v>
      </c>
      <c r="F9" s="54"/>
      <c r="G9" s="53" t="s">
        <v>171</v>
      </c>
      <c r="H9" s="53" t="s">
        <v>95</v>
      </c>
      <c r="I9" s="54"/>
      <c r="J9" s="53" t="s">
        <v>171</v>
      </c>
      <c r="K9" s="53" t="s">
        <v>95</v>
      </c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</row>
    <row r="10" spans="1:23" ht="6.95" customHeight="1" x14ac:dyDescent="0.25">
      <c r="A10" s="41"/>
      <c r="B10" s="87"/>
      <c r="C10" s="87"/>
      <c r="D10" s="26"/>
      <c r="E10" s="26"/>
      <c r="F10" s="56"/>
      <c r="G10" s="26"/>
      <c r="H10" s="26"/>
      <c r="I10" s="56"/>
      <c r="J10" s="26"/>
      <c r="K10" s="26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</row>
    <row r="11" spans="1:23" s="6" customFormat="1" ht="15" customHeight="1" x14ac:dyDescent="0.25">
      <c r="A11" s="57"/>
      <c r="B11" s="109" t="s">
        <v>1</v>
      </c>
      <c r="C11" s="89"/>
      <c r="D11" s="60">
        <v>63042566.009577602</v>
      </c>
      <c r="E11" s="61">
        <v>100</v>
      </c>
      <c r="F11" s="62"/>
      <c r="G11" s="60">
        <v>31902350.831929602</v>
      </c>
      <c r="H11" s="61">
        <v>100</v>
      </c>
      <c r="I11" s="57"/>
      <c r="J11" s="60">
        <v>30402959.105004199</v>
      </c>
      <c r="K11" s="61">
        <v>100</v>
      </c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</row>
    <row r="12" spans="1:23" ht="6.95" customHeight="1" x14ac:dyDescent="0.25">
      <c r="A12" s="41"/>
      <c r="B12" s="109"/>
      <c r="C12" s="89"/>
      <c r="D12" s="67"/>
      <c r="E12" s="68"/>
      <c r="F12" s="70"/>
      <c r="G12" s="67"/>
      <c r="H12" s="68"/>
      <c r="I12" s="41"/>
      <c r="J12" s="67"/>
      <c r="K12" s="68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</row>
    <row r="13" spans="1:23" ht="15" customHeight="1" x14ac:dyDescent="0.25">
      <c r="A13" s="41"/>
      <c r="B13" s="163" t="s">
        <v>160</v>
      </c>
      <c r="C13" s="91"/>
      <c r="D13" s="67">
        <v>29563533.141600098</v>
      </c>
      <c r="E13" s="68">
        <v>46.170381644489098</v>
      </c>
      <c r="F13" s="70"/>
      <c r="G13" s="67">
        <v>13385506.097025899</v>
      </c>
      <c r="H13" s="68">
        <v>41.062967495514698</v>
      </c>
      <c r="I13" s="41"/>
      <c r="J13" s="67">
        <v>15746705.4622175</v>
      </c>
      <c r="K13" s="68">
        <v>50.617259356800901</v>
      </c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</row>
    <row r="14" spans="1:23" ht="15" customHeight="1" x14ac:dyDescent="0.25">
      <c r="A14" s="41"/>
      <c r="B14" s="163" t="s">
        <v>25</v>
      </c>
      <c r="C14" s="91"/>
      <c r="D14" s="67">
        <v>7157847.00204268</v>
      </c>
      <c r="E14" s="68">
        <v>11.1477686947885</v>
      </c>
      <c r="F14" s="70"/>
      <c r="G14" s="67">
        <v>4766549.2438520202</v>
      </c>
      <c r="H14" s="68">
        <v>14.5427227645624</v>
      </c>
      <c r="I14" s="41"/>
      <c r="J14" s="67">
        <v>2157665.9183173701</v>
      </c>
      <c r="K14" s="68">
        <v>6.9047245519144598</v>
      </c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</row>
    <row r="15" spans="1:23" ht="15" customHeight="1" x14ac:dyDescent="0.25">
      <c r="A15" s="41"/>
      <c r="B15" s="163" t="s">
        <v>161</v>
      </c>
      <c r="C15" s="91"/>
      <c r="D15" s="67">
        <v>20838706.484804198</v>
      </c>
      <c r="E15" s="68">
        <v>32.591687684386699</v>
      </c>
      <c r="F15" s="70"/>
      <c r="G15" s="67">
        <v>10569046.805594601</v>
      </c>
      <c r="H15" s="68">
        <v>32.384333588638299</v>
      </c>
      <c r="I15" s="41"/>
      <c r="J15" s="67">
        <v>9875616.2496359199</v>
      </c>
      <c r="K15" s="68">
        <v>31.843062890212099</v>
      </c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</row>
    <row r="16" spans="1:23" ht="30" customHeight="1" x14ac:dyDescent="0.25">
      <c r="A16" s="41"/>
      <c r="B16" s="163" t="s">
        <v>157</v>
      </c>
      <c r="C16" s="91"/>
      <c r="D16" s="67">
        <v>904983.74933988997</v>
      </c>
      <c r="E16" s="68">
        <v>1.40833852535445</v>
      </c>
      <c r="F16" s="70"/>
      <c r="G16" s="67">
        <v>535971.25893870206</v>
      </c>
      <c r="H16" s="68">
        <v>1.63216706324198</v>
      </c>
      <c r="I16" s="41"/>
      <c r="J16" s="67">
        <v>289113.85037070297</v>
      </c>
      <c r="K16" s="68">
        <v>0.92261282583816595</v>
      </c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</row>
    <row r="17" spans="1:23" ht="15" customHeight="1" x14ac:dyDescent="0.25">
      <c r="A17" s="41"/>
      <c r="B17" s="163" t="s">
        <v>137</v>
      </c>
      <c r="C17" s="91"/>
      <c r="D17" s="67">
        <v>1418536.5048289399</v>
      </c>
      <c r="E17" s="68">
        <v>2.2006733636001399</v>
      </c>
      <c r="F17" s="70"/>
      <c r="G17" s="67">
        <v>621931.01492870995</v>
      </c>
      <c r="H17" s="68">
        <v>1.8844634495768899</v>
      </c>
      <c r="I17" s="41"/>
      <c r="J17" s="67">
        <v>706816.18313595303</v>
      </c>
      <c r="K17" s="68">
        <v>2.2526397185543798</v>
      </c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</row>
    <row r="18" spans="1:23" ht="15" customHeight="1" x14ac:dyDescent="0.25">
      <c r="A18" s="41"/>
      <c r="B18" s="163" t="s">
        <v>127</v>
      </c>
      <c r="C18" s="91"/>
      <c r="D18" s="67">
        <v>1179899.70573494</v>
      </c>
      <c r="E18" s="68">
        <v>1.8353639272456499</v>
      </c>
      <c r="F18" s="70"/>
      <c r="G18" s="67">
        <v>703175.90291786904</v>
      </c>
      <c r="H18" s="68">
        <v>2.1415761562997599</v>
      </c>
      <c r="I18" s="41"/>
      <c r="J18" s="67">
        <v>384210.428323625</v>
      </c>
      <c r="K18" s="68">
        <v>1.2213910564044601</v>
      </c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</row>
    <row r="19" spans="1:23" ht="6.95" customHeight="1" x14ac:dyDescent="0.25">
      <c r="A19" s="41"/>
      <c r="B19" s="176"/>
      <c r="C19" s="95"/>
      <c r="D19" s="131"/>
      <c r="E19" s="131"/>
      <c r="F19" s="94"/>
      <c r="G19" s="131"/>
      <c r="H19" s="131"/>
      <c r="I19" s="131"/>
      <c r="J19" s="131"/>
      <c r="K19" s="13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</row>
    <row r="20" spans="1:23" s="6" customFormat="1" ht="15" customHeight="1" x14ac:dyDescent="0.25">
      <c r="A20" s="57"/>
      <c r="B20" s="274" t="s">
        <v>2</v>
      </c>
      <c r="C20" s="95"/>
      <c r="D20" s="60">
        <v>17861092.283748601</v>
      </c>
      <c r="E20" s="61">
        <v>100</v>
      </c>
      <c r="F20" s="62"/>
      <c r="G20" s="60">
        <v>9239832.2329967301</v>
      </c>
      <c r="H20" s="61">
        <v>100</v>
      </c>
      <c r="I20" s="57"/>
      <c r="J20" s="60">
        <v>8377891.1802781699</v>
      </c>
      <c r="K20" s="61">
        <v>100</v>
      </c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</row>
    <row r="21" spans="1:23" ht="6.95" customHeight="1" x14ac:dyDescent="0.25">
      <c r="A21" s="41"/>
      <c r="B21" s="275"/>
      <c r="C21" s="95"/>
      <c r="D21" s="67"/>
      <c r="E21" s="68"/>
      <c r="F21" s="70"/>
      <c r="G21" s="67"/>
      <c r="H21" s="68"/>
      <c r="I21" s="41"/>
      <c r="J21" s="67"/>
      <c r="K21" s="6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</row>
    <row r="22" spans="1:23" ht="15" customHeight="1" x14ac:dyDescent="0.25">
      <c r="A22" s="41"/>
      <c r="B22" s="163" t="s">
        <v>160</v>
      </c>
      <c r="C22" s="91"/>
      <c r="D22" s="67">
        <v>6491934.5809338698</v>
      </c>
      <c r="E22" s="68">
        <v>35.070230587490798</v>
      </c>
      <c r="F22" s="70"/>
      <c r="G22" s="67">
        <v>2770089.3898606999</v>
      </c>
      <c r="H22" s="68">
        <v>28.816312152977599</v>
      </c>
      <c r="I22" s="41"/>
      <c r="J22" s="67">
        <v>3574890.1010133699</v>
      </c>
      <c r="K22" s="68">
        <v>40.568301375997102</v>
      </c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</row>
    <row r="23" spans="1:23" ht="15" customHeight="1" x14ac:dyDescent="0.25">
      <c r="A23" s="41"/>
      <c r="B23" s="163" t="s">
        <v>25</v>
      </c>
      <c r="C23" s="91"/>
      <c r="D23" s="67">
        <v>4207872.4365763199</v>
      </c>
      <c r="E23" s="68">
        <v>21.922848135190399</v>
      </c>
      <c r="F23" s="70"/>
      <c r="G23" s="67">
        <v>2630516.3204582599</v>
      </c>
      <c r="H23" s="68">
        <v>26.223842581386702</v>
      </c>
      <c r="I23" s="41"/>
      <c r="J23" s="67">
        <v>1415107.43397304</v>
      </c>
      <c r="K23" s="68">
        <v>15.6077007663273</v>
      </c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</row>
    <row r="24" spans="1:23" ht="15" customHeight="1" x14ac:dyDescent="0.25">
      <c r="A24" s="41"/>
      <c r="B24" s="163" t="s">
        <v>161</v>
      </c>
      <c r="C24" s="91"/>
      <c r="D24" s="67">
        <v>5486245.5958773401</v>
      </c>
      <c r="E24" s="68">
        <v>29.467605563578601</v>
      </c>
      <c r="F24" s="70"/>
      <c r="G24" s="67">
        <v>2827589.9472772498</v>
      </c>
      <c r="H24" s="68">
        <v>29.099170985004498</v>
      </c>
      <c r="I24" s="41"/>
      <c r="J24" s="67">
        <v>2481687.1296333801</v>
      </c>
      <c r="K24" s="68">
        <v>28.152182204911799</v>
      </c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</row>
    <row r="25" spans="1:23" ht="30" customHeight="1" x14ac:dyDescent="0.25">
      <c r="A25" s="41"/>
      <c r="B25" s="163" t="s">
        <v>157</v>
      </c>
      <c r="C25" s="91"/>
      <c r="D25" s="67">
        <v>196035.71423820601</v>
      </c>
      <c r="E25" s="68">
        <v>1.03626470819033</v>
      </c>
      <c r="F25" s="70"/>
      <c r="G25" s="67">
        <v>144119.28078594999</v>
      </c>
      <c r="H25" s="68">
        <v>1.48334423850104</v>
      </c>
      <c r="I25" s="41"/>
      <c r="J25" s="67">
        <v>25249.688698260801</v>
      </c>
      <c r="K25" s="68">
        <v>0.27328441428839201</v>
      </c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</row>
    <row r="26" spans="1:23" ht="15" customHeight="1" x14ac:dyDescent="0.25">
      <c r="A26" s="41"/>
      <c r="B26" s="163" t="s">
        <v>137</v>
      </c>
      <c r="C26" s="91"/>
      <c r="D26" s="67">
        <v>281992.89974698599</v>
      </c>
      <c r="E26" s="68">
        <v>1.4460196908737899</v>
      </c>
      <c r="F26" s="70"/>
      <c r="G26" s="67">
        <v>108324.69264891</v>
      </c>
      <c r="H26" s="68">
        <v>1.05916025905023</v>
      </c>
      <c r="I26" s="41"/>
      <c r="J26" s="67">
        <v>135479.284409232</v>
      </c>
      <c r="K26" s="68">
        <v>1.47040837130336</v>
      </c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</row>
    <row r="27" spans="1:23" ht="15" customHeight="1" x14ac:dyDescent="0.25">
      <c r="A27" s="41"/>
      <c r="B27" s="163" t="s">
        <v>127</v>
      </c>
      <c r="C27" s="91"/>
      <c r="D27" s="67">
        <v>224474.09140645701</v>
      </c>
      <c r="E27" s="68">
        <v>1.1597069195402201</v>
      </c>
      <c r="F27" s="70"/>
      <c r="G27" s="67">
        <v>95925.576117614401</v>
      </c>
      <c r="H27" s="68">
        <v>0.94016122685797199</v>
      </c>
      <c r="I27" s="41"/>
      <c r="J27" s="67">
        <v>72211.571436119397</v>
      </c>
      <c r="K27" s="68">
        <v>0.77466623213713504</v>
      </c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</row>
    <row r="28" spans="1:23" ht="6.95" customHeight="1" x14ac:dyDescent="0.25">
      <c r="A28" s="41"/>
      <c r="B28" s="275"/>
      <c r="C28" s="95"/>
      <c r="D28" s="131"/>
      <c r="E28" s="131"/>
      <c r="F28" s="94"/>
      <c r="G28" s="131"/>
      <c r="H28" s="131"/>
      <c r="I28" s="131"/>
      <c r="J28" s="131"/>
      <c r="K28" s="13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</row>
    <row r="29" spans="1:23" s="6" customFormat="1" ht="15" customHeight="1" x14ac:dyDescent="0.25">
      <c r="A29" s="57"/>
      <c r="B29" s="274" t="s">
        <v>3</v>
      </c>
      <c r="C29" s="95"/>
      <c r="D29" s="60">
        <v>43455153.869458199</v>
      </c>
      <c r="E29" s="61">
        <v>100</v>
      </c>
      <c r="F29" s="62"/>
      <c r="G29" s="60">
        <v>21749666.141261701</v>
      </c>
      <c r="H29" s="61">
        <v>100</v>
      </c>
      <c r="I29" s="57"/>
      <c r="J29" s="60">
        <v>21212566.989605799</v>
      </c>
      <c r="K29" s="61">
        <v>100</v>
      </c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</row>
    <row r="30" spans="1:23" ht="6.95" customHeight="1" x14ac:dyDescent="0.25">
      <c r="A30" s="41"/>
      <c r="B30" s="275"/>
      <c r="C30" s="95"/>
      <c r="D30" s="67"/>
      <c r="E30" s="68"/>
      <c r="F30" s="70"/>
      <c r="G30" s="67"/>
      <c r="H30" s="68"/>
      <c r="I30" s="41"/>
      <c r="J30" s="67"/>
      <c r="K30" s="68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</row>
    <row r="31" spans="1:23" ht="15" customHeight="1" x14ac:dyDescent="0.25">
      <c r="A31" s="41"/>
      <c r="B31" s="163" t="s">
        <v>160</v>
      </c>
      <c r="C31" s="91"/>
      <c r="D31" s="67">
        <v>22248734.875967901</v>
      </c>
      <c r="E31" s="68">
        <v>50.059481596821101</v>
      </c>
      <c r="F31" s="70"/>
      <c r="G31" s="67">
        <v>10186056.441674599</v>
      </c>
      <c r="H31" s="68">
        <v>45.376854800145601</v>
      </c>
      <c r="I31" s="41"/>
      <c r="J31" s="67">
        <v>11705326.674948299</v>
      </c>
      <c r="K31" s="68">
        <v>53.689584513767699</v>
      </c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</row>
    <row r="32" spans="1:23" ht="15" customHeight="1" x14ac:dyDescent="0.25">
      <c r="A32" s="41"/>
      <c r="B32" s="163" t="s">
        <v>25</v>
      </c>
      <c r="C32" s="91"/>
      <c r="D32" s="67">
        <v>2653766.6239444902</v>
      </c>
      <c r="E32" s="68">
        <v>5.9497150600329798</v>
      </c>
      <c r="F32" s="70"/>
      <c r="G32" s="67">
        <v>1916693.49203967</v>
      </c>
      <c r="H32" s="68">
        <v>8.5084971560099891</v>
      </c>
      <c r="I32" s="41"/>
      <c r="J32" s="67">
        <v>585150.66218140605</v>
      </c>
      <c r="K32" s="68">
        <v>2.6642969603712099</v>
      </c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</row>
    <row r="33" spans="1:23" ht="15" customHeight="1" x14ac:dyDescent="0.25">
      <c r="A33" s="41"/>
      <c r="B33" s="163" t="s">
        <v>161</v>
      </c>
      <c r="C33" s="91"/>
      <c r="D33" s="67">
        <v>14694959.115579801</v>
      </c>
      <c r="E33" s="68">
        <v>33.160710009130497</v>
      </c>
      <c r="F33" s="70"/>
      <c r="G33" s="67">
        <v>7358421.7944205003</v>
      </c>
      <c r="H33" s="68">
        <v>32.917347285857304</v>
      </c>
      <c r="I33" s="41"/>
      <c r="J33" s="67">
        <v>7028498.6479243897</v>
      </c>
      <c r="K33" s="68">
        <v>32.2511514952376</v>
      </c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</row>
    <row r="34" spans="1:23" ht="30" customHeight="1" x14ac:dyDescent="0.25">
      <c r="A34" s="41"/>
      <c r="B34" s="163" t="s">
        <v>157</v>
      </c>
      <c r="C34" s="91"/>
      <c r="D34" s="67">
        <v>627684.81658507301</v>
      </c>
      <c r="E34" s="68">
        <v>1.40370220562598</v>
      </c>
      <c r="F34" s="70"/>
      <c r="G34" s="67">
        <v>320938.66893324401</v>
      </c>
      <c r="H34" s="68">
        <v>1.4129844711227699</v>
      </c>
      <c r="I34" s="41"/>
      <c r="J34" s="67">
        <v>235229.09240322199</v>
      </c>
      <c r="K34" s="68">
        <v>1.07119658007487</v>
      </c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23" ht="15" customHeight="1" x14ac:dyDescent="0.25">
      <c r="A35" s="41"/>
      <c r="B35" s="163" t="s">
        <v>137</v>
      </c>
      <c r="C35" s="91"/>
      <c r="D35" s="67">
        <v>1065710.91537251</v>
      </c>
      <c r="E35" s="68">
        <v>2.3621121089511199</v>
      </c>
      <c r="F35" s="70"/>
      <c r="G35" s="67">
        <v>471413.57536720199</v>
      </c>
      <c r="H35" s="68">
        <v>2.0613764121448401</v>
      </c>
      <c r="I35" s="41"/>
      <c r="J35" s="67">
        <v>513288.05019234598</v>
      </c>
      <c r="K35" s="68">
        <v>2.3151078065555302</v>
      </c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23" ht="15" customHeight="1" x14ac:dyDescent="0.25">
      <c r="A36" s="41"/>
      <c r="B36" s="163" t="s">
        <v>127</v>
      </c>
      <c r="C36" s="91"/>
      <c r="D36" s="67">
        <v>855727.58198284497</v>
      </c>
      <c r="E36" s="68">
        <v>1.9100882667988901</v>
      </c>
      <c r="F36" s="70"/>
      <c r="G36" s="67">
        <v>527028.53746379004</v>
      </c>
      <c r="H36" s="68">
        <v>2.3339457846210898</v>
      </c>
      <c r="I36" s="41"/>
      <c r="J36" s="67">
        <v>260045.24622153799</v>
      </c>
      <c r="K36" s="68">
        <v>1.1728921850079801</v>
      </c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23" ht="6.95" customHeight="1" x14ac:dyDescent="0.25">
      <c r="A37" s="41"/>
      <c r="B37" s="52"/>
      <c r="C37" s="52"/>
      <c r="D37" s="182"/>
      <c r="E37" s="182"/>
      <c r="F37" s="276"/>
      <c r="G37" s="182"/>
      <c r="H37" s="182"/>
      <c r="I37" s="182"/>
      <c r="J37" s="182"/>
      <c r="K37" s="182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23" ht="6.95" customHeight="1" x14ac:dyDescent="0.25">
      <c r="A38" s="41"/>
      <c r="B38" s="87"/>
      <c r="C38" s="87"/>
      <c r="D38" s="250"/>
      <c r="E38" s="250"/>
      <c r="F38" s="250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23" s="4" customFormat="1" ht="12" customHeight="1" x14ac:dyDescent="0.2">
      <c r="A39" s="99"/>
      <c r="B39" s="277" t="s">
        <v>140</v>
      </c>
      <c r="C39" s="109"/>
      <c r="D39" s="88"/>
      <c r="E39" s="88"/>
      <c r="F39" s="88"/>
      <c r="G39" s="278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</row>
    <row r="40" spans="1:23" s="4" customFormat="1" ht="12" customHeight="1" x14ac:dyDescent="0.2">
      <c r="A40" s="99"/>
      <c r="B40" s="277" t="s">
        <v>139</v>
      </c>
      <c r="C40" s="109"/>
      <c r="D40" s="88"/>
      <c r="E40" s="88"/>
      <c r="F40" s="88"/>
      <c r="G40" s="278"/>
      <c r="H40" s="99"/>
      <c r="I40" s="99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</row>
    <row r="41" spans="1:23" ht="12" customHeight="1" x14ac:dyDescent="0.25">
      <c r="A41" s="41"/>
      <c r="B41" s="307" t="s">
        <v>145</v>
      </c>
      <c r="C41" s="307"/>
      <c r="D41" s="307"/>
      <c r="E41" s="307"/>
      <c r="F41" s="307"/>
      <c r="G41" s="307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23" ht="12" customHeight="1" x14ac:dyDescent="0.25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</sheetData>
  <mergeCells count="7">
    <mergeCell ref="B41:G41"/>
    <mergeCell ref="B5:G5"/>
    <mergeCell ref="B7:B9"/>
    <mergeCell ref="D7:E8"/>
    <mergeCell ref="G7:K7"/>
    <mergeCell ref="G8:H8"/>
    <mergeCell ref="J8:K8"/>
  </mergeCells>
  <hyperlinks>
    <hyperlink ref="K1" location="ÍNDICE!A1" tooltip="Ir a ÍNDICE" display="ÍNDICE" xr:uid="{0883C9D7-F19D-4F1A-9042-8C1ED226AFE7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ÍNDICE</vt:lpstr>
      <vt:lpstr>Cuadro 5.1</vt:lpstr>
      <vt:lpstr>Cuadro 5.2</vt:lpstr>
      <vt:lpstr>Cuadro 5.3</vt:lpstr>
      <vt:lpstr>Cuadro 5.4</vt:lpstr>
      <vt:lpstr>Cuadro 5.5</vt:lpstr>
      <vt:lpstr>Cuadro 5.6</vt:lpstr>
      <vt:lpstr>Cuadro 5.7</vt:lpstr>
      <vt:lpstr>Cuadro 5.8</vt:lpstr>
      <vt:lpstr>Cuadro 5.9</vt:lpstr>
      <vt:lpstr>Cuadro 5.10</vt:lpstr>
      <vt:lpstr>Cuadro 5.11</vt:lpstr>
      <vt:lpstr>Cuadro 5.12</vt:lpstr>
      <vt:lpstr>Cuadro 5.13</vt:lpstr>
      <vt:lpstr>Cuadro 5.14</vt:lpstr>
      <vt:lpstr>Cuadro 5.15</vt:lpstr>
      <vt:lpstr>Cuadro 5.16</vt:lpstr>
      <vt:lpstr>Cuadro 5.17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ENIF 2024. Tabulados básicos. Población de 18 a 70 años.</dc:title>
  <dc:creator>INEGI</dc:creator>
  <cp:keywords>actividad, ahorro, aseguradora, banca, beneficio, bienes, compra, crédito, dinero, divisa, empresa, financiación, garantía, gestión, ingreso, institución, inversión, patrimonio, recursos, remesas, servicio, seguros</cp:keywords>
  <dcterms:created xsi:type="dcterms:W3CDTF">2021-06-16T21:07:26Z</dcterms:created>
  <dcterms:modified xsi:type="dcterms:W3CDTF">2025-03-11T17:29:05Z</dcterms:modified>
</cp:coreProperties>
</file>