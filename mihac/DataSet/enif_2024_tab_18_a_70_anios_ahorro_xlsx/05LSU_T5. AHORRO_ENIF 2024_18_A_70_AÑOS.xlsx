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ermo.reyes\Downloads\20250310-Pob1870-ENIF 2024\Tema 05\"/>
    </mc:Choice>
  </mc:AlternateContent>
  <xr:revisionPtr revIDLastSave="0" documentId="13_ncr:1_{32A22F3B-9E45-4C1E-AFB0-314E00E8A410}" xr6:coauthVersionLast="47" xr6:coauthVersionMax="47" xr10:uidLastSave="{00000000-0000-0000-0000-000000000000}"/>
  <bookViews>
    <workbookView xWindow="-120" yWindow="-120" windowWidth="29040" windowHeight="15840" tabRatio="918" xr2:uid="{00000000-000D-0000-FFFF-FFFF00000000}"/>
  </bookViews>
  <sheets>
    <sheet name="ÍNDICE" sheetId="63" r:id="rId1"/>
    <sheet name="Cuadro 5.1" sheetId="43" r:id="rId2"/>
    <sheet name="Cuadro 5.2" sheetId="64" r:id="rId3"/>
    <sheet name="Cuadro 5.3" sheetId="65" r:id="rId4"/>
    <sheet name="Cuadro 5.4" sheetId="66" r:id="rId5"/>
    <sheet name="Cuadro 5.5" sheetId="67" r:id="rId6"/>
    <sheet name="Cuadro 5.6" sheetId="68" r:id="rId7"/>
    <sheet name="Cuadro 5.7" sheetId="69" r:id="rId8"/>
    <sheet name="Cuadro 5.8" sheetId="70" r:id="rId9"/>
    <sheet name="Cuadro 5.9" sheetId="71" r:id="rId10"/>
    <sheet name="Cuadro 5.10" sheetId="72" r:id="rId11"/>
    <sheet name="Cuadro 5.11" sheetId="73" r:id="rId12"/>
    <sheet name="Cuadro 5.12" sheetId="74" r:id="rId13"/>
    <sheet name="Cuadro 5.13" sheetId="75" r:id="rId14"/>
    <sheet name="Cuadro 5.14" sheetId="76" r:id="rId15"/>
    <sheet name="Cuadro 5.15" sheetId="77" r:id="rId16"/>
    <sheet name="Cuadro 5.16" sheetId="78" r:id="rId17"/>
    <sheet name="Cuadro 5.17" sheetId="79" r:id="rId18"/>
  </sheets>
  <externalReferences>
    <externalReference r:id="rId19"/>
  </externalReferences>
  <definedNames>
    <definedName name="\p">#N/A</definedName>
    <definedName name="\s">#N/A</definedName>
    <definedName name="A_impresión_IM" localSheetId="10">#REF!</definedName>
    <definedName name="A_impresión_IM" localSheetId="11">#REF!</definedName>
    <definedName name="A_impresión_IM" localSheetId="12">#REF!</definedName>
    <definedName name="A_impresión_IM" localSheetId="13">#REF!</definedName>
    <definedName name="A_impresión_IM" localSheetId="14">#REF!</definedName>
    <definedName name="A_impresión_IM" localSheetId="15">#REF!</definedName>
    <definedName name="A_impresión_IM" localSheetId="16">#REF!</definedName>
    <definedName name="A_impresión_IM" localSheetId="17">#REF!</definedName>
    <definedName name="A_impresión_IM" localSheetId="2">#REF!</definedName>
    <definedName name="A_impresión_IM" localSheetId="3">#REF!</definedName>
    <definedName name="A_impresión_IM" localSheetId="4">#REF!</definedName>
    <definedName name="A_impresión_IM" localSheetId="5">#REF!</definedName>
    <definedName name="A_impresión_IM" localSheetId="6">#REF!</definedName>
    <definedName name="A_impresión_IM" localSheetId="7">#REF!</definedName>
    <definedName name="A_impresión_IM" localSheetId="8">#REF!</definedName>
    <definedName name="A_impresión_IM" localSheetId="9">#REF!</definedName>
    <definedName name="A_impresión_IM" localSheetId="0">#REF!</definedName>
    <definedName name="A_impresión_IM">#REF!</definedName>
    <definedName name="Cuadro_2.1" localSheetId="0">#REF!</definedName>
    <definedName name="Cuadro_2.1">#REF!</definedName>
    <definedName name="Cuadro_2.2" localSheetId="0">#REF!</definedName>
    <definedName name="Cuadro_2.2">#REF!</definedName>
    <definedName name="Cuadro_2.3" localSheetId="0">#REF!</definedName>
    <definedName name="Cuadro_2.3">#REF!</definedName>
    <definedName name="DESTINO" localSheetId="0">#REF!</definedName>
    <definedName name="DESTINO">#REF!</definedName>
    <definedName name="índice" localSheetId="0">#REF!</definedName>
    <definedName name="índice">#REF!</definedName>
    <definedName name="Ir_a_inicio" localSheetId="0">'[1]Cuadro 1'!#REF!</definedName>
    <definedName name="Ir_a_inicio">'[1]Cuadro 1'!#REF!</definedName>
    <definedName name="Libro1" localSheetId="0">'[1]Cuadro 1'!#REF!</definedName>
    <definedName name="Libro1">'[1]Cuadro 1'!#REF!</definedName>
    <definedName name="No" localSheetId="0">#REF!</definedName>
    <definedName name="No">#REF!</definedName>
    <definedName name="paso" localSheetId="0">#REF!</definedName>
    <definedName name="paso">#REF!</definedName>
    <definedName name="prueba" localSheetId="0">#REF!</definedName>
    <definedName name="prueba">#REF!</definedName>
    <definedName name="si" localSheetId="0">#REF!</definedName>
    <definedName name="s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8" i="63" l="1"/>
</calcChain>
</file>

<file path=xl/sharedStrings.xml><?xml version="1.0" encoding="utf-8"?>
<sst xmlns="http://schemas.openxmlformats.org/spreadsheetml/2006/main" count="781" uniqueCount="216">
  <si>
    <t>Hombres</t>
  </si>
  <si>
    <t xml:space="preserve">Estados Unidos Mexicanos </t>
  </si>
  <si>
    <t>1 a 14 999 habitantes</t>
  </si>
  <si>
    <t xml:space="preserve">15 000 y más habitantes </t>
  </si>
  <si>
    <t>Estados Unidos Mexicanos</t>
  </si>
  <si>
    <r>
      <t>Sí ahorra informalmente</t>
    </r>
    <r>
      <rPr>
        <b/>
        <vertAlign val="superscript"/>
        <sz val="8"/>
        <rFont val="Arial"/>
        <family val="2"/>
      </rPr>
      <t>1</t>
    </r>
  </si>
  <si>
    <t>Prestando dinero</t>
  </si>
  <si>
    <t>Comprando animales o bienes</t>
  </si>
  <si>
    <t>En una caja de ahorro</t>
  </si>
  <si>
    <t>En una tanda</t>
  </si>
  <si>
    <t>En su casa</t>
  </si>
  <si>
    <t>No ahorra informalmente</t>
  </si>
  <si>
    <t xml:space="preserve">Mujeres </t>
  </si>
  <si>
    <t>Tamaño de localidad y destino del ahorro informal</t>
  </si>
  <si>
    <t xml:space="preserve">Gastos de comida, personales o pago de servicios </t>
  </si>
  <si>
    <t xml:space="preserve">Atender emergencias o imprevistos </t>
  </si>
  <si>
    <t>Comprar, reparar, remodelar o ampliar una casa; comprar terrenos, vehículos, joyas, animales, etcétera</t>
  </si>
  <si>
    <t>Gastos de salud</t>
  </si>
  <si>
    <t xml:space="preserve">Gastos de educación </t>
  </si>
  <si>
    <t xml:space="preserve">Pagar vacaciones o fiestas </t>
  </si>
  <si>
    <t xml:space="preserve">Comenzar, ampliar u operar un negocio </t>
  </si>
  <si>
    <t>Para la vejez o retiro</t>
  </si>
  <si>
    <t>Otro destino</t>
  </si>
  <si>
    <t xml:space="preserve">Cuenta o tarjeta de nómina  </t>
  </si>
  <si>
    <t xml:space="preserve">Cuenta o tarjeta de pensión </t>
  </si>
  <si>
    <t>Cuenta o tarjeta para recibir apoyos del gobierno</t>
  </si>
  <si>
    <t xml:space="preserve">Cuenta de ahorro </t>
  </si>
  <si>
    <t xml:space="preserve">Cuenta de cheques </t>
  </si>
  <si>
    <t xml:space="preserve">Depósito a plazo fijo </t>
  </si>
  <si>
    <t xml:space="preserve">Fondo de inversión </t>
  </si>
  <si>
    <t>Otro tipo de cuenta</t>
  </si>
  <si>
    <t>No tiene alguna cuenta de ahorro</t>
  </si>
  <si>
    <r>
      <t>Sí ahorró en el último año</t>
    </r>
    <r>
      <rPr>
        <b/>
        <vertAlign val="superscript"/>
        <sz val="8"/>
        <rFont val="Arial"/>
        <family val="2"/>
      </rPr>
      <t>2</t>
    </r>
  </si>
  <si>
    <t>No ahorró en el último año</t>
  </si>
  <si>
    <t xml:space="preserve">Para la vejez o retiro </t>
  </si>
  <si>
    <t>Le gusta ahorrar</t>
  </si>
  <si>
    <t>Para invertir o le permite ganar intereses</t>
  </si>
  <si>
    <t>Tiene un negocio y ahí deposita y administra su dinero</t>
  </si>
  <si>
    <t>Para recibir un apoyo gubernamental</t>
  </si>
  <si>
    <t>Es una forma segura de ahorro</t>
  </si>
  <si>
    <t>Es una forma sencilla para comprar y pagar cosas</t>
  </si>
  <si>
    <t>Otra razón</t>
  </si>
  <si>
    <t>No especificado</t>
  </si>
  <si>
    <t>1 vez</t>
  </si>
  <si>
    <t>2 a 4 veces</t>
  </si>
  <si>
    <t>5 a 10 veces</t>
  </si>
  <si>
    <t>11 o más veces</t>
  </si>
  <si>
    <t>No la utiliza</t>
  </si>
  <si>
    <t>Anuncios comerciales de bancos o instituciones financieras</t>
  </si>
  <si>
    <t>Recomendación de especialistas o analistas</t>
  </si>
  <si>
    <t>Información proporcionada por el banco o institución financiera</t>
  </si>
  <si>
    <t>Recomendación de amistades o personas conocidas</t>
  </si>
  <si>
    <t xml:space="preserve">La sucursal le queda lejos o no hay </t>
  </si>
  <si>
    <t xml:space="preserve">Los intereses bajos o las comisiones altas </t>
  </si>
  <si>
    <t xml:space="preserve">No confía en instituciones financieras o le dan mal servicio </t>
  </si>
  <si>
    <t xml:space="preserve">Piden requisitos que no tiene </t>
  </si>
  <si>
    <t xml:space="preserve">Prefiere otras formas de ahorro </t>
  </si>
  <si>
    <t xml:space="preserve">No la necesita </t>
  </si>
  <si>
    <t>No le alcanza, sus ingresos son insuficientes o variables</t>
  </si>
  <si>
    <t>No sabe qué es o cómo usarla</t>
  </si>
  <si>
    <t>No quiere que le cobren impuestos</t>
  </si>
  <si>
    <t xml:space="preserve">Sí sabe que los ahorros están protegidos </t>
  </si>
  <si>
    <t>IPAB (Instituto para la Protección al Ahorro Bancario)</t>
  </si>
  <si>
    <t>Otro</t>
  </si>
  <si>
    <t>No sabe el nombre de la institución</t>
  </si>
  <si>
    <t xml:space="preserve">No sabe que los ahorros están protegidos </t>
  </si>
  <si>
    <r>
      <t xml:space="preserve"> Sí tiene alguna cuenta de ahorro</t>
    </r>
    <r>
      <rPr>
        <b/>
        <vertAlign val="superscript"/>
        <sz val="8"/>
        <rFont val="Arial"/>
        <family val="2"/>
      </rPr>
      <t>1</t>
    </r>
  </si>
  <si>
    <t>Tamaño de localidad y destino del ahorro formal</t>
  </si>
  <si>
    <t>Tamaño de localidad, condición de tenencia de tarjeta de débito y frecuencia mensual de uso</t>
  </si>
  <si>
    <t>Tamaño de localidad, condición y medio de comparación utilizado en la última cuenta de ahorro adquirida</t>
  </si>
  <si>
    <t>Tamaño de localidad y razón de no tenencia</t>
  </si>
  <si>
    <t xml:space="preserve">A través de la empresa donde trabaja
</t>
  </si>
  <si>
    <t>Página de internet</t>
  </si>
  <si>
    <t>Aplicación de celular</t>
  </si>
  <si>
    <t>Cajero automático</t>
  </si>
  <si>
    <t>Sucursal o ventanilla</t>
  </si>
  <si>
    <t xml:space="preserve">Tamaño de localidad y periodo equivalente de ahorro </t>
  </si>
  <si>
    <t>Cuadro 5.16</t>
  </si>
  <si>
    <t>Cuadro 5.15</t>
  </si>
  <si>
    <t>Cuadro 5.14</t>
  </si>
  <si>
    <t>Cuadro 5.13</t>
  </si>
  <si>
    <t>Cuadro 5.12</t>
  </si>
  <si>
    <t>Cuadro 5.11</t>
  </si>
  <si>
    <t>Cuadro 5.10</t>
  </si>
  <si>
    <t>Cuadro 5.9</t>
  </si>
  <si>
    <t>Cuadro 5.8</t>
  </si>
  <si>
    <t>Cuadro 5.7</t>
  </si>
  <si>
    <t>Cuadro 5.6</t>
  </si>
  <si>
    <t>Cuadro 5.5</t>
  </si>
  <si>
    <t>Cuadro 5.4</t>
  </si>
  <si>
    <t>Cuadro 5.3</t>
  </si>
  <si>
    <t>Cuadro 5.2</t>
  </si>
  <si>
    <t>Cuadro 5.1</t>
  </si>
  <si>
    <t>Con familiares o personas conocidas</t>
  </si>
  <si>
    <t>ÍNDICE</t>
  </si>
  <si>
    <t>Relativos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</si>
  <si>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La suma por tipo de ahorro informal puede ser mayor al total porque una persona puede declarar más de un tipo.</t>
    </r>
  </si>
  <si>
    <t>Ahorró una semana de lo que gana o recibe</t>
  </si>
  <si>
    <t>Ahorró una quincena de lo que gana o recibe</t>
  </si>
  <si>
    <t>Ahorró un mes de lo que gana o recibe</t>
  </si>
  <si>
    <t>Ahorró más de un mes de lo que gana o recibe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</si>
  <si>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Considera cuentas de instituciones reguladas no bancarias y bancarias.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</si>
  <si>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Población que nunca ha tenido cuentas de ahorro en instituciones reguladas no bancarias y bancarias.</t>
    </r>
  </si>
  <si>
    <t>Población de 18 a 70 años que tiene cuenta de ahorro por razón de contratación de la(s) cuenta(s) según sexo</t>
  </si>
  <si>
    <t>Población de 18 a 70 años por tamaño de localidad, condición de tenencia y tipo de cuenta de ahorro, según sexo</t>
  </si>
  <si>
    <t>Población de 18 a 70 años por tamaño de localidad, condición y tipo de ahorro informal según sexo</t>
  </si>
  <si>
    <r>
      <t xml:space="preserve">Tema 5. 
</t>
    </r>
    <r>
      <rPr>
        <sz val="11"/>
        <color theme="10"/>
        <rFont val="Arial"/>
        <family val="2"/>
      </rPr>
      <t>Ahorro</t>
    </r>
  </si>
  <si>
    <t>Título</t>
  </si>
  <si>
    <t>ID Cuadro</t>
  </si>
  <si>
    <t>Tema</t>
  </si>
  <si>
    <t>Nivel de confianza del 90%</t>
  </si>
  <si>
    <t>TABULADOS BÁSICOS</t>
  </si>
  <si>
    <t>Para recibir un pago</t>
  </si>
  <si>
    <t>Sí tiene tarjeta de débito</t>
  </si>
  <si>
    <r>
      <t>Menos de una vez al mes</t>
    </r>
    <r>
      <rPr>
        <vertAlign val="superscript"/>
        <sz val="8"/>
        <rFont val="Arial"/>
        <family val="2"/>
      </rPr>
      <t>1</t>
    </r>
  </si>
  <si>
    <r>
      <t>No tiene tarjeta de débito</t>
    </r>
    <r>
      <rPr>
        <b/>
        <vertAlign val="superscript"/>
        <sz val="8"/>
        <rFont val="Arial"/>
        <family val="2"/>
      </rPr>
      <t>2</t>
    </r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</si>
  <si>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 xml:space="preserve">La utiliza pocas veces al año. 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</si>
  <si>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 xml:space="preserve">Incluye la población que tiene cuentas de depósitos a plazo fijo, fondos de inversión y otros, a los que no se les captó la tenencia de tarjeta de débito. </t>
    </r>
  </si>
  <si>
    <t>No sabe</t>
  </si>
  <si>
    <t>Con alguna acción de ahorro</t>
  </si>
  <si>
    <t xml:space="preserve">Solo con acción de ahorro informal </t>
  </si>
  <si>
    <t xml:space="preserve">Solo con acción de ahorro formal </t>
  </si>
  <si>
    <t>Sin acción de ahorro</t>
  </si>
  <si>
    <t>Para acceder a otro producto o servicio financiero</t>
  </si>
  <si>
    <t>SOCAP/ Focoop</t>
  </si>
  <si>
    <t>Fondo de protección de SOFIPOS</t>
  </si>
  <si>
    <t>Ningún medio (lo hace otra persona)</t>
  </si>
  <si>
    <t xml:space="preserve">No sabe (No recuerda) 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</si>
  <si>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La suma puede ser mayor al total porque una persona pudo declarar más de un destino.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</si>
  <si>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puede ser mayor al total porque una persona puede tener más de un tipo de cuenta. 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</si>
  <si>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Se considera que una persona tiene ahorro formal en el último año, si durante este periodo, guardó o ahorró en alguna de sus cuentas con instituciones reguladas no bancarias y bancarias.</t>
    </r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</si>
  <si>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La suma puede ser mayor al total porque una persona puede declarar más de un tipo de cuenta.</t>
    </r>
  </si>
  <si>
    <t>Se la dieron en el trabajo para depositarle su salario o pensión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</si>
  <si>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La suma puede ser mayor al total porque una persona pudo haber declarado más de una razón de contratación de la(s) cuenta(s) de ahorro .</t>
    </r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</si>
  <si>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La suma puede ser mayor al total porque una persona pudo haber declarado más de un destino de ahorro.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</si>
  <si>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comercios, llamada telefónica y otros medios de consulta.</t>
    </r>
  </si>
  <si>
    <r>
      <t>Otro</t>
    </r>
    <r>
      <rPr>
        <vertAlign val="superscript"/>
        <sz val="8"/>
        <rFont val="Arial"/>
        <family val="2"/>
      </rPr>
      <t>1</t>
    </r>
  </si>
  <si>
    <r>
      <t>Otro tipo de cuenta</t>
    </r>
    <r>
      <rPr>
        <vertAlign val="superscript"/>
        <sz val="8"/>
        <rFont val="Arial"/>
        <family val="2"/>
      </rPr>
      <t>2</t>
    </r>
  </si>
  <si>
    <t>Cuadro 5.17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</si>
  <si>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otro tipo de cuenta de ahorro y tarjetas de crédito.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</si>
  <si>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Excluye a las personas nunca usuarias de cuentas de ahorro.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</si>
  <si>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a personas que no trabajan, pero reciben su mesada, su gasto o apoyo económico para sus gastos personales como las personas dedicadas exclusivamente al trabajo doméstico del hogar o al cuidado de algún familiar, estudiantes, etcétera. 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</si>
  <si>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Se refiere a las instituciones que el informante declaró como protectoras del ahorro.</t>
    </r>
  </si>
  <si>
    <t>Con acción de ahorro informal y acción 
de ahorro formal</t>
  </si>
  <si>
    <t>Tamaño de localidad, condición de acción 
de ahorro en último año y tipo</t>
  </si>
  <si>
    <r>
      <t xml:space="preserve">Fuente: </t>
    </r>
    <r>
      <rPr>
        <b/>
        <sz val="8"/>
        <color rgb="FF000000"/>
        <rFont val="Arial"/>
        <family val="2"/>
      </rPr>
      <t>INEGI</t>
    </r>
    <r>
      <rPr>
        <sz val="8"/>
        <color indexed="8"/>
        <rFont val="Arial"/>
        <family val="2"/>
      </rPr>
      <t xml:space="preserve"> Encuesta Nacional de Inclusión Financiera (ENIF) 2024.</t>
    </r>
  </si>
  <si>
    <t>Tamaño de localidad, condición de tenencia 
y tipo de cuenta de ahorro</t>
  </si>
  <si>
    <t>Cuenta contratada por Internet o aplicación 
como Mercado Pago, Nu o Spin de Oxxo</t>
  </si>
  <si>
    <t xml:space="preserve">Tamaño de localidad, condición de ahorro 
formal en el último año y tipo de cuenta </t>
  </si>
  <si>
    <t>Sitios o página de instituciones como Condusef 
o Banco de México</t>
  </si>
  <si>
    <t>No comparó la última cuenta adquirida antes 
de contratarla</t>
  </si>
  <si>
    <t>Sí comparó la última cuenta adquirida antes 
de contratarla</t>
  </si>
  <si>
    <r>
      <t>Población de 18 a 70 años nunca usuaria de cuenta de ahorro</t>
    </r>
    <r>
      <rPr>
        <b/>
        <vertAlign val="superscript"/>
        <sz val="9"/>
        <color theme="1"/>
        <rFont val="Arial"/>
        <family val="2"/>
      </rPr>
      <t>1</t>
    </r>
    <r>
      <rPr>
        <b/>
        <sz val="9"/>
        <color theme="1"/>
        <rFont val="Arial"/>
        <family val="2"/>
      </rPr>
      <t xml:space="preserve"> por tamaño de localidad y razón de no tenencia según sexo</t>
    </r>
  </si>
  <si>
    <r>
      <t>Población de 18 a 70 años por tamaño de localidad, conocimiento de protección al ahorro e institución declarada como protectora del ahorro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según sexo</t>
    </r>
  </si>
  <si>
    <t>Tamaño de localidad, conocimiento de protección 
al ahorro e institución declarada como
protectora del ahorro</t>
  </si>
  <si>
    <t>Sucursal de la institución financiera</t>
  </si>
  <si>
    <t>Tamaño de localidad y medios utilizados 
para consultas o movimientos</t>
  </si>
  <si>
    <t>Cuenta contratada por Internet o aplicación como 
Mercado Pago, Nu o Spin de Oxxo</t>
  </si>
  <si>
    <t>Cuenta o tarjeta para recibir apoyos 
del gobierno</t>
  </si>
  <si>
    <r>
      <t>Otros medios</t>
    </r>
    <r>
      <rPr>
        <vertAlign val="superscript"/>
        <sz val="8"/>
        <rFont val="Arial"/>
        <family val="2"/>
      </rPr>
      <t>2</t>
    </r>
  </si>
  <si>
    <t xml:space="preserve">Cuenta o tarjeta de nómina o pensión </t>
  </si>
  <si>
    <t>Cuenta de ahorro o cheques</t>
  </si>
  <si>
    <r>
      <t>Población de 18 a 70 años que tiene o ha tenido alguna cuenta de ahorro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 y tipo de primer producto de ahorro adquirido según sexo</t>
    </r>
  </si>
  <si>
    <t>Encuesta Nacional de Inclusión Financiera (ENIF) 2024</t>
  </si>
  <si>
    <t>Población de 18 a 70 años por tamaño de localidad, condición de acción de ahorro en último año y tipo según sexo</t>
  </si>
  <si>
    <t>Población de 18 a 70 años que tiene ahorro informal  por tamaño de localidad y destino del ahorro informal según sexo</t>
  </si>
  <si>
    <t>Población de 18 a 70 años que tiene o ha tenido alguna cuenta de ahorro por tamaño de localidad  y tipo de primer producto de ahorro adquirido según sexo</t>
  </si>
  <si>
    <t>Población de 18 a 70 años que tiene cuenta de ahorro por tamaño de localidad  y medios utilizados para consultas o movimientos según sexo</t>
  </si>
  <si>
    <t>Población de 18 a 70 años que tiene cuenta de ahorro por tamaño de localidad y sitio de apertura de la última cuenta contratada según sexo</t>
  </si>
  <si>
    <t>Población de 18 a 70 años</t>
  </si>
  <si>
    <t xml:space="preserve">Sexo </t>
  </si>
  <si>
    <t xml:space="preserve">Absolutos </t>
  </si>
  <si>
    <t>Tamaño de localidad, condición
y tipo de ahorro informal</t>
  </si>
  <si>
    <r>
      <t>Población de 18 a 70 años que tiene ahorro informal</t>
    </r>
    <r>
      <rPr>
        <b/>
        <vertAlign val="superscript"/>
        <sz val="9"/>
        <color theme="1"/>
        <rFont val="Arial"/>
        <family val="2"/>
      </rPr>
      <t xml:space="preserve">  </t>
    </r>
    <r>
      <rPr>
        <b/>
        <sz val="9"/>
        <color theme="1"/>
        <rFont val="Arial"/>
        <family val="2"/>
      </rPr>
      <t>por tamaño de localidad 
y destino del ahorro informal según sexo</t>
    </r>
  </si>
  <si>
    <r>
      <t>Población de 18 a 70 años que ahorró informalmente en el último año, por tamaño de localidad 
y periodo equivalente de ahorro</t>
    </r>
    <r>
      <rPr>
        <b/>
        <vertAlign val="superscript"/>
        <sz val="9"/>
        <color theme="1"/>
        <rFont val="Arial"/>
        <family val="2"/>
      </rPr>
      <t>1</t>
    </r>
    <r>
      <rPr>
        <b/>
        <sz val="9"/>
        <color theme="1"/>
        <rFont val="Arial"/>
        <family val="2"/>
      </rPr>
      <t xml:space="preserve"> según sexo</t>
    </r>
  </si>
  <si>
    <t>Población de 18 a 70 años que ahorró informalmente en el último año, por tamaño de localidad y periodo equivalente de ahorro según sexo</t>
  </si>
  <si>
    <r>
      <t>Población de 18 a 70 años que tiene ahorro informal</t>
    </r>
    <r>
      <rPr>
        <b/>
        <vertAlign val="superscript"/>
        <sz val="8"/>
        <color theme="1"/>
        <rFont val="Arial"/>
        <family val="2"/>
      </rPr>
      <t>1</t>
    </r>
  </si>
  <si>
    <t>Población de 18 a 70 años que ahorró informalmente en el último año</t>
  </si>
  <si>
    <t>Población de 18 a 70 años que tiene cuenta de ahorro</t>
  </si>
  <si>
    <r>
      <t>Población de 18 a 70 años que tiene cuenta de ahorro, por tamaño de localidad, condición de ahorro formal
en el último año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y tipo de cuenta según sexo</t>
    </r>
  </si>
  <si>
    <t>Población de 18 a 70 años que tiene cuenta de ahorro, por tamaño de localidad, condición de ahorro formal en el último año y tipo de cuenta según sexo</t>
  </si>
  <si>
    <t>Población de 18 a 70 años por tamaño de localidad, condición de tenencia y tipo de cuenta de ahorro según sexo</t>
  </si>
  <si>
    <r>
      <t>Población de 18 a 70 años que tiene cuenta de ahorro</t>
    </r>
    <r>
      <rPr>
        <b/>
        <vertAlign val="superscript"/>
        <sz val="8"/>
        <color theme="1"/>
        <rFont val="Arial"/>
        <family val="2"/>
      </rPr>
      <t>1</t>
    </r>
  </si>
  <si>
    <t>Razón de contratación de la(s) cuenta(s)</t>
  </si>
  <si>
    <r>
      <t>Población de 18 a 70 años que ahorró formalmente en el último año</t>
    </r>
    <r>
      <rPr>
        <b/>
        <vertAlign val="superscript"/>
        <sz val="8"/>
        <color theme="1"/>
        <rFont val="Arial"/>
        <family val="2"/>
      </rPr>
      <t>2</t>
    </r>
  </si>
  <si>
    <r>
      <t>Población de 18 a 70 años que ahorró formalmente en el último año</t>
    </r>
    <r>
      <rPr>
        <b/>
        <vertAlign val="superscript"/>
        <sz val="9"/>
        <color indexed="8"/>
        <rFont val="Arial"/>
        <family val="2"/>
      </rPr>
      <t xml:space="preserve">1 </t>
    </r>
    <r>
      <rPr>
        <b/>
        <sz val="9"/>
        <color theme="1"/>
        <rFont val="Arial"/>
        <family val="2"/>
      </rPr>
      <t>por tamaño de localidad y destino del ahorro formal según sexo</t>
    </r>
  </si>
  <si>
    <t>Población de 18 a 70 años que ahorró de manera formal en el último año</t>
  </si>
  <si>
    <t>Población de 18 a 70 años que ahorró de manera formal en el último año, por tamaño de localidad y periodo equivalente de ahorro según sexo</t>
  </si>
  <si>
    <t>Población de 18 a 70 años que ahorró formalmente en el último año por tamaño de localidad y destino del ahorro formal según sexo</t>
  </si>
  <si>
    <t>Población de 18 a 70 años que tiene cuenta de ahorro, por tamaño de localidad, condición de tenencia de tarjeta de débito y frecuencia mensual de uso según sexo</t>
  </si>
  <si>
    <t>Población de 18 a 70 años por tamaño de localidad, condición de usuario de cuenta y tipo de no usuarios según sexo</t>
  </si>
  <si>
    <t>Población de 18 a 70 años que tiene cuenta de ahorro por tamaño de localidad, condición y medio de comparación utilizado en la última cuenta de ahorro adquirida según sexo</t>
  </si>
  <si>
    <t>Población de 18 a 70 años nunca usuaria de cuenta de ahorro por tamaño de localidad y razón de no tenencia según sexo</t>
  </si>
  <si>
    <t>Población de 18 a 70 años por tamaño de localidad, conocimiento de protección al ahorro e institución declarada como protectora del ahorro según sexo</t>
  </si>
  <si>
    <t>Población de 18 a 70 años nunca usuaria de cuenta de ahorro</t>
  </si>
  <si>
    <t>Tamaño de localidad y sitio de apertura
de la última cuenta contratada</t>
  </si>
  <si>
    <t>Mediante una aplicación de celular o página de internet
de la institución financiera</t>
  </si>
  <si>
    <t>Población de 18 a 70 años que tiene o ha tenido alguna cuenta de ahorro</t>
  </si>
  <si>
    <t>Tamaño de localidad y tipo de primer
producto de ahorro adquirido</t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</si>
  <si>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>La suma puede ser mayor al total porque una persona pudo utilizar más de un medio de comparación.</t>
    </r>
  </si>
  <si>
    <t>Banco</t>
  </si>
  <si>
    <t>Otras instituciones</t>
  </si>
  <si>
    <t>Otro sitio de apertura</t>
  </si>
  <si>
    <t>Personal promotor</t>
  </si>
  <si>
    <t>A través del programa social</t>
  </si>
  <si>
    <t>Límite superior.</t>
  </si>
  <si>
    <t>Usuaria</t>
  </si>
  <si>
    <t>No usuaria</t>
  </si>
  <si>
    <t>Nunca usuaria</t>
  </si>
  <si>
    <t>Tamaño de localidad, condición de usuaria
de cuenta y tipo de no usuaria</t>
  </si>
  <si>
    <r>
      <t>Población de 18 a 70 años por tamaño de localidad, condición de usuaria de cuenta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y tipo de no usuaria según sexo</t>
    </r>
  </si>
  <si>
    <t>Alguna vez usuaria</t>
  </si>
  <si>
    <t>Marzo 2025</t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</si>
  <si>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Incluye: "recomendación de influencers o youtubers" y " comparadores privados".</t>
    </r>
  </si>
  <si>
    <t>INEGI. Encuesta Nacional de Inclusión Financiera (ENIF) 2024. Tabulados básicos.</t>
  </si>
  <si>
    <t>Establecimiento comercial como Oxxo, Walmart (Yastas, Financiera para el Bienestar y otros corresponsales bancarios)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</si>
</sst>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###,###,###,##0"/>
    <numFmt numFmtId="166" formatCode="#,##0.0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sz val="11"/>
      <name val="Calibri"/>
      <family val="2"/>
      <scheme val="minor"/>
    </font>
    <font>
      <sz val="7"/>
      <name val="Arial"/>
      <family val="2"/>
    </font>
    <font>
      <b/>
      <sz val="8"/>
      <color theme="1"/>
      <name val="Arial"/>
      <family val="2"/>
    </font>
    <font>
      <b/>
      <sz val="8"/>
      <color indexed="8"/>
      <name val="Arial"/>
      <family val="2"/>
    </font>
    <font>
      <sz val="8"/>
      <color theme="1"/>
      <name val="Arial"/>
      <family val="2"/>
    </font>
    <font>
      <sz val="8"/>
      <color indexed="8"/>
      <name val="Arial"/>
      <family val="2"/>
    </font>
    <font>
      <sz val="7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indexed="8"/>
      <name val="Arial"/>
      <family val="2"/>
    </font>
    <font>
      <vertAlign val="superscript"/>
      <sz val="8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8"/>
      <color rgb="FFFF0000"/>
      <name val="Arial"/>
      <family val="2"/>
    </font>
    <font>
      <sz val="9"/>
      <color rgb="FF003399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sz val="11"/>
      <color indexed="8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vertAlign val="superscript"/>
      <sz val="8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sz val="9"/>
      <name val="Arial"/>
      <family val="2"/>
    </font>
    <font>
      <b/>
      <vertAlign val="superscript"/>
      <sz val="9"/>
      <color theme="1"/>
      <name val="Arial"/>
      <family val="2"/>
    </font>
    <font>
      <b/>
      <vertAlign val="superscript"/>
      <sz val="9"/>
      <color indexed="8"/>
      <name val="Arial"/>
      <family val="2"/>
    </font>
    <font>
      <b/>
      <sz val="11"/>
      <color theme="10"/>
      <name val="Arial"/>
      <family val="2"/>
    </font>
    <font>
      <sz val="11"/>
      <color theme="10"/>
      <name val="Arial"/>
      <family val="2"/>
    </font>
    <font>
      <b/>
      <sz val="11"/>
      <color theme="0"/>
      <name val="Arial"/>
      <family val="2"/>
    </font>
    <font>
      <sz val="10"/>
      <color theme="1"/>
      <name val="Arial"/>
      <family val="2"/>
    </font>
    <font>
      <sz val="10"/>
      <color rgb="FF000080"/>
      <name val="Arial"/>
      <family val="2"/>
    </font>
    <font>
      <sz val="11"/>
      <color rgb="FF000080"/>
      <name val="Arial"/>
      <family val="2"/>
    </font>
    <font>
      <b/>
      <sz val="10"/>
      <color theme="0"/>
      <name val="Arial"/>
      <family val="2"/>
    </font>
    <font>
      <i/>
      <sz val="12"/>
      <color rgb="FF000080"/>
      <name val="Arial"/>
      <family val="2"/>
    </font>
    <font>
      <b/>
      <sz val="11"/>
      <color rgb="FF000080"/>
      <name val="Arial"/>
      <family val="2"/>
    </font>
    <font>
      <u/>
      <sz val="11"/>
      <color theme="10"/>
      <name val="Arial"/>
      <family val="2"/>
    </font>
    <font>
      <u/>
      <sz val="11"/>
      <color rgb="FF0070C0"/>
      <name val="Arial"/>
      <family val="2"/>
    </font>
    <font>
      <sz val="11"/>
      <color rgb="FFFF0000"/>
      <name val="Calibri"/>
      <family val="2"/>
      <scheme val="minor"/>
    </font>
    <font>
      <b/>
      <vertAlign val="superscript"/>
      <sz val="9"/>
      <name val="Arial"/>
      <family val="2"/>
    </font>
    <font>
      <b/>
      <sz val="11"/>
      <color theme="0"/>
      <name val="Calibri"/>
      <family val="2"/>
      <scheme val="minor"/>
    </font>
    <font>
      <b/>
      <vertAlign val="superscript"/>
      <sz val="8"/>
      <color theme="1"/>
      <name val="Arial"/>
      <family val="2"/>
    </font>
    <font>
      <sz val="10"/>
      <color indexed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337AB7"/>
        <bgColor indexed="64"/>
      </patternFill>
    </fill>
    <fill>
      <patternFill patternType="solid">
        <fgColor rgb="FF6E6E6D"/>
        <bgColor indexed="64"/>
      </patternFill>
    </fill>
    <fill>
      <patternFill patternType="solid">
        <fgColor indexed="9"/>
      </patternFill>
    </fill>
  </fills>
  <borders count="2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/>
      <right/>
      <top style="thin">
        <color rgb="FF337AB7"/>
      </top>
      <bottom style="thin">
        <color rgb="FF337AB7"/>
      </bottom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 style="thin">
        <color rgb="FF337AB7"/>
      </left>
      <right/>
      <top/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 style="medium">
        <color rgb="FF0070C0"/>
      </right>
      <top style="thin">
        <color rgb="FF337AB7"/>
      </top>
      <bottom/>
      <diagonal/>
    </border>
    <border>
      <left/>
      <right/>
      <top style="thin">
        <color rgb="FF337AB7"/>
      </top>
      <bottom/>
      <diagonal/>
    </border>
    <border>
      <left style="thin">
        <color rgb="FF337AB7"/>
      </left>
      <right/>
      <top style="thin">
        <color rgb="FF337AB7"/>
      </top>
      <bottom/>
      <diagonal/>
    </border>
    <border>
      <left style="thin">
        <color rgb="FF0070C0"/>
      </left>
      <right style="thin">
        <color rgb="FF337AB7"/>
      </right>
      <top style="thin">
        <color rgb="FF0070C0"/>
      </top>
      <bottom/>
      <diagonal/>
    </border>
    <border>
      <left/>
      <right/>
      <top style="thin">
        <color auto="1"/>
      </top>
      <bottom/>
      <diagonal/>
    </border>
  </borders>
  <cellStyleXfs count="35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3" fillId="0" borderId="0"/>
    <xf numFmtId="0" fontId="3" fillId="0" borderId="0"/>
    <xf numFmtId="0" fontId="1" fillId="0" borderId="0"/>
    <xf numFmtId="0" fontId="1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3" fillId="0" borderId="0"/>
    <xf numFmtId="0" fontId="1" fillId="0" borderId="0"/>
    <xf numFmtId="0" fontId="13" fillId="0" borderId="0" applyNumberFormat="0" applyFill="0" applyBorder="0" applyAlignment="0" applyProtection="0"/>
    <xf numFmtId="0" fontId="23" fillId="0" borderId="0"/>
  </cellStyleXfs>
  <cellXfs count="324">
    <xf numFmtId="0" fontId="0" fillId="0" borderId="0" xfId="0"/>
    <xf numFmtId="0" fontId="19" fillId="0" borderId="0" xfId="0" applyFont="1"/>
    <xf numFmtId="0" fontId="20" fillId="0" borderId="0" xfId="0" applyFont="1"/>
    <xf numFmtId="0" fontId="16" fillId="2" borderId="0" xfId="9" applyFont="1" applyFill="1" applyAlignment="1">
      <alignment horizontal="right" vertical="center"/>
    </xf>
    <xf numFmtId="0" fontId="10" fillId="0" borderId="0" xfId="0" applyFont="1"/>
    <xf numFmtId="0" fontId="0" fillId="0" borderId="0" xfId="0" applyAlignment="1">
      <alignment horizontal="left" vertical="center"/>
    </xf>
    <xf numFmtId="0" fontId="28" fillId="0" borderId="0" xfId="0" applyFont="1"/>
    <xf numFmtId="0" fontId="16" fillId="0" borderId="0" xfId="12" applyFont="1"/>
    <xf numFmtId="165" fontId="0" fillId="0" borderId="0" xfId="0" applyNumberFormat="1"/>
    <xf numFmtId="0" fontId="43" fillId="2" borderId="0" xfId="0" applyFont="1" applyFill="1"/>
    <xf numFmtId="0" fontId="1" fillId="0" borderId="0" xfId="8"/>
    <xf numFmtId="166" fontId="16" fillId="0" borderId="0" xfId="8" applyNumberFormat="1" applyFont="1"/>
    <xf numFmtId="166" fontId="36" fillId="0" borderId="0" xfId="8" applyNumberFormat="1" applyFont="1"/>
    <xf numFmtId="166" fontId="1" fillId="0" borderId="0" xfId="8" applyNumberFormat="1"/>
    <xf numFmtId="166" fontId="16" fillId="0" borderId="0" xfId="12" applyNumberFormat="1" applyFont="1"/>
    <xf numFmtId="166" fontId="39" fillId="0" borderId="0" xfId="12" applyNumberFormat="1" applyFont="1" applyAlignment="1">
      <alignment horizontal="center" vertical="center"/>
    </xf>
    <xf numFmtId="166" fontId="38" fillId="0" borderId="0" xfId="12" applyNumberFormat="1" applyFont="1" applyAlignment="1">
      <alignment vertical="center"/>
    </xf>
    <xf numFmtId="166" fontId="38" fillId="0" borderId="0" xfId="12" applyNumberFormat="1" applyFont="1" applyAlignment="1">
      <alignment horizontal="center" vertical="center"/>
    </xf>
    <xf numFmtId="166" fontId="34" fillId="0" borderId="0" xfId="12" applyNumberFormat="1" applyFont="1" applyAlignment="1">
      <alignment vertical="center"/>
    </xf>
    <xf numFmtId="166" fontId="21" fillId="0" borderId="0" xfId="12" applyNumberFormat="1" applyFont="1"/>
    <xf numFmtId="166" fontId="35" fillId="0" borderId="0" xfId="12" applyNumberFormat="1" applyFont="1"/>
    <xf numFmtId="166" fontId="36" fillId="0" borderId="0" xfId="12" quotePrefix="1" applyNumberFormat="1" applyFont="1"/>
    <xf numFmtId="166" fontId="37" fillId="0" borderId="0" xfId="12" quotePrefix="1" applyNumberFormat="1" applyFont="1"/>
    <xf numFmtId="166" fontId="34" fillId="4" borderId="17" xfId="12" applyNumberFormat="1" applyFont="1" applyFill="1" applyBorder="1" applyAlignment="1">
      <alignment horizontal="center" vertical="center"/>
    </xf>
    <xf numFmtId="166" fontId="34" fillId="4" borderId="16" xfId="12" applyNumberFormat="1" applyFont="1" applyFill="1" applyBorder="1" applyAlignment="1">
      <alignment horizontal="center" vertical="center"/>
    </xf>
    <xf numFmtId="166" fontId="42" fillId="0" borderId="12" xfId="6" applyNumberFormat="1" applyFont="1" applyBorder="1" applyAlignment="1" applyProtection="1">
      <alignment horizontal="center" vertical="center"/>
    </xf>
    <xf numFmtId="166" fontId="8" fillId="0" borderId="0" xfId="0" applyNumberFormat="1" applyFont="1" applyAlignment="1">
      <alignment horizontal="right" vertical="center" wrapText="1"/>
    </xf>
    <xf numFmtId="166" fontId="41" fillId="0" borderId="12" xfId="6" applyNumberFormat="1" applyFont="1" applyBorder="1" applyAlignment="1" applyProtection="1">
      <alignment horizontal="center" vertical="center"/>
    </xf>
    <xf numFmtId="166" fontId="41" fillId="0" borderId="26" xfId="6" applyNumberFormat="1" applyFont="1" applyBorder="1" applyAlignment="1" applyProtection="1">
      <alignment horizontal="center" vertical="center"/>
    </xf>
    <xf numFmtId="166" fontId="42" fillId="0" borderId="7" xfId="6" applyNumberFormat="1" applyFont="1" applyBorder="1" applyAlignment="1" applyProtection="1">
      <alignment horizontal="center" vertical="center"/>
    </xf>
    <xf numFmtId="166" fontId="19" fillId="0" borderId="0" xfId="0" applyNumberFormat="1" applyFont="1"/>
    <xf numFmtId="166" fontId="19" fillId="0" borderId="0" xfId="0" applyNumberFormat="1" applyFont="1" applyAlignment="1">
      <alignment horizontal="left" vertical="center"/>
    </xf>
    <xf numFmtId="166" fontId="20" fillId="0" borderId="0" xfId="0" applyNumberFormat="1" applyFont="1"/>
    <xf numFmtId="166" fontId="19" fillId="0" borderId="0" xfId="0" applyNumberFormat="1" applyFont="1" applyAlignment="1">
      <alignment vertical="top"/>
    </xf>
    <xf numFmtId="166" fontId="21" fillId="0" borderId="0" xfId="0" applyNumberFormat="1" applyFont="1"/>
    <xf numFmtId="166" fontId="20" fillId="0" borderId="0" xfId="0" applyNumberFormat="1" applyFont="1" applyAlignment="1">
      <alignment vertical="top"/>
    </xf>
    <xf numFmtId="166" fontId="29" fillId="2" borderId="0" xfId="2" applyNumberFormat="1" applyFont="1" applyFill="1" applyAlignment="1">
      <alignment horizontal="left" vertical="center"/>
    </xf>
    <xf numFmtId="166" fontId="14" fillId="2" borderId="0" xfId="0" applyNumberFormat="1" applyFont="1" applyFill="1" applyAlignment="1" applyProtection="1">
      <alignment vertical="top" readingOrder="1"/>
      <protection locked="0"/>
    </xf>
    <xf numFmtId="166" fontId="22" fillId="0" borderId="0" xfId="0" applyNumberFormat="1" applyFont="1" applyAlignment="1">
      <alignment horizontal="left" vertical="center"/>
    </xf>
    <xf numFmtId="166" fontId="14" fillId="0" borderId="0" xfId="0" applyNumberFormat="1" applyFont="1" applyAlignment="1">
      <alignment vertical="top"/>
    </xf>
    <xf numFmtId="166" fontId="21" fillId="0" borderId="0" xfId="0" applyNumberFormat="1" applyFont="1" applyAlignment="1">
      <alignment horizontal="right"/>
    </xf>
    <xf numFmtId="166" fontId="0" fillId="0" borderId="0" xfId="0" applyNumberFormat="1"/>
    <xf numFmtId="166" fontId="9" fillId="2" borderId="27" xfId="0" applyNumberFormat="1" applyFont="1" applyFill="1" applyBorder="1" applyAlignment="1" applyProtection="1">
      <alignment vertical="center" wrapText="1" readingOrder="1"/>
      <protection locked="0"/>
    </xf>
    <xf numFmtId="166" fontId="8" fillId="0" borderId="27" xfId="0" applyNumberFormat="1" applyFont="1" applyBorder="1" applyAlignment="1">
      <alignment horizontal="right" vertical="center" wrapText="1"/>
    </xf>
    <xf numFmtId="166" fontId="9" fillId="2" borderId="0" xfId="0" applyNumberFormat="1" applyFont="1" applyFill="1" applyAlignment="1" applyProtection="1">
      <alignment vertical="center" wrapText="1" readingOrder="1"/>
      <protection locked="0"/>
    </xf>
    <xf numFmtId="166" fontId="16" fillId="2" borderId="0" xfId="9" applyNumberFormat="1" applyFont="1" applyFill="1" applyAlignment="1">
      <alignment horizontal="right" vertical="center"/>
    </xf>
    <xf numFmtId="166" fontId="8" fillId="2" borderId="0" xfId="4" applyNumberFormat="1" applyFont="1" applyFill="1" applyAlignment="1">
      <alignment horizontal="left" vertical="center" wrapText="1"/>
    </xf>
    <xf numFmtId="166" fontId="11" fillId="2" borderId="0" xfId="0" applyNumberFormat="1" applyFont="1" applyFill="1" applyAlignment="1">
      <alignment horizontal="right" vertical="center"/>
    </xf>
    <xf numFmtId="166" fontId="4" fillId="2" borderId="0" xfId="9" applyNumberFormat="1" applyFont="1" applyFill="1" applyAlignment="1">
      <alignment horizontal="right" vertical="center"/>
    </xf>
    <xf numFmtId="166" fontId="4" fillId="3" borderId="0" xfId="0" applyNumberFormat="1" applyFont="1" applyFill="1" applyAlignment="1">
      <alignment horizontal="right" vertical="center"/>
    </xf>
    <xf numFmtId="166" fontId="17" fillId="2" borderId="0" xfId="9" applyNumberFormat="1" applyFont="1" applyFill="1" applyAlignment="1">
      <alignment horizontal="right" vertical="center"/>
    </xf>
    <xf numFmtId="166" fontId="8" fillId="2" borderId="2" xfId="4" applyNumberFormat="1" applyFont="1" applyFill="1" applyBorder="1" applyAlignment="1">
      <alignment horizontal="left" vertical="center" wrapText="1"/>
    </xf>
    <xf numFmtId="166" fontId="8" fillId="2" borderId="2" xfId="4" applyNumberFormat="1" applyFont="1" applyFill="1" applyBorder="1" applyAlignment="1">
      <alignment horizontal="left"/>
    </xf>
    <xf numFmtId="166" fontId="8" fillId="0" borderId="4" xfId="0" applyNumberFormat="1" applyFont="1" applyBorder="1" applyAlignment="1">
      <alignment horizontal="right" vertical="center" wrapText="1"/>
    </xf>
    <xf numFmtId="166" fontId="26" fillId="0" borderId="2" xfId="0" applyNumberFormat="1" applyFont="1" applyBorder="1" applyAlignment="1">
      <alignment horizontal="right"/>
    </xf>
    <xf numFmtId="166" fontId="4" fillId="2" borderId="0" xfId="2" applyNumberFormat="1" applyFont="1" applyFill="1" applyAlignment="1">
      <alignment horizontal="left"/>
    </xf>
    <xf numFmtId="166" fontId="26" fillId="0" borderId="0" xfId="0" applyNumberFormat="1" applyFont="1" applyAlignment="1">
      <alignment horizontal="right"/>
    </xf>
    <xf numFmtId="166" fontId="28" fillId="0" borderId="0" xfId="0" applyNumberFormat="1" applyFont="1"/>
    <xf numFmtId="166" fontId="4" fillId="2" borderId="0" xfId="2" applyNumberFormat="1" applyFont="1" applyFill="1" applyAlignment="1">
      <alignment horizontal="left" vertical="center"/>
    </xf>
    <xf numFmtId="166" fontId="4" fillId="0" borderId="0" xfId="3" applyNumberFormat="1" applyFont="1" applyAlignment="1">
      <alignment horizontal="right" vertical="center"/>
    </xf>
    <xf numFmtId="166" fontId="24" fillId="0" borderId="0" xfId="33" applyNumberFormat="1" applyFont="1" applyFill="1" applyAlignment="1">
      <alignment horizontal="right" vertical="center" readingOrder="1"/>
    </xf>
    <xf numFmtId="166" fontId="9" fillId="0" borderId="0" xfId="33" applyNumberFormat="1" applyFont="1" applyFill="1" applyAlignment="1" applyProtection="1">
      <alignment horizontal="right" vertical="center"/>
    </xf>
    <xf numFmtId="166" fontId="24" fillId="2" borderId="0" xfId="6" applyNumberFormat="1" applyFont="1" applyFill="1" applyAlignment="1">
      <alignment horizontal="right" vertical="center" readingOrder="1"/>
    </xf>
    <xf numFmtId="166" fontId="4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166" fontId="4" fillId="2" borderId="0" xfId="2" applyNumberFormat="1" applyFont="1" applyFill="1" applyAlignment="1">
      <alignment horizontal="left" vertical="center" wrapText="1" indent="2"/>
    </xf>
    <xf numFmtId="166" fontId="4" fillId="0" borderId="3" xfId="0" applyNumberFormat="1" applyFont="1" applyBorder="1" applyAlignment="1" applyProtection="1">
      <alignment horizontal="right" vertical="center" wrapText="1" readingOrder="1"/>
      <protection locked="0"/>
    </xf>
    <xf numFmtId="166" fontId="4" fillId="2" borderId="0" xfId="2" applyNumberFormat="1" applyFont="1" applyFill="1" applyAlignment="1">
      <alignment horizontal="left" wrapText="1" indent="1"/>
    </xf>
    <xf numFmtId="166" fontId="25" fillId="0" borderId="0" xfId="33" applyNumberFormat="1" applyFont="1" applyFill="1" applyAlignment="1">
      <alignment horizontal="right" vertical="center" readingOrder="1"/>
    </xf>
    <xf numFmtId="166" fontId="11" fillId="0" borderId="0" xfId="33" applyNumberFormat="1" applyFont="1" applyFill="1" applyAlignment="1" applyProtection="1">
      <alignment horizontal="right" vertical="center"/>
    </xf>
    <xf numFmtId="166" fontId="2" fillId="2" borderId="0" xfId="2" applyNumberFormat="1" applyFont="1" applyFill="1" applyAlignment="1">
      <alignment horizontal="left" vertical="center" wrapText="1" indent="3"/>
    </xf>
    <xf numFmtId="166" fontId="25" fillId="2" borderId="0" xfId="6" applyNumberFormat="1" applyFont="1" applyFill="1" applyAlignment="1">
      <alignment horizontal="right" vertical="center" readingOrder="1"/>
    </xf>
    <xf numFmtId="166" fontId="2" fillId="2" borderId="0" xfId="2" applyNumberFormat="1" applyFont="1" applyFill="1" applyAlignment="1">
      <alignment horizontal="left" wrapText="1" indent="1"/>
    </xf>
    <xf numFmtId="166" fontId="4" fillId="0" borderId="0" xfId="2" applyNumberFormat="1" applyFont="1"/>
    <xf numFmtId="166" fontId="4" fillId="2" borderId="0" xfId="1" applyNumberFormat="1" applyFont="1" applyFill="1" applyBorder="1" applyAlignment="1">
      <alignment horizontal="left" vertical="center" indent="1"/>
    </xf>
    <xf numFmtId="166" fontId="4" fillId="2" borderId="0" xfId="1" applyNumberFormat="1" applyFont="1" applyFill="1" applyBorder="1" applyAlignment="1">
      <alignment horizontal="left" vertical="center"/>
    </xf>
    <xf numFmtId="166" fontId="4" fillId="2" borderId="0" xfId="1" applyNumberFormat="1" applyFont="1" applyFill="1" applyBorder="1" applyAlignment="1">
      <alignment horizontal="left"/>
    </xf>
    <xf numFmtId="166" fontId="16" fillId="2" borderId="0" xfId="0" applyNumberFormat="1" applyFont="1" applyFill="1"/>
    <xf numFmtId="166" fontId="2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166" fontId="7" fillId="0" borderId="2" xfId="2" applyNumberFormat="1" applyFont="1" applyBorder="1"/>
    <xf numFmtId="166" fontId="6" fillId="0" borderId="2" xfId="2" applyNumberFormat="1" applyFont="1" applyBorder="1"/>
    <xf numFmtId="166" fontId="0" fillId="0" borderId="2" xfId="0" applyNumberFormat="1" applyBorder="1"/>
    <xf numFmtId="166" fontId="7" fillId="0" borderId="0" xfId="2" applyNumberFormat="1" applyFont="1"/>
    <xf numFmtId="166" fontId="6" fillId="0" borderId="0" xfId="2" applyNumberFormat="1" applyFont="1"/>
    <xf numFmtId="166" fontId="11" fillId="0" borderId="0" xfId="10" applyNumberFormat="1" applyFont="1"/>
    <xf numFmtId="166" fontId="24" fillId="0" borderId="0" xfId="0" applyNumberFormat="1" applyFont="1" applyAlignment="1">
      <alignment horizontal="left" vertical="center"/>
    </xf>
    <xf numFmtId="166" fontId="43" fillId="2" borderId="0" xfId="0" applyNumberFormat="1" applyFont="1" applyFill="1"/>
    <xf numFmtId="166" fontId="22" fillId="2" borderId="0" xfId="4" applyNumberFormat="1" applyFont="1" applyFill="1" applyAlignment="1">
      <alignment horizontal="left" vertical="center"/>
    </xf>
    <xf numFmtId="166" fontId="8" fillId="2" borderId="0" xfId="4" applyNumberFormat="1" applyFont="1" applyFill="1" applyAlignment="1">
      <alignment horizontal="left"/>
    </xf>
    <xf numFmtId="166" fontId="8" fillId="0" borderId="0" xfId="4" applyNumberFormat="1" applyFont="1" applyAlignment="1">
      <alignment horizontal="left" vertical="center"/>
    </xf>
    <xf numFmtId="166" fontId="4" fillId="0" borderId="0" xfId="5" applyNumberFormat="1" applyFont="1" applyAlignment="1">
      <alignment horizontal="right" vertical="center"/>
    </xf>
    <xf numFmtId="166" fontId="4" fillId="2" borderId="0" xfId="4" applyNumberFormat="1" applyFont="1" applyFill="1" applyAlignment="1">
      <alignment horizontal="left" vertical="center" indent="2"/>
    </xf>
    <xf numFmtId="166" fontId="9" fillId="0" borderId="3" xfId="0" applyNumberFormat="1" applyFont="1" applyBorder="1" applyAlignment="1" applyProtection="1">
      <alignment horizontal="right" vertical="center" wrapText="1" readingOrder="1"/>
      <protection locked="0"/>
    </xf>
    <xf numFmtId="166" fontId="4" fillId="2" borderId="0" xfId="4" applyNumberFormat="1" applyFont="1" applyFill="1" applyAlignment="1">
      <alignment horizontal="left" vertical="center" indent="1"/>
    </xf>
    <xf numFmtId="166" fontId="10" fillId="2" borderId="0" xfId="4" applyNumberFormat="1" applyFont="1" applyFill="1" applyAlignment="1">
      <alignment horizontal="left" vertical="center" indent="3"/>
    </xf>
    <xf numFmtId="166" fontId="11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166" fontId="9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166" fontId="8" fillId="0" borderId="0" xfId="0" applyNumberFormat="1" applyFont="1"/>
    <xf numFmtId="166" fontId="9" fillId="2" borderId="0" xfId="0" applyNumberFormat="1" applyFont="1" applyFill="1" applyAlignment="1" applyProtection="1">
      <alignment horizontal="right" vertical="center" wrapText="1" readingOrder="1"/>
      <protection locked="0"/>
    </xf>
    <xf numFmtId="166" fontId="2" fillId="0" borderId="0" xfId="3" applyNumberFormat="1" applyFont="1" applyAlignment="1">
      <alignment horizontal="right" vertical="center"/>
    </xf>
    <xf numFmtId="166" fontId="10" fillId="0" borderId="0" xfId="0" applyNumberFormat="1" applyFont="1"/>
    <xf numFmtId="166" fontId="4" fillId="2" borderId="0" xfId="14" applyNumberFormat="1" applyFont="1" applyFill="1" applyBorder="1" applyAlignment="1">
      <alignment horizontal="left" vertical="center" indent="1"/>
    </xf>
    <xf numFmtId="166" fontId="4" fillId="2" borderId="0" xfId="14" applyNumberFormat="1" applyFont="1" applyFill="1" applyBorder="1" applyAlignment="1">
      <alignment horizontal="left" vertical="center"/>
    </xf>
    <xf numFmtId="166" fontId="8" fillId="0" borderId="2" xfId="4" applyNumberFormat="1" applyFont="1" applyBorder="1" applyAlignment="1">
      <alignment horizontal="left"/>
    </xf>
    <xf numFmtId="166" fontId="9" fillId="0" borderId="2" xfId="0" applyNumberFormat="1" applyFont="1" applyBorder="1" applyAlignment="1" applyProtection="1">
      <alignment horizontal="right" vertical="center" wrapText="1" readingOrder="1"/>
      <protection locked="0"/>
    </xf>
    <xf numFmtId="166" fontId="8" fillId="0" borderId="1" xfId="4" applyNumberFormat="1" applyFont="1" applyBorder="1" applyAlignment="1">
      <alignment horizontal="left"/>
    </xf>
    <xf numFmtId="166" fontId="8" fillId="2" borderId="1" xfId="4" applyNumberFormat="1" applyFont="1" applyFill="1" applyBorder="1" applyAlignment="1">
      <alignment horizontal="left"/>
    </xf>
    <xf numFmtId="166" fontId="11" fillId="0" borderId="0" xfId="4" applyNumberFormat="1" applyFont="1" applyAlignment="1">
      <alignment horizontal="left" vertical="center"/>
    </xf>
    <xf numFmtId="166" fontId="12" fillId="0" borderId="0" xfId="4" applyNumberFormat="1" applyFont="1" applyAlignment="1">
      <alignment wrapText="1"/>
    </xf>
    <xf numFmtId="166" fontId="4" fillId="2" borderId="0" xfId="4" applyNumberFormat="1" applyFont="1" applyFill="1" applyAlignment="1">
      <alignment horizontal="right" vertical="center" wrapText="1"/>
    </xf>
    <xf numFmtId="166" fontId="8" fillId="2" borderId="0" xfId="4" applyNumberFormat="1" applyFont="1" applyFill="1" applyAlignment="1">
      <alignment horizontal="left" vertical="center"/>
    </xf>
    <xf numFmtId="166" fontId="10" fillId="2" borderId="0" xfId="4" applyNumberFormat="1" applyFont="1" applyFill="1" applyAlignment="1">
      <alignment horizontal="left" vertical="center" wrapText="1" indent="2"/>
    </xf>
    <xf numFmtId="166" fontId="11" fillId="0" borderId="3" xfId="0" applyNumberFormat="1" applyFont="1" applyBorder="1" applyAlignment="1" applyProtection="1">
      <alignment horizontal="right" vertical="center" wrapText="1" readingOrder="1"/>
      <protection locked="0"/>
    </xf>
    <xf numFmtId="166" fontId="10" fillId="0" borderId="0" xfId="4" applyNumberFormat="1" applyFont="1" applyAlignment="1">
      <alignment horizontal="left" vertical="center" wrapText="1" indent="2"/>
    </xf>
    <xf numFmtId="166" fontId="8" fillId="2" borderId="0" xfId="4" applyNumberFormat="1" applyFont="1" applyFill="1" applyAlignment="1">
      <alignment horizontal="left" wrapText="1"/>
    </xf>
    <xf numFmtId="166" fontId="8" fillId="0" borderId="0" xfId="4" applyNumberFormat="1" applyFont="1"/>
    <xf numFmtId="166" fontId="2" fillId="2" borderId="0" xfId="3" applyNumberFormat="1" applyFont="1" applyFill="1" applyAlignment="1">
      <alignment horizontal="right" vertical="center"/>
    </xf>
    <xf numFmtId="166" fontId="10" fillId="2" borderId="0" xfId="0" applyNumberFormat="1" applyFont="1" applyFill="1" applyAlignment="1">
      <alignment vertical="center"/>
    </xf>
    <xf numFmtId="166" fontId="4" fillId="2" borderId="0" xfId="29" applyNumberFormat="1" applyFont="1" applyFill="1" applyBorder="1" applyAlignment="1">
      <alignment horizontal="left" vertical="center" indent="1"/>
    </xf>
    <xf numFmtId="166" fontId="4" fillId="2" borderId="0" xfId="29" applyNumberFormat="1" applyFont="1" applyFill="1" applyBorder="1" applyAlignment="1">
      <alignment horizontal="left" vertical="center"/>
    </xf>
    <xf numFmtId="166" fontId="4" fillId="2" borderId="2" xfId="4" applyNumberFormat="1" applyFont="1" applyFill="1" applyBorder="1" applyAlignment="1">
      <alignment horizontal="right" vertical="center" wrapText="1"/>
    </xf>
    <xf numFmtId="166" fontId="4" fillId="0" borderId="2" xfId="4" applyNumberFormat="1" applyFont="1" applyBorder="1" applyAlignment="1">
      <alignment horizontal="right" vertical="center" wrapText="1"/>
    </xf>
    <xf numFmtId="166" fontId="4" fillId="0" borderId="0" xfId="4" applyNumberFormat="1" applyFont="1" applyAlignment="1">
      <alignment horizontal="right" vertical="center" wrapText="1"/>
    </xf>
    <xf numFmtId="166" fontId="10" fillId="0" borderId="0" xfId="4" applyNumberFormat="1" applyFont="1" applyAlignment="1">
      <alignment horizontal="left" vertical="center"/>
    </xf>
    <xf numFmtId="166" fontId="8" fillId="2" borderId="0" xfId="3" applyNumberFormat="1" applyFont="1" applyFill="1" applyAlignment="1">
      <alignment horizontal="left"/>
    </xf>
    <xf numFmtId="166" fontId="8" fillId="0" borderId="0" xfId="3" applyNumberFormat="1" applyFont="1" applyAlignment="1">
      <alignment horizontal="left" vertical="center"/>
    </xf>
    <xf numFmtId="166" fontId="10" fillId="0" borderId="0" xfId="3" applyNumberFormat="1" applyFont="1" applyAlignment="1">
      <alignment horizontal="left" vertical="center" indent="2"/>
    </xf>
    <xf numFmtId="166" fontId="2" fillId="0" borderId="0" xfId="3" applyNumberFormat="1" applyFont="1" applyAlignment="1">
      <alignment horizontal="left" indent="2"/>
    </xf>
    <xf numFmtId="166" fontId="10" fillId="0" borderId="0" xfId="3" applyNumberFormat="1" applyFont="1"/>
    <xf numFmtId="166" fontId="10" fillId="0" borderId="0" xfId="3" applyNumberFormat="1" applyFont="1" applyAlignment="1">
      <alignment horizontal="left" vertical="center"/>
    </xf>
    <xf numFmtId="166" fontId="4" fillId="2" borderId="0" xfId="17" applyNumberFormat="1" applyFont="1" applyFill="1" applyBorder="1" applyAlignment="1">
      <alignment horizontal="left" vertical="center" indent="1"/>
    </xf>
    <xf numFmtId="166" fontId="4" fillId="2" borderId="0" xfId="17" applyNumberFormat="1" applyFont="1" applyFill="1" applyBorder="1" applyAlignment="1">
      <alignment horizontal="left" vertical="center"/>
    </xf>
    <xf numFmtId="166" fontId="0" fillId="2" borderId="0" xfId="0" applyNumberFormat="1" applyFill="1" applyAlignment="1">
      <alignment vertical="center"/>
    </xf>
    <xf numFmtId="166" fontId="8" fillId="0" borderId="2" xfId="3" applyNumberFormat="1" applyFont="1" applyBorder="1" applyAlignment="1">
      <alignment horizontal="left"/>
    </xf>
    <xf numFmtId="166" fontId="2" fillId="0" borderId="2" xfId="3" applyNumberFormat="1" applyFont="1" applyBorder="1" applyAlignment="1">
      <alignment horizontal="right" vertical="center"/>
    </xf>
    <xf numFmtId="166" fontId="10" fillId="0" borderId="2" xfId="0" applyNumberFormat="1" applyFont="1" applyBorder="1"/>
    <xf numFmtId="166" fontId="2" fillId="0" borderId="5" xfId="0" applyNumberFormat="1" applyFont="1" applyBorder="1" applyAlignment="1" applyProtection="1">
      <alignment horizontal="right" vertical="center" wrapText="1" readingOrder="1"/>
      <protection locked="0"/>
    </xf>
    <xf numFmtId="166" fontId="8" fillId="0" borderId="0" xfId="3" applyNumberFormat="1" applyFont="1" applyAlignment="1">
      <alignment horizontal="left"/>
    </xf>
    <xf numFmtId="166" fontId="29" fillId="2" borderId="0" xfId="4" applyNumberFormat="1" applyFont="1" applyFill="1" applyAlignment="1">
      <alignment horizontal="left" vertical="center"/>
    </xf>
    <xf numFmtId="166" fontId="4" fillId="2" borderId="0" xfId="4" applyNumberFormat="1" applyFont="1" applyFill="1" applyAlignment="1">
      <alignment horizontal="left" vertical="center" wrapText="1"/>
    </xf>
    <xf numFmtId="166" fontId="4" fillId="2" borderId="0" xfId="4" applyNumberFormat="1" applyFont="1" applyFill="1" applyAlignment="1">
      <alignment horizontal="left" vertical="center"/>
    </xf>
    <xf numFmtId="166" fontId="4" fillId="2" borderId="0" xfId="4" applyNumberFormat="1" applyFont="1" applyFill="1" applyAlignment="1">
      <alignment horizontal="left"/>
    </xf>
    <xf numFmtId="166" fontId="4" fillId="2" borderId="0" xfId="4" applyNumberFormat="1" applyFont="1" applyFill="1" applyAlignment="1">
      <alignment horizontal="left" vertical="center" indent="3"/>
    </xf>
    <xf numFmtId="166" fontId="2" fillId="2" borderId="0" xfId="4" applyNumberFormat="1" applyFont="1" applyFill="1" applyAlignment="1">
      <alignment horizontal="left" vertical="center" wrapText="1" indent="4"/>
    </xf>
    <xf numFmtId="166" fontId="0" fillId="0" borderId="0" xfId="0" applyNumberFormat="1" applyAlignment="1">
      <alignment horizontal="left" vertical="center"/>
    </xf>
    <xf numFmtId="166" fontId="9" fillId="2" borderId="3" xfId="0" applyNumberFormat="1" applyFont="1" applyFill="1" applyBorder="1" applyAlignment="1" applyProtection="1">
      <alignment horizontal="left" vertical="center" wrapText="1"/>
      <protection locked="0"/>
    </xf>
    <xf numFmtId="166" fontId="0" fillId="0" borderId="0" xfId="0" applyNumberFormat="1" applyAlignment="1">
      <alignment horizontal="right"/>
    </xf>
    <xf numFmtId="166" fontId="4" fillId="2" borderId="0" xfId="3" applyNumberFormat="1" applyFont="1" applyFill="1" applyAlignment="1">
      <alignment vertical="center"/>
    </xf>
    <xf numFmtId="166" fontId="8" fillId="2" borderId="0" xfId="0" applyNumberFormat="1" applyFont="1" applyFill="1" applyAlignment="1">
      <alignment vertical="center"/>
    </xf>
    <xf numFmtId="166" fontId="4" fillId="2" borderId="3" xfId="0" applyNumberFormat="1" applyFont="1" applyFill="1" applyBorder="1" applyAlignment="1" applyProtection="1">
      <alignment vertical="center" wrapText="1" readingOrder="1"/>
      <protection locked="0"/>
    </xf>
    <xf numFmtId="166" fontId="4" fillId="2" borderId="0" xfId="4" applyNumberFormat="1" applyFont="1" applyFill="1" applyAlignment="1">
      <alignment horizontal="left" vertical="center" wrapText="1" indent="1"/>
    </xf>
    <xf numFmtId="166" fontId="4" fillId="2" borderId="0" xfId="18" applyNumberFormat="1" applyFont="1" applyFill="1" applyBorder="1" applyAlignment="1">
      <alignment horizontal="left" vertical="center" indent="1"/>
    </xf>
    <xf numFmtId="166" fontId="4" fillId="2" borderId="0" xfId="18" applyNumberFormat="1" applyFont="1" applyFill="1" applyBorder="1" applyAlignment="1">
      <alignment horizontal="left" vertical="center"/>
    </xf>
    <xf numFmtId="166" fontId="0" fillId="0" borderId="0" xfId="0" applyNumberFormat="1" applyAlignment="1">
      <alignment horizontal="right" vertical="center"/>
    </xf>
    <xf numFmtId="166" fontId="4" fillId="2" borderId="2" xfId="18" applyNumberFormat="1" applyFont="1" applyFill="1" applyBorder="1" applyAlignment="1">
      <alignment horizontal="left" vertical="center"/>
    </xf>
    <xf numFmtId="166" fontId="6" fillId="2" borderId="2" xfId="4" applyNumberFormat="1" applyFont="1" applyFill="1" applyBorder="1"/>
    <xf numFmtId="166" fontId="6" fillId="0" borderId="2" xfId="4" applyNumberFormat="1" applyFont="1" applyBorder="1"/>
    <xf numFmtId="166" fontId="6" fillId="2" borderId="0" xfId="4" applyNumberFormat="1" applyFont="1" applyFill="1"/>
    <xf numFmtId="166" fontId="6" fillId="0" borderId="0" xfId="4" applyNumberFormat="1" applyFont="1"/>
    <xf numFmtId="166" fontId="8" fillId="2" borderId="0" xfId="4" applyNumberFormat="1" applyFont="1" applyFill="1" applyAlignment="1">
      <alignment horizontal="right"/>
    </xf>
    <xf numFmtId="166" fontId="4" fillId="0" borderId="0" xfId="4" applyNumberFormat="1" applyFont="1" applyAlignment="1">
      <alignment horizontal="right"/>
    </xf>
    <xf numFmtId="166" fontId="4" fillId="0" borderId="0" xfId="4" applyNumberFormat="1" applyFont="1" applyAlignment="1">
      <alignment horizontal="left" vertical="center" indent="2"/>
    </xf>
    <xf numFmtId="166" fontId="4" fillId="0" borderId="0" xfId="4" applyNumberFormat="1" applyFont="1" applyAlignment="1">
      <alignment horizontal="left" vertical="center" indent="1"/>
    </xf>
    <xf numFmtId="166" fontId="2" fillId="2" borderId="0" xfId="4" applyNumberFormat="1" applyFont="1" applyFill="1" applyAlignment="1">
      <alignment horizontal="left" vertical="center" wrapText="1" indent="3"/>
    </xf>
    <xf numFmtId="166" fontId="2" fillId="2" borderId="0" xfId="4" applyNumberFormat="1" applyFont="1" applyFill="1" applyAlignment="1">
      <alignment horizontal="left" vertical="center" wrapText="1" indent="2"/>
    </xf>
    <xf numFmtId="166" fontId="4" fillId="2" borderId="0" xfId="20" applyNumberFormat="1" applyFont="1" applyFill="1" applyBorder="1" applyAlignment="1">
      <alignment horizontal="left" vertical="center" indent="1"/>
    </xf>
    <xf numFmtId="166" fontId="4" fillId="2" borderId="0" xfId="20" applyNumberFormat="1" applyFont="1" applyFill="1" applyBorder="1" applyAlignment="1">
      <alignment horizontal="left" vertical="center"/>
    </xf>
    <xf numFmtId="166" fontId="8" fillId="2" borderId="2" xfId="4" applyNumberFormat="1" applyFont="1" applyFill="1" applyBorder="1" applyAlignment="1">
      <alignment horizontal="left" vertical="center"/>
    </xf>
    <xf numFmtId="166" fontId="8" fillId="2" borderId="2" xfId="4" applyNumberFormat="1" applyFont="1" applyFill="1" applyBorder="1" applyAlignment="1">
      <alignment horizontal="right"/>
    </xf>
    <xf numFmtId="166" fontId="8" fillId="0" borderId="2" xfId="4" applyNumberFormat="1" applyFont="1" applyBorder="1" applyAlignment="1">
      <alignment horizontal="right"/>
    </xf>
    <xf numFmtId="166" fontId="8" fillId="2" borderId="1" xfId="4" applyNumberFormat="1" applyFont="1" applyFill="1" applyBorder="1" applyAlignment="1">
      <alignment horizontal="left" vertical="center"/>
    </xf>
    <xf numFmtId="166" fontId="8" fillId="2" borderId="1" xfId="4" applyNumberFormat="1" applyFont="1" applyFill="1" applyBorder="1" applyAlignment="1">
      <alignment horizontal="right"/>
    </xf>
    <xf numFmtId="166" fontId="8" fillId="0" borderId="1" xfId="4" applyNumberFormat="1" applyFont="1" applyBorder="1" applyAlignment="1">
      <alignment horizontal="right"/>
    </xf>
    <xf numFmtId="166" fontId="11" fillId="2" borderId="0" xfId="4" applyNumberFormat="1" applyFont="1" applyFill="1" applyAlignment="1">
      <alignment horizontal="left" vertical="center"/>
    </xf>
    <xf numFmtId="166" fontId="12" fillId="2" borderId="0" xfId="4" applyNumberFormat="1" applyFont="1" applyFill="1" applyAlignment="1">
      <alignment vertical="center"/>
    </xf>
    <xf numFmtId="166" fontId="12" fillId="0" borderId="0" xfId="4" applyNumberFormat="1" applyFont="1" applyAlignment="1">
      <alignment vertical="center"/>
    </xf>
    <xf numFmtId="166" fontId="29" fillId="0" borderId="0" xfId="4" applyNumberFormat="1" applyFont="1" applyAlignment="1">
      <alignment vertical="center"/>
    </xf>
    <xf numFmtId="166" fontId="10" fillId="2" borderId="0" xfId="4" applyNumberFormat="1" applyFont="1" applyFill="1" applyAlignment="1">
      <alignment horizontal="left" vertical="center" wrapText="1" indent="1"/>
    </xf>
    <xf numFmtId="166" fontId="2" fillId="0" borderId="0" xfId="4" applyNumberFormat="1" applyFont="1" applyAlignment="1">
      <alignment horizontal="left" vertical="center" wrapText="1" indent="1"/>
    </xf>
    <xf numFmtId="166" fontId="18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166" fontId="2" fillId="2" borderId="0" xfId="4" applyNumberFormat="1" applyFont="1" applyFill="1" applyAlignment="1">
      <alignment horizontal="left" vertical="center" wrapText="1" indent="1"/>
    </xf>
    <xf numFmtId="166" fontId="2" fillId="0" borderId="0" xfId="3" applyNumberFormat="1" applyFont="1" applyAlignment="1">
      <alignment horizontal="left" indent="1"/>
    </xf>
    <xf numFmtId="166" fontId="8" fillId="0" borderId="2" xfId="4" applyNumberFormat="1" applyFont="1" applyBorder="1" applyAlignment="1">
      <alignment horizontal="right" vertical="center"/>
    </xf>
    <xf numFmtId="166" fontId="0" fillId="0" borderId="2" xfId="0" applyNumberFormat="1" applyBorder="1" applyAlignment="1">
      <alignment vertical="center"/>
    </xf>
    <xf numFmtId="166" fontId="8" fillId="0" borderId="0" xfId="4" applyNumberFormat="1" applyFont="1" applyAlignment="1">
      <alignment horizontal="right" vertical="center"/>
    </xf>
    <xf numFmtId="166" fontId="0" fillId="0" borderId="0" xfId="0" applyNumberFormat="1" applyAlignment="1">
      <alignment vertical="center"/>
    </xf>
    <xf numFmtId="166" fontId="12" fillId="0" borderId="0" xfId="4" applyNumberFormat="1" applyFont="1" applyAlignment="1">
      <alignment vertical="center" wrapText="1"/>
    </xf>
    <xf numFmtId="166" fontId="22" fillId="0" borderId="0" xfId="4" applyNumberFormat="1" applyFont="1" applyAlignment="1">
      <alignment vertical="center" wrapText="1"/>
    </xf>
    <xf numFmtId="166" fontId="2" fillId="0" borderId="0" xfId="4" applyNumberFormat="1" applyFont="1" applyAlignment="1">
      <alignment horizontal="left" vertical="center" wrapText="1" indent="2"/>
    </xf>
    <xf numFmtId="166" fontId="4" fillId="2" borderId="0" xfId="21" applyNumberFormat="1" applyFont="1" applyFill="1" applyBorder="1" applyAlignment="1">
      <alignment horizontal="left" vertical="center" indent="1"/>
    </xf>
    <xf numFmtId="166" fontId="4" fillId="2" borderId="0" xfId="21" applyNumberFormat="1" applyFont="1" applyFill="1" applyBorder="1" applyAlignment="1">
      <alignment horizontal="left" vertical="center"/>
    </xf>
    <xf numFmtId="166" fontId="11" fillId="2" borderId="0" xfId="0" applyNumberFormat="1" applyFont="1" applyFill="1" applyAlignment="1" applyProtection="1">
      <alignment horizontal="right" vertical="center" wrapText="1" readingOrder="1"/>
      <protection locked="0"/>
    </xf>
    <xf numFmtId="166" fontId="2" fillId="2" borderId="0" xfId="4" applyNumberFormat="1" applyFont="1" applyFill="1" applyAlignment="1">
      <alignment horizontal="left" vertical="center"/>
    </xf>
    <xf numFmtId="166" fontId="11" fillId="2" borderId="0" xfId="4" applyNumberFormat="1" applyFont="1" applyFill="1" applyAlignment="1">
      <alignment vertical="top"/>
    </xf>
    <xf numFmtId="166" fontId="11" fillId="0" borderId="0" xfId="4" applyNumberFormat="1" applyFont="1" applyAlignment="1">
      <alignment vertical="top"/>
    </xf>
    <xf numFmtId="166" fontId="26" fillId="0" borderId="0" xfId="0" applyNumberFormat="1" applyFont="1"/>
    <xf numFmtId="166" fontId="10" fillId="0" borderId="0" xfId="4" applyNumberFormat="1" applyFont="1" applyAlignment="1">
      <alignment vertical="center" wrapText="1"/>
    </xf>
    <xf numFmtId="166" fontId="10" fillId="2" borderId="0" xfId="3" applyNumberFormat="1" applyFont="1" applyFill="1" applyAlignment="1">
      <alignment vertical="center"/>
    </xf>
    <xf numFmtId="166" fontId="4" fillId="2" borderId="0" xfId="22" applyNumberFormat="1" applyFont="1" applyFill="1" applyBorder="1" applyAlignment="1">
      <alignment horizontal="left" vertical="center" indent="1"/>
    </xf>
    <xf numFmtId="166" fontId="4" fillId="2" borderId="0" xfId="22" applyNumberFormat="1" applyFont="1" applyFill="1" applyBorder="1" applyAlignment="1">
      <alignment horizontal="left" vertical="center"/>
    </xf>
    <xf numFmtId="166" fontId="4" fillId="2" borderId="0" xfId="7" applyNumberFormat="1" applyFont="1" applyFill="1" applyAlignment="1">
      <alignment horizontal="left"/>
    </xf>
    <xf numFmtId="166" fontId="4" fillId="2" borderId="0" xfId="7" applyNumberFormat="1" applyFont="1" applyFill="1" applyAlignment="1">
      <alignment horizontal="left" vertical="center"/>
    </xf>
    <xf numFmtId="166" fontId="4" fillId="2" borderId="0" xfId="2" applyNumberFormat="1" applyFont="1" applyFill="1" applyAlignment="1">
      <alignment horizontal="left" vertical="center" wrapText="1" indent="1"/>
    </xf>
    <xf numFmtId="166" fontId="2" fillId="2" borderId="0" xfId="7" applyNumberFormat="1" applyFont="1" applyFill="1" applyAlignment="1">
      <alignment horizontal="left" vertical="center" indent="3"/>
    </xf>
    <xf numFmtId="166" fontId="2" fillId="2" borderId="0" xfId="7" applyNumberFormat="1" applyFont="1" applyFill="1" applyAlignment="1">
      <alignment horizontal="left" vertical="center" wrapText="1" indent="3"/>
    </xf>
    <xf numFmtId="166" fontId="2" fillId="2" borderId="0" xfId="7" applyNumberFormat="1" applyFont="1" applyFill="1" applyAlignment="1">
      <alignment horizontal="left" wrapText="1" indent="3"/>
    </xf>
    <xf numFmtId="166" fontId="2" fillId="2" borderId="0" xfId="7" applyNumberFormat="1" applyFont="1" applyFill="1" applyAlignment="1">
      <alignment vertical="center"/>
    </xf>
    <xf numFmtId="166" fontId="4" fillId="2" borderId="0" xfId="23" applyNumberFormat="1" applyFont="1" applyFill="1" applyBorder="1" applyAlignment="1">
      <alignment horizontal="left" vertical="center" indent="1"/>
    </xf>
    <xf numFmtId="166" fontId="4" fillId="2" borderId="0" xfId="23" applyNumberFormat="1" applyFont="1" applyFill="1" applyBorder="1" applyAlignment="1">
      <alignment horizontal="left" vertical="center"/>
    </xf>
    <xf numFmtId="166" fontId="7" fillId="2" borderId="2" xfId="7" applyNumberFormat="1" applyFont="1" applyFill="1" applyBorder="1"/>
    <xf numFmtId="166" fontId="6" fillId="0" borderId="2" xfId="7" applyNumberFormat="1" applyFont="1" applyBorder="1"/>
    <xf numFmtId="166" fontId="7" fillId="2" borderId="0" xfId="7" applyNumberFormat="1" applyFont="1" applyFill="1"/>
    <xf numFmtId="166" fontId="6" fillId="0" borderId="0" xfId="7" applyNumberFormat="1" applyFont="1"/>
    <xf numFmtId="166" fontId="2" fillId="2" borderId="0" xfId="2" applyNumberFormat="1" applyFont="1" applyFill="1"/>
    <xf numFmtId="166" fontId="6" fillId="0" borderId="0" xfId="7" applyNumberFormat="1" applyFont="1" applyAlignment="1">
      <alignment horizontal="left" vertical="center"/>
    </xf>
    <xf numFmtId="166" fontId="8" fillId="0" borderId="0" xfId="4" applyNumberFormat="1" applyFont="1" applyAlignment="1">
      <alignment vertical="center"/>
    </xf>
    <xf numFmtId="166" fontId="10" fillId="0" borderId="0" xfId="4" applyNumberFormat="1" applyFont="1" applyAlignment="1">
      <alignment horizontal="right" vertical="center"/>
    </xf>
    <xf numFmtId="166" fontId="8" fillId="2" borderId="0" xfId="4" applyNumberFormat="1" applyFont="1" applyFill="1" applyAlignment="1">
      <alignment vertical="center"/>
    </xf>
    <xf numFmtId="166" fontId="1" fillId="0" borderId="2" xfId="4" applyNumberFormat="1" applyBorder="1" applyAlignment="1">
      <alignment vertical="center"/>
    </xf>
    <xf numFmtId="166" fontId="11" fillId="2" borderId="5" xfId="4" applyNumberFormat="1" applyFont="1" applyFill="1" applyBorder="1" applyAlignment="1" applyProtection="1">
      <alignment horizontal="right" vertical="center" wrapText="1" readingOrder="1"/>
      <protection locked="0"/>
    </xf>
    <xf numFmtId="166" fontId="11" fillId="0" borderId="5" xfId="4" applyNumberFormat="1" applyFont="1" applyBorder="1" applyAlignment="1" applyProtection="1">
      <alignment horizontal="right" vertical="center" wrapText="1" readingOrder="1"/>
      <protection locked="0"/>
    </xf>
    <xf numFmtId="166" fontId="1" fillId="0" borderId="0" xfId="4" applyNumberFormat="1" applyAlignment="1">
      <alignment vertical="center"/>
    </xf>
    <xf numFmtId="166" fontId="11" fillId="2" borderId="0" xfId="4" applyNumberFormat="1" applyFont="1" applyFill="1" applyAlignment="1" applyProtection="1">
      <alignment horizontal="right" vertical="center" wrapText="1" readingOrder="1"/>
      <protection locked="0"/>
    </xf>
    <xf numFmtId="166" fontId="11" fillId="0" borderId="0" xfId="4" applyNumberFormat="1" applyFont="1" applyAlignment="1" applyProtection="1">
      <alignment horizontal="right" vertical="center" wrapText="1" readingOrder="1"/>
      <protection locked="0"/>
    </xf>
    <xf numFmtId="166" fontId="10" fillId="2" borderId="0" xfId="4" applyNumberFormat="1" applyFont="1" applyFill="1" applyAlignment="1">
      <alignment horizontal="left" vertical="center"/>
    </xf>
    <xf numFmtId="166" fontId="10" fillId="0" borderId="0" xfId="4" applyNumberFormat="1" applyFont="1" applyAlignment="1">
      <alignment vertical="center"/>
    </xf>
    <xf numFmtId="166" fontId="8" fillId="2" borderId="0" xfId="5" applyNumberFormat="1" applyFont="1" applyFill="1" applyAlignment="1">
      <alignment horizontal="right" vertical="center"/>
    </xf>
    <xf numFmtId="166" fontId="4" fillId="2" borderId="0" xfId="4" applyNumberFormat="1" applyFont="1" applyFill="1" applyAlignment="1">
      <alignment horizontal="left" vertical="center" wrapText="1" indent="2"/>
    </xf>
    <xf numFmtId="166" fontId="8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166" fontId="2" fillId="2" borderId="0" xfId="4" applyNumberFormat="1" applyFont="1" applyFill="1" applyAlignment="1">
      <alignment horizontal="left" wrapText="1" indent="3"/>
    </xf>
    <xf numFmtId="166" fontId="10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166" fontId="4" fillId="2" borderId="0" xfId="30" applyNumberFormat="1" applyFont="1" applyFill="1" applyBorder="1" applyAlignment="1">
      <alignment horizontal="left" vertical="center" indent="1"/>
    </xf>
    <xf numFmtId="166" fontId="8" fillId="2" borderId="3" xfId="0" applyNumberFormat="1" applyFont="1" applyFill="1" applyBorder="1" applyAlignment="1" applyProtection="1">
      <alignment horizontal="left" vertical="center" wrapText="1" readingOrder="1"/>
      <protection locked="0"/>
    </xf>
    <xf numFmtId="166" fontId="4" fillId="2" borderId="0" xfId="30" applyNumberFormat="1" applyFont="1" applyFill="1" applyBorder="1" applyAlignment="1">
      <alignment horizontal="left" vertical="center"/>
    </xf>
    <xf numFmtId="166" fontId="8" fillId="2" borderId="6" xfId="0" applyNumberFormat="1" applyFont="1" applyFill="1" applyBorder="1" applyAlignment="1" applyProtection="1">
      <alignment horizontal="left" vertical="center" wrapText="1" readingOrder="1"/>
      <protection locked="0"/>
    </xf>
    <xf numFmtId="166" fontId="8" fillId="2" borderId="0" xfId="0" applyNumberFormat="1" applyFont="1" applyFill="1" applyAlignment="1" applyProtection="1">
      <alignment horizontal="left" vertical="center" wrapText="1" readingOrder="1"/>
      <protection locked="0"/>
    </xf>
    <xf numFmtId="166" fontId="4" fillId="2" borderId="2" xfId="30" applyNumberFormat="1" applyFont="1" applyFill="1" applyBorder="1" applyAlignment="1">
      <alignment horizontal="left" vertical="center" wrapText="1" indent="2"/>
    </xf>
    <xf numFmtId="166" fontId="9" fillId="2" borderId="2" xfId="0" applyNumberFormat="1" applyFont="1" applyFill="1" applyBorder="1" applyAlignment="1" applyProtection="1">
      <alignment horizontal="right" vertical="center" wrapText="1" readingOrder="1"/>
      <protection locked="0"/>
    </xf>
    <xf numFmtId="166" fontId="17" fillId="0" borderId="2" xfId="4" applyNumberFormat="1" applyFont="1" applyBorder="1"/>
    <xf numFmtId="166" fontId="4" fillId="2" borderId="0" xfId="30" applyNumberFormat="1" applyFont="1" applyFill="1" applyAlignment="1">
      <alignment horizontal="left" vertical="center" wrapText="1" indent="2"/>
    </xf>
    <xf numFmtId="166" fontId="11" fillId="0" borderId="0" xfId="0" applyNumberFormat="1" applyFont="1" applyAlignment="1" applyProtection="1">
      <alignment horizontal="right" vertical="center" wrapText="1" readingOrder="1"/>
      <protection locked="0"/>
    </xf>
    <xf numFmtId="166" fontId="17" fillId="0" borderId="0" xfId="4" applyNumberFormat="1" applyFont="1"/>
    <xf numFmtId="166" fontId="2" fillId="0" borderId="0" xfId="4" applyNumberFormat="1" applyFont="1" applyAlignment="1">
      <alignment horizontal="left" vertical="center"/>
    </xf>
    <xf numFmtId="166" fontId="9" fillId="2" borderId="0" xfId="0" applyNumberFormat="1" applyFont="1" applyFill="1" applyAlignment="1" applyProtection="1">
      <alignment horizontal="left" vertical="center" wrapText="1" readingOrder="1"/>
      <protection locked="0"/>
    </xf>
    <xf numFmtId="166" fontId="11" fillId="0" borderId="0" xfId="0" applyNumberFormat="1" applyFont="1" applyAlignment="1" applyProtection="1">
      <alignment horizontal="left" vertical="center" wrapText="1" readingOrder="1"/>
      <protection locked="0"/>
    </xf>
    <xf numFmtId="166" fontId="17" fillId="0" borderId="0" xfId="4" applyNumberFormat="1" applyFont="1" applyAlignment="1">
      <alignment horizontal="left" vertical="center"/>
    </xf>
    <xf numFmtId="166" fontId="22" fillId="0" borderId="0" xfId="4" applyNumberFormat="1" applyFont="1" applyAlignment="1">
      <alignment vertical="center"/>
    </xf>
    <xf numFmtId="166" fontId="28" fillId="2" borderId="0" xfId="0" applyNumberFormat="1" applyFont="1" applyFill="1"/>
    <xf numFmtId="166" fontId="0" fillId="2" borderId="0" xfId="0" applyNumberFormat="1" applyFill="1"/>
    <xf numFmtId="166" fontId="4" fillId="2" borderId="0" xfId="25" applyNumberFormat="1" applyFont="1" applyFill="1" applyBorder="1" applyAlignment="1">
      <alignment horizontal="left" vertical="center" indent="1"/>
    </xf>
    <xf numFmtId="166" fontId="4" fillId="2" borderId="0" xfId="25" applyNumberFormat="1" applyFont="1" applyFill="1" applyBorder="1" applyAlignment="1">
      <alignment horizontal="left" vertical="center"/>
    </xf>
    <xf numFmtId="166" fontId="8" fillId="0" borderId="0" xfId="4" applyNumberFormat="1" applyFont="1" applyAlignment="1">
      <alignment horizontal="left"/>
    </xf>
    <xf numFmtId="166" fontId="7" fillId="2" borderId="0" xfId="4" applyNumberFormat="1" applyFont="1" applyFill="1" applyAlignment="1">
      <alignment horizontal="left" vertical="center"/>
    </xf>
    <xf numFmtId="166" fontId="7" fillId="0" borderId="0" xfId="4" applyNumberFormat="1" applyFont="1" applyAlignment="1">
      <alignment horizontal="left" vertical="center"/>
    </xf>
    <xf numFmtId="166" fontId="4" fillId="0" borderId="0" xfId="7" applyNumberFormat="1" applyFont="1" applyAlignment="1">
      <alignment horizontal="center" vertical="center"/>
    </xf>
    <xf numFmtId="166" fontId="4" fillId="0" borderId="0" xfId="7" applyNumberFormat="1" applyFont="1" applyAlignment="1">
      <alignment horizontal="right" vertical="center" indent="1"/>
    </xf>
    <xf numFmtId="166" fontId="4" fillId="0" borderId="0" xfId="7" applyNumberFormat="1" applyFont="1" applyAlignment="1">
      <alignment horizontal="left" vertical="center"/>
    </xf>
    <xf numFmtId="166" fontId="4" fillId="2" borderId="0" xfId="2" applyNumberFormat="1" applyFont="1" applyFill="1" applyAlignment="1">
      <alignment horizontal="left" vertical="center" indent="2"/>
    </xf>
    <xf numFmtId="166" fontId="4" fillId="2" borderId="0" xfId="2" applyNumberFormat="1" applyFont="1" applyFill="1" applyAlignment="1">
      <alignment horizontal="left" vertical="center" indent="1"/>
    </xf>
    <xf numFmtId="166" fontId="2" fillId="2" borderId="0" xfId="2" applyNumberFormat="1" applyFont="1" applyFill="1" applyAlignment="1">
      <alignment horizontal="left" vertical="center" indent="3"/>
    </xf>
    <xf numFmtId="166" fontId="28" fillId="2" borderId="0" xfId="0" applyNumberFormat="1" applyFont="1" applyFill="1" applyAlignment="1">
      <alignment horizontal="right" vertical="center"/>
    </xf>
    <xf numFmtId="166" fontId="4" fillId="2" borderId="0" xfId="26" applyNumberFormat="1" applyFont="1" applyFill="1" applyBorder="1" applyAlignment="1">
      <alignment horizontal="left" vertical="center" indent="1"/>
    </xf>
    <xf numFmtId="166" fontId="4" fillId="2" borderId="0" xfId="26" applyNumberFormat="1" applyFont="1" applyFill="1" applyBorder="1" applyAlignment="1">
      <alignment horizontal="left" vertical="center"/>
    </xf>
    <xf numFmtId="166" fontId="2" fillId="0" borderId="2" xfId="7" applyNumberFormat="1" applyFont="1" applyBorder="1"/>
    <xf numFmtId="166" fontId="2" fillId="0" borderId="0" xfId="7" applyNumberFormat="1" applyFont="1"/>
    <xf numFmtId="166" fontId="2" fillId="0" borderId="0" xfId="7" applyNumberFormat="1" applyFont="1" applyAlignment="1">
      <alignment horizontal="left" vertical="center"/>
    </xf>
    <xf numFmtId="166" fontId="7" fillId="0" borderId="0" xfId="7" applyNumberFormat="1" applyFont="1" applyAlignment="1">
      <alignment horizontal="left"/>
    </xf>
    <xf numFmtId="166" fontId="6" fillId="0" borderId="0" xfId="7" applyNumberFormat="1" applyFont="1" applyAlignment="1">
      <alignment horizontal="left"/>
    </xf>
    <xf numFmtId="166" fontId="10" fillId="2" borderId="0" xfId="8" applyNumberFormat="1" applyFont="1" applyFill="1" applyAlignment="1">
      <alignment horizontal="left" vertical="center" wrapText="1" indent="2"/>
    </xf>
    <xf numFmtId="166" fontId="10" fillId="2" borderId="0" xfId="4" applyNumberFormat="1" applyFont="1" applyFill="1" applyAlignment="1">
      <alignment horizontal="left" vertical="center" indent="2"/>
    </xf>
    <xf numFmtId="166" fontId="2" fillId="2" borderId="0" xfId="8" applyNumberFormat="1" applyFont="1" applyFill="1" applyAlignment="1">
      <alignment horizontal="left" vertical="center" wrapText="1" indent="2"/>
    </xf>
    <xf numFmtId="166" fontId="10" fillId="2" borderId="0" xfId="4" applyNumberFormat="1" applyFont="1" applyFill="1" applyAlignment="1">
      <alignment horizontal="left" wrapText="1" indent="1"/>
    </xf>
    <xf numFmtId="166" fontId="4" fillId="2" borderId="0" xfId="27" applyNumberFormat="1" applyFont="1" applyFill="1" applyBorder="1" applyAlignment="1">
      <alignment horizontal="left" vertical="center" indent="1"/>
    </xf>
    <xf numFmtId="166" fontId="4" fillId="2" borderId="0" xfId="27" applyNumberFormat="1" applyFont="1" applyFill="1" applyBorder="1" applyAlignment="1">
      <alignment horizontal="left" vertical="center"/>
    </xf>
    <xf numFmtId="166" fontId="2" fillId="2" borderId="0" xfId="4" applyNumberFormat="1" applyFont="1" applyFill="1" applyAlignment="1">
      <alignment horizontal="left" wrapText="1" indent="2"/>
    </xf>
    <xf numFmtId="166" fontId="4" fillId="2" borderId="0" xfId="28" applyNumberFormat="1" applyFont="1" applyFill="1" applyBorder="1" applyAlignment="1">
      <alignment horizontal="left" vertical="center" indent="1"/>
    </xf>
    <xf numFmtId="166" fontId="4" fillId="2" borderId="0" xfId="28" applyNumberFormat="1" applyFont="1" applyFill="1" applyBorder="1" applyAlignment="1">
      <alignment horizontal="left" vertical="center"/>
    </xf>
    <xf numFmtId="166" fontId="8" fillId="0" borderId="2" xfId="4" applyNumberFormat="1" applyFont="1" applyBorder="1" applyAlignment="1">
      <alignment horizontal="left" vertical="center"/>
    </xf>
    <xf numFmtId="166" fontId="2" fillId="0" borderId="0" xfId="4" applyNumberFormat="1" applyFont="1"/>
    <xf numFmtId="166" fontId="10" fillId="0" borderId="0" xfId="0" applyNumberFormat="1" applyFont="1" applyAlignment="1">
      <alignment horizontal="left" vertical="center"/>
    </xf>
    <xf numFmtId="0" fontId="8" fillId="2" borderId="0" xfId="4" applyFont="1" applyFill="1" applyAlignment="1">
      <alignment horizontal="left" vertical="center"/>
    </xf>
    <xf numFmtId="0" fontId="10" fillId="2" borderId="0" xfId="4" applyFont="1" applyFill="1" applyAlignment="1">
      <alignment horizontal="left" vertical="center" wrapText="1" indent="2"/>
    </xf>
    <xf numFmtId="0" fontId="10" fillId="2" borderId="0" xfId="4" applyFont="1" applyFill="1" applyAlignment="1">
      <alignment horizontal="left" vertical="center" wrapText="1" indent="3"/>
    </xf>
    <xf numFmtId="0" fontId="8" fillId="2" borderId="0" xfId="4" applyFont="1" applyFill="1" applyAlignment="1">
      <alignment horizontal="left" vertical="center" indent="1"/>
    </xf>
    <xf numFmtId="0" fontId="29" fillId="2" borderId="0" xfId="4" applyFont="1" applyFill="1" applyAlignment="1">
      <alignment horizontal="left" vertical="center"/>
    </xf>
    <xf numFmtId="166" fontId="13" fillId="0" borderId="0" xfId="6" applyNumberFormat="1" applyFill="1" applyAlignment="1">
      <alignment horizontal="right" vertical="center"/>
    </xf>
    <xf numFmtId="0" fontId="47" fillId="6" borderId="0" xfId="0" applyFont="1" applyFill="1" applyAlignment="1">
      <alignment vertical="center"/>
    </xf>
    <xf numFmtId="166" fontId="16" fillId="0" borderId="20" xfId="12" applyNumberFormat="1" applyFont="1" applyBorder="1" applyAlignment="1">
      <alignment horizontal="left" vertical="center" wrapText="1" indent="1"/>
    </xf>
    <xf numFmtId="166" fontId="16" fillId="0" borderId="19" xfId="12" applyNumberFormat="1" applyFont="1" applyBorder="1" applyAlignment="1">
      <alignment horizontal="left" vertical="center" wrapText="1" indent="1"/>
    </xf>
    <xf numFmtId="166" fontId="16" fillId="0" borderId="18" xfId="12" applyNumberFormat="1" applyFont="1" applyBorder="1" applyAlignment="1">
      <alignment horizontal="left" vertical="center" wrapText="1" indent="1"/>
    </xf>
    <xf numFmtId="166" fontId="32" fillId="0" borderId="14" xfId="13" applyNumberFormat="1" applyFont="1" applyFill="1" applyBorder="1" applyAlignment="1">
      <alignment horizontal="center" vertical="center" wrapText="1"/>
    </xf>
    <xf numFmtId="166" fontId="32" fillId="0" borderId="13" xfId="13" applyNumberFormat="1" applyFont="1" applyFill="1" applyBorder="1" applyAlignment="1">
      <alignment horizontal="center" vertical="center" wrapText="1"/>
    </xf>
    <xf numFmtId="166" fontId="32" fillId="0" borderId="8" xfId="13" applyNumberFormat="1" applyFont="1" applyFill="1" applyBorder="1" applyAlignment="1">
      <alignment horizontal="center" vertical="center" wrapText="1"/>
    </xf>
    <xf numFmtId="166" fontId="16" fillId="0" borderId="22" xfId="12" applyNumberFormat="1" applyFont="1" applyBorder="1" applyAlignment="1">
      <alignment horizontal="left" vertical="center" wrapText="1" indent="1"/>
    </xf>
    <xf numFmtId="166" fontId="16" fillId="0" borderId="21" xfId="12" applyNumberFormat="1" applyFont="1" applyBorder="1" applyAlignment="1">
      <alignment horizontal="left" vertical="center" wrapText="1" indent="1"/>
    </xf>
    <xf numFmtId="166" fontId="16" fillId="0" borderId="11" xfId="12" applyNumberFormat="1" applyFont="1" applyBorder="1" applyAlignment="1">
      <alignment horizontal="left" vertical="center" wrapText="1" indent="1"/>
    </xf>
    <xf numFmtId="166" fontId="16" fillId="0" borderId="10" xfId="12" applyNumberFormat="1" applyFont="1" applyBorder="1" applyAlignment="1">
      <alignment horizontal="left" vertical="center" wrapText="1" indent="1"/>
    </xf>
    <xf numFmtId="166" fontId="16" fillId="0" borderId="9" xfId="12" applyNumberFormat="1" applyFont="1" applyBorder="1" applyAlignment="1">
      <alignment horizontal="left" vertical="center" wrapText="1" indent="1"/>
    </xf>
    <xf numFmtId="166" fontId="16" fillId="0" borderId="25" xfId="12" applyNumberFormat="1" applyFont="1" applyBorder="1" applyAlignment="1">
      <alignment horizontal="left" vertical="center" wrapText="1" indent="1"/>
    </xf>
    <xf numFmtId="166" fontId="16" fillId="0" borderId="24" xfId="12" applyNumberFormat="1" applyFont="1" applyBorder="1" applyAlignment="1">
      <alignment horizontal="left" vertical="center" wrapText="1" indent="1"/>
    </xf>
    <xf numFmtId="166" fontId="16" fillId="0" borderId="23" xfId="12" applyNumberFormat="1" applyFont="1" applyBorder="1" applyAlignment="1">
      <alignment horizontal="left" vertical="center" wrapText="1" indent="1"/>
    </xf>
    <xf numFmtId="166" fontId="40" fillId="0" borderId="0" xfId="8" applyNumberFormat="1" applyFont="1" applyAlignment="1">
      <alignment horizontal="center" vertical="center"/>
    </xf>
    <xf numFmtId="166" fontId="39" fillId="0" borderId="0" xfId="8" applyNumberFormat="1" applyFont="1" applyAlignment="1">
      <alignment horizontal="center" vertical="center"/>
    </xf>
    <xf numFmtId="166" fontId="45" fillId="5" borderId="0" xfId="34" applyNumberFormat="1" applyFont="1" applyFill="1" applyAlignment="1">
      <alignment horizontal="center" vertical="center"/>
    </xf>
    <xf numFmtId="166" fontId="36" fillId="0" borderId="0" xfId="34" applyNumberFormat="1" applyFont="1" applyAlignment="1">
      <alignment horizontal="center" vertical="center"/>
    </xf>
    <xf numFmtId="166" fontId="36" fillId="0" borderId="0" xfId="12" applyNumberFormat="1" applyFont="1" applyAlignment="1">
      <alignment horizontal="right"/>
    </xf>
    <xf numFmtId="166" fontId="34" fillId="4" borderId="16" xfId="12" applyNumberFormat="1" applyFont="1" applyFill="1" applyBorder="1" applyAlignment="1">
      <alignment horizontal="center" vertical="center"/>
    </xf>
    <xf numFmtId="166" fontId="34" fillId="4" borderId="15" xfId="12" applyNumberFormat="1" applyFont="1" applyFill="1" applyBorder="1" applyAlignment="1">
      <alignment horizontal="center" vertical="center"/>
    </xf>
    <xf numFmtId="166" fontId="11" fillId="0" borderId="0" xfId="0" applyNumberFormat="1" applyFont="1" applyAlignment="1">
      <alignment horizontal="left" vertical="center" wrapText="1"/>
    </xf>
    <xf numFmtId="166" fontId="8" fillId="0" borderId="27" xfId="0" applyNumberFormat="1" applyFont="1" applyBorder="1" applyAlignment="1">
      <alignment horizontal="center" vertical="center" wrapText="1"/>
    </xf>
    <xf numFmtId="166" fontId="8" fillId="0" borderId="2" xfId="0" applyNumberFormat="1" applyFont="1" applyBorder="1" applyAlignment="1">
      <alignment horizontal="center" vertical="center" wrapText="1"/>
    </xf>
    <xf numFmtId="166" fontId="8" fillId="0" borderId="4" xfId="0" applyNumberFormat="1" applyFont="1" applyBorder="1" applyAlignment="1">
      <alignment horizontal="center" vertical="center"/>
    </xf>
    <xf numFmtId="166" fontId="8" fillId="2" borderId="27" xfId="4" applyNumberFormat="1" applyFont="1" applyFill="1" applyBorder="1" applyAlignment="1">
      <alignment horizontal="left" vertical="center" wrapText="1"/>
    </xf>
    <xf numFmtId="166" fontId="8" fillId="2" borderId="0" xfId="4" applyNumberFormat="1" applyFont="1" applyFill="1" applyAlignment="1">
      <alignment horizontal="left" vertical="center" wrapText="1"/>
    </xf>
    <xf numFmtId="166" fontId="8" fillId="2" borderId="2" xfId="4" applyNumberFormat="1" applyFont="1" applyFill="1" applyBorder="1" applyAlignment="1">
      <alignment horizontal="left" vertical="center" wrapText="1"/>
    </xf>
    <xf numFmtId="166" fontId="2" fillId="0" borderId="0" xfId="3" applyNumberFormat="1" applyFont="1" applyAlignment="1">
      <alignment horizontal="left" vertical="center" wrapText="1"/>
    </xf>
    <xf numFmtId="166" fontId="2" fillId="2" borderId="0" xfId="4" applyNumberFormat="1" applyFont="1" applyFill="1" applyAlignment="1">
      <alignment horizontal="left" vertical="center" wrapText="1"/>
    </xf>
    <xf numFmtId="166" fontId="29" fillId="0" borderId="0" xfId="4" applyNumberFormat="1" applyFont="1" applyAlignment="1">
      <alignment horizontal="left" vertical="center" wrapText="1"/>
    </xf>
    <xf numFmtId="166" fontId="8" fillId="0" borderId="4" xfId="0" applyNumberFormat="1" applyFont="1" applyBorder="1" applyAlignment="1">
      <alignment horizontal="center" vertical="center" wrapText="1"/>
    </xf>
    <xf numFmtId="166" fontId="29" fillId="2" borderId="0" xfId="7" applyNumberFormat="1" applyFont="1" applyFill="1" applyAlignment="1">
      <alignment horizontal="left" vertical="center" wrapText="1"/>
    </xf>
    <xf numFmtId="0" fontId="8" fillId="2" borderId="27" xfId="4" applyFont="1" applyFill="1" applyBorder="1" applyAlignment="1">
      <alignment horizontal="left" vertical="center" wrapText="1"/>
    </xf>
    <xf numFmtId="0" fontId="8" fillId="2" borderId="0" xfId="4" applyFont="1" applyFill="1" applyAlignment="1">
      <alignment horizontal="left" vertical="center" wrapText="1"/>
    </xf>
    <xf numFmtId="0" fontId="8" fillId="2" borderId="2" xfId="4" applyFont="1" applyFill="1" applyBorder="1" applyAlignment="1">
      <alignment horizontal="left" vertical="center" wrapText="1"/>
    </xf>
    <xf numFmtId="166" fontId="29" fillId="2" borderId="0" xfId="4" applyNumberFormat="1" applyFont="1" applyFill="1" applyAlignment="1">
      <alignment horizontal="left" vertical="center" wrapText="1"/>
    </xf>
    <xf numFmtId="166" fontId="29" fillId="0" borderId="0" xfId="7" applyNumberFormat="1" applyFont="1" applyAlignment="1">
      <alignment horizontal="left" vertical="center" wrapText="1"/>
    </xf>
  </cellXfs>
  <cellStyles count="35">
    <cellStyle name="Hipervínculo" xfId="6" builtinId="8"/>
    <cellStyle name="Hipervínculo 2" xfId="13" xr:uid="{00000000-0005-0000-0000-000001000000}"/>
    <cellStyle name="Hipervínculo 2 4" xfId="33" xr:uid="{46947961-9507-4CE2-B261-54C52110EB01}"/>
    <cellStyle name="Millares" xfId="1" builtinId="3"/>
    <cellStyle name="Millares 10" xfId="22" xr:uid="{6041C76E-9056-402E-881E-D38719F3C4AF}"/>
    <cellStyle name="Millares 11" xfId="23" xr:uid="{73D167E1-22DB-49E2-8042-782A1890CA8D}"/>
    <cellStyle name="Millares 12" xfId="24" xr:uid="{3E47F523-21E9-477E-9F36-16020ABB367E}"/>
    <cellStyle name="Millares 13" xfId="25" xr:uid="{CA2631EC-0528-4ED3-825C-9DD6E120D1B7}"/>
    <cellStyle name="Millares 14" xfId="26" xr:uid="{FDC0FC86-51EF-47BC-990B-79C141500F6F}"/>
    <cellStyle name="Millares 15" xfId="27" xr:uid="{0FB57E9F-FC37-4D78-8708-E8C103F67076}"/>
    <cellStyle name="Millares 16" xfId="28" xr:uid="{62BFA7EB-8E6D-4C81-B720-18AAC3E01E69}"/>
    <cellStyle name="Millares 17" xfId="29" xr:uid="{41DD9BCA-AD2C-40EB-B372-767D1D604F31}"/>
    <cellStyle name="Millares 18" xfId="30" xr:uid="{B814D1F7-FFD7-499C-B081-3F373A8C5B8C}"/>
    <cellStyle name="Millares 2" xfId="14" xr:uid="{AEFC9E5F-04B7-4DA0-865B-813701BC3FF5}"/>
    <cellStyle name="Millares 3" xfId="15" xr:uid="{845153C8-FEF3-4309-B045-D3148B1EC6B0}"/>
    <cellStyle name="Millares 4" xfId="16" xr:uid="{55A71536-940B-44B4-8BE4-813A4A8ECABF}"/>
    <cellStyle name="Millares 5" xfId="17" xr:uid="{BE35474D-4835-49E1-9610-6A3E4C96ED67}"/>
    <cellStyle name="Millares 6" xfId="18" xr:uid="{A8747380-A297-47E8-BB4C-F11A0B2522A7}"/>
    <cellStyle name="Millares 7" xfId="19" xr:uid="{65CB6860-F50F-4A60-BCB6-FD39FE55C5E9}"/>
    <cellStyle name="Millares 8" xfId="20" xr:uid="{F1B372A2-0F9C-498D-81F7-CB168CAA190D}"/>
    <cellStyle name="Millares 9" xfId="21" xr:uid="{B4E74D96-DD57-47ED-B2E6-F854E069FFAF}"/>
    <cellStyle name="Normal" xfId="0" builtinId="0"/>
    <cellStyle name="Normal 2 2 2" xfId="11" xr:uid="{00000000-0005-0000-0000-000004000000}"/>
    <cellStyle name="Normal 3" xfId="31" xr:uid="{6A7009E8-D167-4158-ACDA-D7AB5A268956}"/>
    <cellStyle name="Normal 3 2 5" xfId="9" xr:uid="{00000000-0005-0000-0000-000005000000}"/>
    <cellStyle name="Normal 4 2" xfId="3" xr:uid="{00000000-0005-0000-0000-000006000000}"/>
    <cellStyle name="Normal 4 2 2" xfId="5" xr:uid="{00000000-0005-0000-0000-000007000000}"/>
    <cellStyle name="Normal 5 2" xfId="4" xr:uid="{00000000-0005-0000-0000-000008000000}"/>
    <cellStyle name="Normal 6" xfId="10" xr:uid="{00000000-0005-0000-0000-000009000000}"/>
    <cellStyle name="Normal 6 2" xfId="34" xr:uid="{96751796-5A3C-4592-AFB8-6500AE2B617E}"/>
    <cellStyle name="Normal 6 2 2" xfId="8" xr:uid="{00000000-0005-0000-0000-00000A000000}"/>
    <cellStyle name="Normal 7 2 2" xfId="12" xr:uid="{00000000-0005-0000-0000-00000B000000}"/>
    <cellStyle name="Normal 9" xfId="2" xr:uid="{00000000-0005-0000-0000-00000C000000}"/>
    <cellStyle name="Normal 9 2" xfId="7" xr:uid="{00000000-0005-0000-0000-00000D000000}"/>
    <cellStyle name="Normal 9 3" xfId="32" xr:uid="{E8717076-7B56-40DD-822C-18CC68A0DE8E}"/>
  </cellStyles>
  <dxfs count="0"/>
  <tableStyles count="0" defaultTableStyle="TableStyleMedium2" defaultPivotStyle="PivotStyleLight16"/>
  <colors>
    <mruColors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0</xdr:row>
      <xdr:rowOff>123826</xdr:rowOff>
    </xdr:from>
    <xdr:ext cx="1901758" cy="381000"/>
    <xdr:pic>
      <xdr:nvPicPr>
        <xdr:cNvPr id="2" name="Imagen 1">
          <a:extLst>
            <a:ext uri="{FF2B5EF4-FFF2-40B4-BE49-F238E27FC236}">
              <a16:creationId xmlns:a16="http://schemas.microsoft.com/office/drawing/2014/main" id="{51D3E873-D163-4DD2-889D-44EB6FB00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123826"/>
          <a:ext cx="1901758" cy="3810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1_INEGI\2021_ENVI_2020\00%20LosCuadrosOrigen\Tabulados_MOPRADEF_Noviembre_2020_v1%200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Índice"/>
      <sheetName val="Cuadro 1"/>
      <sheetName val="Cuadro 2"/>
      <sheetName val="Cuadro 3"/>
      <sheetName val="Cuadro 4"/>
      <sheetName val="Cuadro 5"/>
      <sheetName val="Cuadro 6"/>
      <sheetName val="Cuadro 7"/>
      <sheetName val="Cuadro 8"/>
      <sheetName val="Cuadro 9"/>
      <sheetName val="Cuadro 10"/>
      <sheetName val="Cuadro 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DD358-9FB2-42D6-961D-753B7690F7B9}">
  <dimension ref="A1:T35"/>
  <sheetViews>
    <sheetView showGridLines="0" tabSelected="1" zoomScaleNormal="100" workbookViewId="0"/>
  </sheetViews>
  <sheetFormatPr baseColWidth="10" defaultColWidth="11.42578125" defaultRowHeight="14.25" x14ac:dyDescent="0.2"/>
  <cols>
    <col min="1" max="1" width="1.7109375" style="7" customWidth="1"/>
    <col min="2" max="2" width="20.28515625" style="7" customWidth="1"/>
    <col min="3" max="3" width="17.42578125" style="7" customWidth="1"/>
    <col min="4" max="14" width="11.42578125" style="7"/>
    <col min="15" max="15" width="1.5703125" style="7" customWidth="1"/>
    <col min="16" max="16384" width="11.42578125" style="7"/>
  </cols>
  <sheetData>
    <row r="1" spans="1:20" s="10" customFormat="1" ht="20.100000000000001" customHeight="1" x14ac:dyDescent="0.25">
      <c r="A1" s="11"/>
      <c r="B1" s="12"/>
      <c r="C1" s="12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 spans="1:20" s="10" customFormat="1" ht="20.100000000000001" customHeight="1" x14ac:dyDescent="0.25">
      <c r="A2" s="13"/>
      <c r="B2" s="300" t="s">
        <v>163</v>
      </c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13"/>
      <c r="P2" s="13"/>
      <c r="Q2" s="13"/>
      <c r="R2" s="13"/>
      <c r="S2" s="13"/>
      <c r="T2" s="13"/>
    </row>
    <row r="3" spans="1:20" s="10" customFormat="1" ht="20.100000000000001" customHeight="1" x14ac:dyDescent="0.25">
      <c r="A3" s="13"/>
      <c r="B3" s="301" t="s">
        <v>111</v>
      </c>
      <c r="C3" s="301"/>
      <c r="D3" s="301"/>
      <c r="E3" s="301"/>
      <c r="F3" s="301"/>
      <c r="G3" s="301"/>
      <c r="H3" s="301"/>
      <c r="I3" s="301"/>
      <c r="J3" s="301"/>
      <c r="K3" s="301"/>
      <c r="L3" s="301"/>
      <c r="M3" s="301"/>
      <c r="N3" s="301"/>
      <c r="O3" s="13"/>
      <c r="P3" s="13"/>
      <c r="Q3" s="13"/>
      <c r="R3" s="13"/>
      <c r="S3" s="13"/>
      <c r="T3" s="13"/>
    </row>
    <row r="4" spans="1:20" ht="6.95" customHeight="1" x14ac:dyDescent="0.2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4"/>
      <c r="P4" s="14"/>
      <c r="Q4" s="14"/>
      <c r="R4" s="14"/>
      <c r="S4" s="14"/>
      <c r="T4" s="14"/>
    </row>
    <row r="5" spans="1:20" ht="20.100000000000001" customHeight="1" x14ac:dyDescent="0.2">
      <c r="A5" s="302" t="s">
        <v>205</v>
      </c>
      <c r="B5" s="302"/>
      <c r="C5" s="302"/>
      <c r="D5" s="302"/>
      <c r="E5" s="302"/>
      <c r="F5" s="302"/>
      <c r="G5" s="302"/>
      <c r="H5" s="302"/>
      <c r="I5" s="302"/>
      <c r="J5" s="302"/>
      <c r="K5" s="302"/>
      <c r="L5" s="302"/>
      <c r="M5" s="302"/>
      <c r="N5" s="302"/>
      <c r="O5" s="16"/>
      <c r="P5" s="14"/>
      <c r="Q5" s="14"/>
      <c r="R5" s="14"/>
      <c r="S5" s="14"/>
      <c r="T5" s="14"/>
    </row>
    <row r="6" spans="1:20" ht="6.95" customHeight="1" x14ac:dyDescent="0.2">
      <c r="A6" s="17"/>
      <c r="B6" s="16" t="s">
        <v>110</v>
      </c>
      <c r="C6" s="18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7"/>
      <c r="P6" s="14"/>
      <c r="Q6" s="14"/>
      <c r="R6" s="14"/>
      <c r="S6" s="14"/>
      <c r="T6" s="19"/>
    </row>
    <row r="7" spans="1:20" ht="20.100000000000001" customHeight="1" x14ac:dyDescent="0.2">
      <c r="A7" s="17"/>
      <c r="B7" s="303" t="s">
        <v>110</v>
      </c>
      <c r="C7" s="303"/>
      <c r="D7" s="303"/>
      <c r="E7" s="303"/>
      <c r="F7" s="303"/>
      <c r="G7" s="303"/>
      <c r="H7" s="303"/>
      <c r="I7" s="303"/>
      <c r="J7" s="303"/>
      <c r="K7" s="303"/>
      <c r="L7" s="303"/>
      <c r="M7" s="303"/>
      <c r="N7" s="303"/>
      <c r="O7" s="17"/>
      <c r="P7" s="14"/>
      <c r="Q7" s="14"/>
      <c r="R7" s="14"/>
      <c r="S7" s="14"/>
      <c r="T7" s="14"/>
    </row>
    <row r="8" spans="1:20" ht="20.100000000000001" customHeight="1" x14ac:dyDescent="0.2">
      <c r="A8" s="20"/>
      <c r="B8" s="21" t="s">
        <v>212</v>
      </c>
      <c r="C8" s="22"/>
      <c r="D8" s="20"/>
      <c r="E8" s="20"/>
      <c r="F8" s="20"/>
      <c r="G8" s="20"/>
      <c r="H8" s="20"/>
      <c r="I8" s="20"/>
      <c r="J8" s="20"/>
      <c r="K8" s="20"/>
      <c r="L8" s="20"/>
      <c r="M8" s="304" t="str">
        <f>CONCATENATE("Total de tabulados: ", COUNTIF(C11:C27,"&lt;&gt;"))</f>
        <v>Total de tabulados: 17</v>
      </c>
      <c r="N8" s="304"/>
      <c r="O8" s="20"/>
      <c r="P8" s="14"/>
      <c r="Q8" s="14"/>
      <c r="R8" s="14"/>
      <c r="S8" s="14"/>
      <c r="T8" s="14"/>
    </row>
    <row r="9" spans="1:20" ht="6.95" customHeight="1" thickBot="1" x14ac:dyDescent="0.2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pans="1:20" ht="18.75" customHeight="1" thickBot="1" x14ac:dyDescent="0.25">
      <c r="A10" s="14"/>
      <c r="B10" s="23" t="s">
        <v>109</v>
      </c>
      <c r="C10" s="24" t="s">
        <v>108</v>
      </c>
      <c r="D10" s="305" t="s">
        <v>107</v>
      </c>
      <c r="E10" s="305"/>
      <c r="F10" s="305"/>
      <c r="G10" s="305"/>
      <c r="H10" s="305"/>
      <c r="I10" s="305"/>
      <c r="J10" s="305"/>
      <c r="K10" s="305"/>
      <c r="L10" s="305"/>
      <c r="M10" s="305"/>
      <c r="N10" s="306"/>
      <c r="O10" s="14"/>
      <c r="P10" s="14"/>
      <c r="Q10" s="14"/>
      <c r="R10" s="14"/>
      <c r="S10" s="14"/>
      <c r="T10" s="14"/>
    </row>
    <row r="11" spans="1:20" ht="39.950000000000003" customHeight="1" x14ac:dyDescent="0.2">
      <c r="A11" s="14"/>
      <c r="B11" s="289" t="s">
        <v>106</v>
      </c>
      <c r="C11" s="25" t="s">
        <v>92</v>
      </c>
      <c r="D11" s="294" t="s">
        <v>164</v>
      </c>
      <c r="E11" s="295"/>
      <c r="F11" s="295"/>
      <c r="G11" s="295"/>
      <c r="H11" s="295"/>
      <c r="I11" s="295"/>
      <c r="J11" s="295"/>
      <c r="K11" s="295"/>
      <c r="L11" s="295"/>
      <c r="M11" s="295"/>
      <c r="N11" s="296"/>
      <c r="O11" s="26"/>
      <c r="P11" s="26"/>
      <c r="Q11" s="26"/>
      <c r="R11" s="26"/>
      <c r="S11" s="26"/>
      <c r="T11" s="26"/>
    </row>
    <row r="12" spans="1:20" ht="39.950000000000003" customHeight="1" x14ac:dyDescent="0.2">
      <c r="A12" s="14"/>
      <c r="B12" s="290"/>
      <c r="C12" s="25" t="s">
        <v>91</v>
      </c>
      <c r="D12" s="294" t="s">
        <v>164</v>
      </c>
      <c r="E12" s="295"/>
      <c r="F12" s="295"/>
      <c r="G12" s="295"/>
      <c r="H12" s="295"/>
      <c r="I12" s="295"/>
      <c r="J12" s="295"/>
      <c r="K12" s="295"/>
      <c r="L12" s="295"/>
      <c r="M12" s="295"/>
      <c r="N12" s="296"/>
      <c r="O12" s="26"/>
      <c r="P12" s="26"/>
      <c r="Q12" s="26"/>
      <c r="R12" s="26"/>
      <c r="S12" s="26"/>
      <c r="T12" s="26"/>
    </row>
    <row r="13" spans="1:20" ht="39.950000000000003" customHeight="1" x14ac:dyDescent="0.2">
      <c r="A13" s="14"/>
      <c r="B13" s="290"/>
      <c r="C13" s="25" t="s">
        <v>90</v>
      </c>
      <c r="D13" s="294" t="s">
        <v>165</v>
      </c>
      <c r="E13" s="295"/>
      <c r="F13" s="295"/>
      <c r="G13" s="295"/>
      <c r="H13" s="295"/>
      <c r="I13" s="295"/>
      <c r="J13" s="295"/>
      <c r="K13" s="295"/>
      <c r="L13" s="295"/>
      <c r="M13" s="295"/>
      <c r="N13" s="296"/>
      <c r="O13" s="26"/>
      <c r="P13" s="26"/>
      <c r="Q13" s="26"/>
      <c r="R13" s="26"/>
      <c r="S13" s="26"/>
      <c r="T13" s="26"/>
    </row>
    <row r="14" spans="1:20" ht="39.950000000000003" customHeight="1" x14ac:dyDescent="0.2">
      <c r="A14" s="14"/>
      <c r="B14" s="290"/>
      <c r="C14" s="25" t="s">
        <v>89</v>
      </c>
      <c r="D14" s="294" t="s">
        <v>175</v>
      </c>
      <c r="E14" s="295"/>
      <c r="F14" s="295"/>
      <c r="G14" s="295"/>
      <c r="H14" s="295"/>
      <c r="I14" s="295"/>
      <c r="J14" s="295"/>
      <c r="K14" s="295"/>
      <c r="L14" s="295"/>
      <c r="M14" s="295"/>
      <c r="N14" s="296"/>
      <c r="O14" s="26"/>
      <c r="P14" s="26"/>
      <c r="Q14" s="26"/>
      <c r="R14" s="26"/>
      <c r="S14" s="26"/>
      <c r="T14" s="26"/>
    </row>
    <row r="15" spans="1:20" ht="39.950000000000003" customHeight="1" x14ac:dyDescent="0.2">
      <c r="A15" s="14"/>
      <c r="B15" s="290"/>
      <c r="C15" s="27" t="s">
        <v>88</v>
      </c>
      <c r="D15" s="294" t="s">
        <v>181</v>
      </c>
      <c r="E15" s="295"/>
      <c r="F15" s="295"/>
      <c r="G15" s="295"/>
      <c r="H15" s="295"/>
      <c r="I15" s="295"/>
      <c r="J15" s="295"/>
      <c r="K15" s="295"/>
      <c r="L15" s="295"/>
      <c r="M15" s="295"/>
      <c r="N15" s="296"/>
      <c r="O15" s="26"/>
      <c r="P15" s="26"/>
      <c r="Q15" s="26"/>
      <c r="R15" s="26"/>
      <c r="S15" s="26"/>
      <c r="T15" s="26"/>
    </row>
    <row r="16" spans="1:20" ht="39.950000000000003" customHeight="1" x14ac:dyDescent="0.2">
      <c r="A16" s="14"/>
      <c r="B16" s="290"/>
      <c r="C16" s="27" t="s">
        <v>87</v>
      </c>
      <c r="D16" s="294" t="s">
        <v>180</v>
      </c>
      <c r="E16" s="295"/>
      <c r="F16" s="295"/>
      <c r="G16" s="295"/>
      <c r="H16" s="295"/>
      <c r="I16" s="295"/>
      <c r="J16" s="295"/>
      <c r="K16" s="295"/>
      <c r="L16" s="295"/>
      <c r="M16" s="295"/>
      <c r="N16" s="296"/>
      <c r="O16" s="26"/>
      <c r="P16" s="26"/>
      <c r="Q16" s="26"/>
      <c r="R16" s="26"/>
      <c r="S16" s="26"/>
      <c r="T16" s="26"/>
    </row>
    <row r="17" spans="1:20" ht="39.950000000000003" customHeight="1" x14ac:dyDescent="0.2">
      <c r="A17" s="14"/>
      <c r="B17" s="290"/>
      <c r="C17" s="27" t="s">
        <v>86</v>
      </c>
      <c r="D17" s="294" t="s">
        <v>103</v>
      </c>
      <c r="E17" s="295"/>
      <c r="F17" s="295"/>
      <c r="G17" s="295"/>
      <c r="H17" s="295"/>
      <c r="I17" s="295"/>
      <c r="J17" s="295"/>
      <c r="K17" s="295"/>
      <c r="L17" s="295"/>
      <c r="M17" s="295"/>
      <c r="N17" s="296"/>
      <c r="O17" s="26"/>
      <c r="P17" s="26"/>
      <c r="Q17" s="26"/>
      <c r="R17" s="26"/>
      <c r="S17" s="26"/>
      <c r="T17" s="26"/>
    </row>
    <row r="18" spans="1:20" ht="39.950000000000003" customHeight="1" x14ac:dyDescent="0.2">
      <c r="A18" s="14"/>
      <c r="B18" s="290"/>
      <c r="C18" s="27" t="s">
        <v>85</v>
      </c>
      <c r="D18" s="294" t="s">
        <v>188</v>
      </c>
      <c r="E18" s="295"/>
      <c r="F18" s="295"/>
      <c r="G18" s="295"/>
      <c r="H18" s="295"/>
      <c r="I18" s="295"/>
      <c r="J18" s="295"/>
      <c r="K18" s="295"/>
      <c r="L18" s="295"/>
      <c r="M18" s="295"/>
      <c r="N18" s="296"/>
      <c r="O18" s="26"/>
      <c r="P18" s="26"/>
      <c r="Q18" s="26"/>
      <c r="R18" s="26"/>
      <c r="S18" s="26"/>
      <c r="T18" s="26"/>
    </row>
    <row r="19" spans="1:20" ht="39.950000000000003" customHeight="1" x14ac:dyDescent="0.2">
      <c r="A19" s="14"/>
      <c r="B19" s="290"/>
      <c r="C19" s="27" t="s">
        <v>84</v>
      </c>
      <c r="D19" s="294" t="s">
        <v>187</v>
      </c>
      <c r="E19" s="295"/>
      <c r="F19" s="295"/>
      <c r="G19" s="295"/>
      <c r="H19" s="295"/>
      <c r="I19" s="295"/>
      <c r="J19" s="295"/>
      <c r="K19" s="295"/>
      <c r="L19" s="295"/>
      <c r="M19" s="295"/>
      <c r="N19" s="296"/>
      <c r="O19" s="26"/>
      <c r="P19" s="26"/>
      <c r="Q19" s="26"/>
      <c r="R19" s="26"/>
      <c r="S19" s="26"/>
      <c r="T19" s="26"/>
    </row>
    <row r="20" spans="1:20" ht="39.950000000000003" customHeight="1" x14ac:dyDescent="0.2">
      <c r="A20" s="14"/>
      <c r="B20" s="290"/>
      <c r="C20" s="27" t="s">
        <v>83</v>
      </c>
      <c r="D20" s="294" t="s">
        <v>189</v>
      </c>
      <c r="E20" s="295"/>
      <c r="F20" s="295"/>
      <c r="G20" s="295"/>
      <c r="H20" s="295"/>
      <c r="I20" s="295"/>
      <c r="J20" s="295"/>
      <c r="K20" s="295"/>
      <c r="L20" s="295"/>
      <c r="M20" s="295"/>
      <c r="N20" s="296"/>
      <c r="O20" s="26"/>
      <c r="P20" s="26"/>
      <c r="Q20" s="26"/>
      <c r="R20" s="26"/>
      <c r="S20" s="26"/>
      <c r="T20" s="26"/>
    </row>
    <row r="21" spans="1:20" ht="39.950000000000003" customHeight="1" x14ac:dyDescent="0.2">
      <c r="A21" s="14"/>
      <c r="B21" s="290"/>
      <c r="C21" s="27" t="s">
        <v>82</v>
      </c>
      <c r="D21" s="294" t="s">
        <v>190</v>
      </c>
      <c r="E21" s="295"/>
      <c r="F21" s="295"/>
      <c r="G21" s="295"/>
      <c r="H21" s="295"/>
      <c r="I21" s="295"/>
      <c r="J21" s="295"/>
      <c r="K21" s="295"/>
      <c r="L21" s="295"/>
      <c r="M21" s="295"/>
      <c r="N21" s="296"/>
      <c r="O21" s="26"/>
      <c r="P21" s="26"/>
      <c r="Q21" s="26"/>
      <c r="R21" s="26"/>
      <c r="S21" s="26"/>
      <c r="T21" s="26"/>
    </row>
    <row r="22" spans="1:20" ht="39.950000000000003" customHeight="1" x14ac:dyDescent="0.2">
      <c r="A22" s="14"/>
      <c r="B22" s="290"/>
      <c r="C22" s="27" t="s">
        <v>81</v>
      </c>
      <c r="D22" s="294" t="s">
        <v>191</v>
      </c>
      <c r="E22" s="295"/>
      <c r="F22" s="295"/>
      <c r="G22" s="295"/>
      <c r="H22" s="295"/>
      <c r="I22" s="295"/>
      <c r="J22" s="295"/>
      <c r="K22" s="295"/>
      <c r="L22" s="295"/>
      <c r="M22" s="295"/>
      <c r="N22" s="296"/>
      <c r="O22" s="26"/>
      <c r="P22" s="26"/>
      <c r="Q22" s="26"/>
      <c r="R22" s="26"/>
      <c r="S22" s="26"/>
      <c r="T22" s="26"/>
    </row>
    <row r="23" spans="1:20" ht="39.950000000000003" customHeight="1" x14ac:dyDescent="0.2">
      <c r="A23" s="14"/>
      <c r="B23" s="290"/>
      <c r="C23" s="27" t="s">
        <v>80</v>
      </c>
      <c r="D23" s="294" t="s">
        <v>192</v>
      </c>
      <c r="E23" s="295"/>
      <c r="F23" s="295"/>
      <c r="G23" s="295"/>
      <c r="H23" s="295"/>
      <c r="I23" s="295"/>
      <c r="J23" s="295"/>
      <c r="K23" s="295"/>
      <c r="L23" s="295"/>
      <c r="M23" s="295"/>
      <c r="N23" s="296"/>
      <c r="O23" s="26"/>
      <c r="P23" s="26"/>
      <c r="Q23" s="26"/>
      <c r="R23" s="26"/>
      <c r="S23" s="26"/>
      <c r="T23" s="26"/>
    </row>
    <row r="24" spans="1:20" ht="39.950000000000003" customHeight="1" x14ac:dyDescent="0.2">
      <c r="A24" s="14"/>
      <c r="B24" s="290"/>
      <c r="C24" s="27" t="s">
        <v>79</v>
      </c>
      <c r="D24" s="294" t="s">
        <v>193</v>
      </c>
      <c r="E24" s="295"/>
      <c r="F24" s="295"/>
      <c r="G24" s="295"/>
      <c r="H24" s="295"/>
      <c r="I24" s="295"/>
      <c r="J24" s="295"/>
      <c r="K24" s="295"/>
      <c r="L24" s="295"/>
      <c r="M24" s="295"/>
      <c r="N24" s="296"/>
      <c r="O24" s="26"/>
      <c r="P24" s="26"/>
      <c r="Q24" s="26"/>
      <c r="R24" s="26"/>
      <c r="S24" s="26"/>
      <c r="T24" s="26"/>
    </row>
    <row r="25" spans="1:20" ht="39.950000000000003" customHeight="1" x14ac:dyDescent="0.2">
      <c r="A25" s="14"/>
      <c r="B25" s="290"/>
      <c r="C25" s="28" t="s">
        <v>78</v>
      </c>
      <c r="D25" s="297" t="s">
        <v>168</v>
      </c>
      <c r="E25" s="298"/>
      <c r="F25" s="298"/>
      <c r="G25" s="298"/>
      <c r="H25" s="298"/>
      <c r="I25" s="298"/>
      <c r="J25" s="298"/>
      <c r="K25" s="298"/>
      <c r="L25" s="298"/>
      <c r="M25" s="298"/>
      <c r="N25" s="299"/>
      <c r="O25" s="26"/>
      <c r="P25" s="26"/>
      <c r="Q25" s="26"/>
      <c r="R25" s="26"/>
      <c r="S25" s="26"/>
      <c r="T25" s="26"/>
    </row>
    <row r="26" spans="1:20" ht="39.950000000000003" customHeight="1" x14ac:dyDescent="0.2">
      <c r="A26" s="14"/>
      <c r="B26" s="290"/>
      <c r="C26" s="25" t="s">
        <v>77</v>
      </c>
      <c r="D26" s="292" t="s">
        <v>167</v>
      </c>
      <c r="E26" s="292"/>
      <c r="F26" s="292"/>
      <c r="G26" s="292"/>
      <c r="H26" s="292"/>
      <c r="I26" s="292"/>
      <c r="J26" s="292"/>
      <c r="K26" s="292"/>
      <c r="L26" s="292"/>
      <c r="M26" s="292"/>
      <c r="N26" s="293"/>
      <c r="O26" s="26"/>
      <c r="P26" s="26"/>
      <c r="Q26" s="26"/>
      <c r="R26" s="26"/>
      <c r="S26" s="26"/>
      <c r="T26" s="26"/>
    </row>
    <row r="27" spans="1:20" ht="39.950000000000003" customHeight="1" thickBot="1" x14ac:dyDescent="0.25">
      <c r="A27" s="14"/>
      <c r="B27" s="291"/>
      <c r="C27" s="29" t="s">
        <v>138</v>
      </c>
      <c r="D27" s="286" t="s">
        <v>166</v>
      </c>
      <c r="E27" s="287"/>
      <c r="F27" s="287"/>
      <c r="G27" s="287"/>
      <c r="H27" s="287"/>
      <c r="I27" s="287"/>
      <c r="J27" s="287"/>
      <c r="K27" s="287"/>
      <c r="L27" s="287"/>
      <c r="M27" s="287"/>
      <c r="N27" s="288"/>
      <c r="O27" s="26"/>
      <c r="P27" s="26"/>
      <c r="Q27" s="26"/>
      <c r="R27" s="26"/>
      <c r="S27" s="26"/>
      <c r="T27" s="26"/>
    </row>
    <row r="28" spans="1:20" ht="14.25" customHeight="1" x14ac:dyDescent="0.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</row>
    <row r="29" spans="1:20" ht="14.25" customHeight="1" x14ac:dyDescent="0.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4.25" customHeight="1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</row>
    <row r="31" spans="1:20" ht="14.25" customHeight="1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</row>
    <row r="32" spans="1:20" ht="14.25" customHeight="1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4.25" customHeight="1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</row>
    <row r="34" spans="1:20" ht="14.25" customHeight="1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</row>
    <row r="35" spans="1:20" ht="14.25" customHeight="1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</sheetData>
  <mergeCells count="24">
    <mergeCell ref="D16:N16"/>
    <mergeCell ref="D18:N18"/>
    <mergeCell ref="B2:N2"/>
    <mergeCell ref="B3:N3"/>
    <mergeCell ref="A5:N5"/>
    <mergeCell ref="B7:N7"/>
    <mergeCell ref="M8:N8"/>
    <mergeCell ref="D10:N10"/>
    <mergeCell ref="D27:N27"/>
    <mergeCell ref="B11:B27"/>
    <mergeCell ref="D26:N26"/>
    <mergeCell ref="D19:N19"/>
    <mergeCell ref="D20:N20"/>
    <mergeCell ref="D23:N23"/>
    <mergeCell ref="D22:N22"/>
    <mergeCell ref="D25:N25"/>
    <mergeCell ref="D21:N21"/>
    <mergeCell ref="D11:N11"/>
    <mergeCell ref="D12:N12"/>
    <mergeCell ref="D13:N13"/>
    <mergeCell ref="D15:N15"/>
    <mergeCell ref="D24:N24"/>
    <mergeCell ref="D14:N14"/>
    <mergeCell ref="D17:N17"/>
  </mergeCells>
  <hyperlinks>
    <hyperlink ref="C11" location="'Cuadro 5.1'!A1" tooltip="Ir a Cuadro 5.1" display="Cuadro 5.1" xr:uid="{796D35E0-20C7-4809-83E7-3628FCCC1D2F}"/>
    <hyperlink ref="C12" location="'Cuadro 5.2'!A1" tooltip="Ir a Cuadro 5.2" display="Cuadro 5.2" xr:uid="{ACE47ED9-F153-4D1E-9E42-9CD597B81C7B}"/>
    <hyperlink ref="C26" location="'Cuadro 5.16'!A1" tooltip="Ir a Cuadro 5.16" display="Cuadro 5.16" xr:uid="{E6A46C52-BB82-4914-9537-1D8BD240147F}"/>
    <hyperlink ref="C13:C25" location="'4.2'!A1" tooltip="Ir a Cuadro 4.2" display="Cuadro 4.2" xr:uid="{B0B7BF2A-5BCC-49FF-AE65-67157C8541D5}"/>
    <hyperlink ref="C13" location="'Cuadro 5.3'!A1" tooltip="Ir a Cuadro 5.3" display="Cuadro 5.3" xr:uid="{84A26642-D0BF-4917-8465-B7DA313F29AF}"/>
    <hyperlink ref="C14" location="'Cuadro 5.4'!A1" tooltip="Ir a Cuadro 5.4" display="Cuadro 5.4" xr:uid="{D08D33F3-3405-449E-8D7B-741AA8B3D698}"/>
    <hyperlink ref="C15" location="'Cuadro 5.5'!A1" tooltip="Ir a Cuadro 5.5" display="Cuadro 5.5" xr:uid="{EBE18A85-473C-49F3-8750-CC58A5A54836}"/>
    <hyperlink ref="C16" location="'Cuadro 5.6'!A1" tooltip="Ir a Cuadro 5.6" display="Cuadro 5.6" xr:uid="{25EB964A-45E8-4E0E-941D-24F44E7037DA}"/>
    <hyperlink ref="C17" location="'Cuadro 5.7'!A1" tooltip="Ir a Cuadro 5.7" display="Cuadro 5.7" xr:uid="{00BB7445-55F2-4562-9D96-1C4FF6F84880}"/>
    <hyperlink ref="C18" location="'Cuadro 5.8'!A1" tooltip="Ir a Cuadro 5.8" display="Cuadro 5.8" xr:uid="{680E278F-B5ED-4CBE-A0CA-BC339B2B4EEF}"/>
    <hyperlink ref="C19" location="'Cuadro 5.9'!A1" tooltip="Ir a Cuadro 5.9" display="Cuadro 5.9" xr:uid="{F1C361AC-B9BC-4546-9F1C-CB62EDC74F26}"/>
    <hyperlink ref="C20" location="'Cuadro 5.10'!A1" tooltip="Ir a Cuadro 5.10" display="Cuadro 5.10" xr:uid="{50BE5D03-C611-452F-9F42-5C69D8BA8D9D}"/>
    <hyperlink ref="C21" location="'Cuadro 5.11'!A1" tooltip="Ir a Cuadro 5.11" display="Cuadro 5.11" xr:uid="{63982B5C-32F1-414B-ADE3-99798F870B9E}"/>
    <hyperlink ref="C22" location="'Cuadro 5.12'!A1" tooltip="Ir a Cuadro 5.12" display="Cuadro 5.12" xr:uid="{867C221C-1560-441E-9109-E444FCDECD1B}"/>
    <hyperlink ref="C23" location="'Cuadro 5.13'!A1" tooltip="Ir a Cuadro 5.13" display="Cuadro 5.13" xr:uid="{32E9CE04-336D-422C-95BF-B6C2D6434A69}"/>
    <hyperlink ref="C24" location="'Cuadro 5.14'!A1" tooltip="Ir a Cuadro 5.14" display="Cuadro 5.14" xr:uid="{054CCA83-AC8E-43AF-BF94-EFA51D7E129D}"/>
    <hyperlink ref="C25" location="'Cuadro 5.15'!A1" tooltip="Ir a Cuadro 5.15" display="Cuadro 5.15" xr:uid="{4EBE7078-54D7-454A-AFD2-7846C8597B11}"/>
    <hyperlink ref="C27" location="'Cuadro 5.17'!A1" tooltip="Ir a Cuadro 5.17" display="Cuadro 5.17" xr:uid="{C25A7E33-879B-4470-87C1-14BE8BCDE3E6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79F40-CB28-442A-8993-EB6E53176DBB}">
  <dimension ref="A1:W43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85" t="s">
        <v>214</v>
      </c>
      <c r="C1" s="31"/>
      <c r="D1" s="31"/>
      <c r="E1" s="30"/>
      <c r="F1" s="30"/>
      <c r="G1" s="30"/>
      <c r="H1" s="30"/>
      <c r="I1" s="30"/>
      <c r="J1" s="30"/>
      <c r="K1" s="284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4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4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4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15" customHeight="1" x14ac:dyDescent="0.2">
      <c r="A5" s="32"/>
      <c r="B5" s="36" t="s">
        <v>164</v>
      </c>
      <c r="C5" s="37"/>
      <c r="D5" s="38"/>
      <c r="E5" s="34"/>
      <c r="F5" s="39"/>
      <c r="G5" s="38"/>
      <c r="H5" s="34"/>
      <c r="I5" s="32"/>
      <c r="J5" s="32"/>
      <c r="K5" s="40" t="s">
        <v>92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1" t="s">
        <v>144</v>
      </c>
      <c r="C7" s="42"/>
      <c r="D7" s="308" t="s">
        <v>169</v>
      </c>
      <c r="E7" s="308"/>
      <c r="F7" s="43"/>
      <c r="G7" s="310" t="s">
        <v>170</v>
      </c>
      <c r="H7" s="310"/>
      <c r="I7" s="310"/>
      <c r="J7" s="310"/>
      <c r="K7" s="310"/>
      <c r="L7" s="41"/>
      <c r="M7" s="44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2"/>
      <c r="C8" s="47"/>
      <c r="D8" s="309"/>
      <c r="E8" s="309"/>
      <c r="F8" s="26"/>
      <c r="G8" s="309" t="s">
        <v>12</v>
      </c>
      <c r="H8" s="309"/>
      <c r="I8" s="26"/>
      <c r="J8" s="309" t="s">
        <v>0</v>
      </c>
      <c r="K8" s="309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13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55"/>
      <c r="C10" s="55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s="6" customFormat="1" ht="15" customHeight="1" x14ac:dyDescent="0.25">
      <c r="A11" s="57"/>
      <c r="B11" s="58" t="s">
        <v>1</v>
      </c>
      <c r="C11" s="59"/>
      <c r="D11" s="60">
        <v>88168959.549554095</v>
      </c>
      <c r="E11" s="61">
        <v>100</v>
      </c>
      <c r="F11" s="62"/>
      <c r="G11" s="60">
        <v>47788866.463474698</v>
      </c>
      <c r="H11" s="61">
        <v>100</v>
      </c>
      <c r="I11" s="57"/>
      <c r="J11" s="60">
        <v>41315778.788891397</v>
      </c>
      <c r="K11" s="61">
        <v>100</v>
      </c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</row>
    <row r="12" spans="1:23" ht="6.95" customHeight="1" x14ac:dyDescent="0.25">
      <c r="A12" s="41"/>
      <c r="B12" s="58"/>
      <c r="C12" s="59"/>
      <c r="D12" s="41"/>
      <c r="E12" s="41"/>
      <c r="F12" s="63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s="6" customFormat="1" ht="15" customHeight="1" x14ac:dyDescent="0.25">
      <c r="A13" s="57"/>
      <c r="B13" s="64" t="s">
        <v>119</v>
      </c>
      <c r="C13" s="65"/>
      <c r="D13" s="60">
        <v>58932770.004695103</v>
      </c>
      <c r="E13" s="61">
        <v>67.459041964339207</v>
      </c>
      <c r="F13" s="62"/>
      <c r="G13" s="60">
        <v>31635680.973455898</v>
      </c>
      <c r="H13" s="61">
        <v>67.049680072724698</v>
      </c>
      <c r="I13" s="57"/>
      <c r="J13" s="60">
        <v>28016521.577035699</v>
      </c>
      <c r="K13" s="61">
        <v>68.864990083794495</v>
      </c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</row>
    <row r="14" spans="1:23" ht="6.95" customHeight="1" x14ac:dyDescent="0.25">
      <c r="A14" s="41"/>
      <c r="B14" s="66"/>
      <c r="C14" s="65"/>
      <c r="D14" s="67"/>
      <c r="E14" s="68"/>
      <c r="F14" s="62"/>
      <c r="G14" s="67"/>
      <c r="H14" s="68"/>
      <c r="I14" s="57"/>
      <c r="J14" s="67"/>
      <c r="K14" s="68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15" customHeight="1" x14ac:dyDescent="0.25">
      <c r="A15" s="41"/>
      <c r="B15" s="69" t="s">
        <v>120</v>
      </c>
      <c r="C15" s="63"/>
      <c r="D15" s="67">
        <v>32947814.920984499</v>
      </c>
      <c r="E15" s="68">
        <v>56.714311137349902</v>
      </c>
      <c r="F15" s="70"/>
      <c r="G15" s="67">
        <v>19044049.778684299</v>
      </c>
      <c r="H15" s="68">
        <v>61.239439115957403</v>
      </c>
      <c r="I15" s="41"/>
      <c r="J15" s="67">
        <v>14385619.9742523</v>
      </c>
      <c r="K15" s="68">
        <v>52.5132859393375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15" customHeight="1" x14ac:dyDescent="0.25">
      <c r="A16" s="41"/>
      <c r="B16" s="69" t="s">
        <v>121</v>
      </c>
      <c r="C16" s="63"/>
      <c r="D16" s="67">
        <v>7606897.0309473099</v>
      </c>
      <c r="E16" s="68">
        <v>13.1829131797526</v>
      </c>
      <c r="F16" s="70"/>
      <c r="G16" s="67">
        <v>3688772.8231412298</v>
      </c>
      <c r="H16" s="68">
        <v>12.0365688895658</v>
      </c>
      <c r="I16" s="41"/>
      <c r="J16" s="67">
        <v>4114732.0647339299</v>
      </c>
      <c r="K16" s="68">
        <v>15.154693349954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30" customHeight="1" x14ac:dyDescent="0.25">
      <c r="A17" s="41"/>
      <c r="B17" s="69" t="s">
        <v>143</v>
      </c>
      <c r="C17" s="63"/>
      <c r="D17" s="67">
        <v>19610667.160819899</v>
      </c>
      <c r="E17" s="68">
        <v>33.916270451221799</v>
      </c>
      <c r="F17" s="70"/>
      <c r="G17" s="67">
        <v>9655800.8966790102</v>
      </c>
      <c r="H17" s="68">
        <v>31.442603568839701</v>
      </c>
      <c r="I17" s="41"/>
      <c r="J17" s="67">
        <v>10280241.2486427</v>
      </c>
      <c r="K17" s="68">
        <v>37.640809117023103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6.95" customHeight="1" x14ac:dyDescent="0.25">
      <c r="A18" s="41"/>
      <c r="B18" s="66"/>
      <c r="C18" s="65"/>
      <c r="D18" s="67"/>
      <c r="E18" s="68"/>
      <c r="F18" s="70"/>
      <c r="G18" s="67"/>
      <c r="H18" s="68"/>
      <c r="I18" s="41"/>
      <c r="J18" s="67"/>
      <c r="K18" s="68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s="6" customFormat="1" ht="15" customHeight="1" x14ac:dyDescent="0.25">
      <c r="A19" s="57"/>
      <c r="B19" s="64" t="s">
        <v>122</v>
      </c>
      <c r="C19" s="63"/>
      <c r="D19" s="60">
        <v>30139775.259353299</v>
      </c>
      <c r="E19" s="61">
        <v>34.6684315848617</v>
      </c>
      <c r="F19" s="62"/>
      <c r="G19" s="60">
        <v>16743253.0017255</v>
      </c>
      <c r="H19" s="61">
        <v>35.796075455028202</v>
      </c>
      <c r="I19" s="57"/>
      <c r="J19" s="60">
        <v>13874909.9585876</v>
      </c>
      <c r="K19" s="61">
        <v>34.293937230909798</v>
      </c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</row>
    <row r="20" spans="1:23" ht="6.95" customHeight="1" x14ac:dyDescent="0.25">
      <c r="A20" s="41"/>
      <c r="B20" s="71"/>
      <c r="C20" s="72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1:23" s="6" customFormat="1" ht="15" customHeight="1" x14ac:dyDescent="0.25">
      <c r="A21" s="57"/>
      <c r="B21" s="73" t="s">
        <v>2</v>
      </c>
      <c r="C21" s="63"/>
      <c r="D21" s="60">
        <v>31876327.629939102</v>
      </c>
      <c r="E21" s="61">
        <v>100</v>
      </c>
      <c r="F21" s="62"/>
      <c r="G21" s="60">
        <v>17557347.996399298</v>
      </c>
      <c r="H21" s="61">
        <v>100</v>
      </c>
      <c r="I21" s="57"/>
      <c r="J21" s="60">
        <v>14624214.675651999</v>
      </c>
      <c r="K21" s="61">
        <v>100</v>
      </c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</row>
    <row r="22" spans="1:23" ht="6.95" customHeight="1" x14ac:dyDescent="0.25">
      <c r="A22" s="41"/>
      <c r="B22" s="74"/>
      <c r="C22" s="63"/>
      <c r="D22" s="41"/>
      <c r="E22" s="41"/>
      <c r="F22" s="63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</row>
    <row r="23" spans="1:23" s="6" customFormat="1" ht="15" customHeight="1" x14ac:dyDescent="0.25">
      <c r="A23" s="57"/>
      <c r="B23" s="64" t="s">
        <v>119</v>
      </c>
      <c r="C23" s="65"/>
      <c r="D23" s="60">
        <v>19687009.00719</v>
      </c>
      <c r="E23" s="61">
        <v>63.088737020883002</v>
      </c>
      <c r="F23" s="62"/>
      <c r="G23" s="60">
        <v>10872812.080530399</v>
      </c>
      <c r="H23" s="61">
        <v>63.505960284164402</v>
      </c>
      <c r="I23" s="57"/>
      <c r="J23" s="60">
        <v>9115016.0961734504</v>
      </c>
      <c r="K23" s="61">
        <v>64.233379885641298</v>
      </c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</row>
    <row r="24" spans="1:23" ht="6.95" customHeight="1" x14ac:dyDescent="0.25">
      <c r="A24" s="41"/>
      <c r="B24" s="66"/>
      <c r="C24" s="65"/>
      <c r="D24" s="67"/>
      <c r="E24" s="68"/>
      <c r="F24" s="62"/>
      <c r="G24" s="67"/>
      <c r="H24" s="68"/>
      <c r="I24" s="57"/>
      <c r="J24" s="67"/>
      <c r="K24" s="68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</row>
    <row r="25" spans="1:23" ht="15" customHeight="1" x14ac:dyDescent="0.25">
      <c r="A25" s="41"/>
      <c r="B25" s="69" t="s">
        <v>120</v>
      </c>
      <c r="C25" s="63"/>
      <c r="D25" s="67">
        <v>13468051.915796701</v>
      </c>
      <c r="E25" s="68">
        <v>71.042027140228896</v>
      </c>
      <c r="F25" s="70"/>
      <c r="G25" s="67">
        <v>7920056.8177713603</v>
      </c>
      <c r="H25" s="68">
        <v>75.744480607471402</v>
      </c>
      <c r="I25" s="41"/>
      <c r="J25" s="67">
        <v>5828959.70500632</v>
      </c>
      <c r="K25" s="68">
        <v>67.055849821099798</v>
      </c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 spans="1:23" ht="15" customHeight="1" x14ac:dyDescent="0.25">
      <c r="A26" s="41"/>
      <c r="B26" s="69" t="s">
        <v>121</v>
      </c>
      <c r="C26" s="63"/>
      <c r="D26" s="67">
        <v>1759962.3553458799</v>
      </c>
      <c r="E26" s="68">
        <v>9.5038221435785193</v>
      </c>
      <c r="F26" s="70"/>
      <c r="G26" s="67">
        <v>773487.60416502901</v>
      </c>
      <c r="H26" s="68">
        <v>7.6949159236362297</v>
      </c>
      <c r="I26" s="41"/>
      <c r="J26" s="67">
        <v>1055123.68821434</v>
      </c>
      <c r="K26" s="68">
        <v>12.5458748834261</v>
      </c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</row>
    <row r="27" spans="1:23" ht="30" customHeight="1" x14ac:dyDescent="0.25">
      <c r="A27" s="41"/>
      <c r="B27" s="69" t="s">
        <v>143</v>
      </c>
      <c r="C27" s="63"/>
      <c r="D27" s="67">
        <v>4971864.7571565099</v>
      </c>
      <c r="E27" s="68">
        <v>26.316054198511299</v>
      </c>
      <c r="F27" s="70"/>
      <c r="G27" s="67">
        <v>2556338.8526097601</v>
      </c>
      <c r="H27" s="68">
        <v>24.963853672533499</v>
      </c>
      <c r="I27" s="41"/>
      <c r="J27" s="67">
        <v>2574322.3344270298</v>
      </c>
      <c r="K27" s="68">
        <v>29.847609197217299</v>
      </c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</row>
    <row r="28" spans="1:23" ht="6.95" customHeight="1" x14ac:dyDescent="0.25">
      <c r="A28" s="41"/>
      <c r="B28" s="66"/>
      <c r="C28" s="65"/>
      <c r="D28" s="67"/>
      <c r="E28" s="68"/>
      <c r="F28" s="70"/>
      <c r="G28" s="67"/>
      <c r="H28" s="68"/>
      <c r="I28" s="41"/>
      <c r="J28" s="67"/>
      <c r="K28" s="68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s="6" customFormat="1" ht="15" customHeight="1" x14ac:dyDescent="0.25">
      <c r="A29" s="57"/>
      <c r="B29" s="64" t="s">
        <v>122</v>
      </c>
      <c r="C29" s="63"/>
      <c r="D29" s="60">
        <v>12535294.3266476</v>
      </c>
      <c r="E29" s="61">
        <v>40.890198974879503</v>
      </c>
      <c r="F29" s="62"/>
      <c r="G29" s="60">
        <v>6957450.1162891602</v>
      </c>
      <c r="H29" s="61">
        <v>41.599686453754003</v>
      </c>
      <c r="I29" s="57"/>
      <c r="J29" s="60">
        <v>5786581.1944142999</v>
      </c>
      <c r="K29" s="61">
        <v>41.682012786010397</v>
      </c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</row>
    <row r="30" spans="1:23" ht="6.95" customHeight="1" x14ac:dyDescent="0.25">
      <c r="A30" s="41"/>
      <c r="B30" s="75"/>
      <c r="C30" s="63"/>
      <c r="D30" s="76"/>
      <c r="E30" s="76"/>
      <c r="F30" s="77"/>
      <c r="G30" s="76"/>
      <c r="H30" s="76"/>
      <c r="I30" s="76"/>
      <c r="J30" s="76"/>
      <c r="K30" s="76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s="6" customFormat="1" ht="15" customHeight="1" x14ac:dyDescent="0.25">
      <c r="A31" s="57"/>
      <c r="B31" s="73" t="s">
        <v>3</v>
      </c>
      <c r="C31" s="63"/>
      <c r="D31" s="60">
        <v>58722602.216376103</v>
      </c>
      <c r="E31" s="61">
        <v>100</v>
      </c>
      <c r="F31" s="62"/>
      <c r="G31" s="60">
        <v>31539784.224373799</v>
      </c>
      <c r="H31" s="61">
        <v>100</v>
      </c>
      <c r="I31" s="57"/>
      <c r="J31" s="60">
        <v>27745562.505176</v>
      </c>
      <c r="K31" s="61">
        <v>100</v>
      </c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</row>
    <row r="32" spans="1:23" ht="6.95" customHeight="1" x14ac:dyDescent="0.25">
      <c r="A32" s="41"/>
      <c r="B32" s="74"/>
      <c r="C32" s="63"/>
      <c r="D32" s="41"/>
      <c r="E32" s="41"/>
      <c r="F32" s="63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s="6" customFormat="1" ht="15" customHeight="1" x14ac:dyDescent="0.25">
      <c r="A33" s="57"/>
      <c r="B33" s="64" t="s">
        <v>119</v>
      </c>
      <c r="C33" s="65"/>
      <c r="D33" s="60">
        <v>40869302.619519599</v>
      </c>
      <c r="E33" s="61">
        <v>70.475746854202995</v>
      </c>
      <c r="F33" s="62"/>
      <c r="G33" s="60">
        <v>21687602.399640601</v>
      </c>
      <c r="H33" s="61">
        <v>69.951624597526703</v>
      </c>
      <c r="I33" s="57"/>
      <c r="J33" s="60">
        <v>19633023.8487764</v>
      </c>
      <c r="K33" s="61">
        <v>72.197819303873501</v>
      </c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</row>
    <row r="34" spans="1:23" ht="6.95" customHeight="1" x14ac:dyDescent="0.25">
      <c r="A34" s="41"/>
      <c r="B34" s="66"/>
      <c r="C34" s="65"/>
      <c r="D34" s="67"/>
      <c r="E34" s="68"/>
      <c r="F34" s="62"/>
      <c r="G34" s="67"/>
      <c r="H34" s="68"/>
      <c r="I34" s="57"/>
      <c r="J34" s="67"/>
      <c r="K34" s="68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 spans="1:23" ht="15" customHeight="1" x14ac:dyDescent="0.25">
      <c r="A35" s="41"/>
      <c r="B35" s="69" t="s">
        <v>120</v>
      </c>
      <c r="C35" s="63"/>
      <c r="D35" s="67">
        <v>20468728.0686187</v>
      </c>
      <c r="E35" s="68">
        <v>50.958472379349402</v>
      </c>
      <c r="F35" s="70"/>
      <c r="G35" s="67">
        <v>11757159.768406199</v>
      </c>
      <c r="H35" s="68">
        <v>55.356663732700497</v>
      </c>
      <c r="I35" s="41"/>
      <c r="J35" s="67">
        <v>9010531.37086007</v>
      </c>
      <c r="K35" s="68">
        <v>47.156677145053102</v>
      </c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</row>
    <row r="36" spans="1:23" ht="15" customHeight="1" x14ac:dyDescent="0.25">
      <c r="A36" s="41"/>
      <c r="B36" s="69" t="s">
        <v>121</v>
      </c>
      <c r="C36" s="63"/>
      <c r="D36" s="67">
        <v>6078165.41692618</v>
      </c>
      <c r="E36" s="68">
        <v>15.414101689421001</v>
      </c>
      <c r="F36" s="70"/>
      <c r="G36" s="67">
        <v>3047137.9942234899</v>
      </c>
      <c r="H36" s="68">
        <v>14.7541122054383</v>
      </c>
      <c r="I36" s="41"/>
      <c r="J36" s="67">
        <v>3213637.0710724602</v>
      </c>
      <c r="K36" s="68">
        <v>17.030628731913399</v>
      </c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  <row r="37" spans="1:23" ht="30" customHeight="1" x14ac:dyDescent="0.25">
      <c r="A37" s="41"/>
      <c r="B37" s="69" t="s">
        <v>143</v>
      </c>
      <c r="C37" s="63"/>
      <c r="D37" s="67">
        <v>15161210.5561851</v>
      </c>
      <c r="E37" s="68">
        <v>38.214742957326798</v>
      </c>
      <c r="F37" s="70"/>
      <c r="G37" s="67">
        <v>7409587.5690689199</v>
      </c>
      <c r="H37" s="68">
        <v>35.538931118068298</v>
      </c>
      <c r="I37" s="41"/>
      <c r="J37" s="67">
        <v>8000452.8466901798</v>
      </c>
      <c r="K37" s="68">
        <v>42.155423389500001</v>
      </c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</row>
    <row r="38" spans="1:23" ht="6.95" customHeight="1" x14ac:dyDescent="0.25">
      <c r="A38" s="41"/>
      <c r="B38" s="66"/>
      <c r="C38" s="65"/>
      <c r="D38" s="67"/>
      <c r="E38" s="68"/>
      <c r="F38" s="70"/>
      <c r="G38" s="67"/>
      <c r="H38" s="68"/>
      <c r="I38" s="41"/>
      <c r="J38" s="67"/>
      <c r="K38" s="68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</row>
    <row r="39" spans="1:23" s="6" customFormat="1" ht="15" customHeight="1" x14ac:dyDescent="0.25">
      <c r="A39" s="57"/>
      <c r="B39" s="64" t="s">
        <v>122</v>
      </c>
      <c r="C39" s="63"/>
      <c r="D39" s="60">
        <v>18389011.237920199</v>
      </c>
      <c r="E39" s="61">
        <v>32.102224765832503</v>
      </c>
      <c r="F39" s="62"/>
      <c r="G39" s="60">
        <v>10258062.791503999</v>
      </c>
      <c r="H39" s="61">
        <v>33.626005621170798</v>
      </c>
      <c r="I39" s="57"/>
      <c r="J39" s="60">
        <v>8498317.7948171496</v>
      </c>
      <c r="K39" s="61">
        <v>31.503000048194998</v>
      </c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</row>
    <row r="40" spans="1:23" ht="6.95" customHeight="1" x14ac:dyDescent="0.25">
      <c r="A40" s="41"/>
      <c r="B40" s="78"/>
      <c r="C40" s="79"/>
      <c r="D40" s="80"/>
      <c r="E40" s="80"/>
      <c r="F40" s="79"/>
      <c r="G40" s="80"/>
      <c r="H40" s="80"/>
      <c r="I40" s="80"/>
      <c r="J40" s="80"/>
      <c r="K40" s="80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</row>
    <row r="41" spans="1:23" ht="6.95" customHeight="1" x14ac:dyDescent="0.25">
      <c r="A41" s="41"/>
      <c r="B41" s="81"/>
      <c r="C41" s="82"/>
      <c r="D41" s="41"/>
      <c r="E41" s="41"/>
      <c r="F41" s="82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</row>
    <row r="42" spans="1:23" ht="12" customHeight="1" x14ac:dyDescent="0.25">
      <c r="A42" s="41"/>
      <c r="B42" s="307" t="s">
        <v>145</v>
      </c>
      <c r="C42" s="307"/>
      <c r="D42" s="307"/>
      <c r="E42" s="307"/>
      <c r="F42" s="307"/>
      <c r="G42" s="307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</row>
    <row r="43" spans="1:23" s="9" customFormat="1" x14ac:dyDescent="0.25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</row>
  </sheetData>
  <mergeCells count="6">
    <mergeCell ref="B42:G42"/>
    <mergeCell ref="D7:E8"/>
    <mergeCell ref="G7:K7"/>
    <mergeCell ref="G8:H8"/>
    <mergeCell ref="J8:K8"/>
    <mergeCell ref="B7:B9"/>
  </mergeCells>
  <hyperlinks>
    <hyperlink ref="K1" location="ÍNDICE!A1" tooltip="Ir a ÍNDICE" display="ÍNDICE" xr:uid="{FD087A41-3EF4-4B5A-AB48-7975D2804D5D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75CEB-903E-4445-AC8B-70D054A76F43}">
  <dimension ref="A1:W53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85" t="s">
        <v>214</v>
      </c>
      <c r="C1" s="31"/>
      <c r="D1" s="31"/>
      <c r="E1" s="30"/>
      <c r="F1" s="30"/>
      <c r="G1" s="30"/>
      <c r="H1" s="30"/>
      <c r="I1" s="30"/>
      <c r="J1" s="30"/>
      <c r="K1" s="284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15" customHeight="1" x14ac:dyDescent="0.2">
      <c r="A5" s="32"/>
      <c r="B5" s="86" t="s">
        <v>105</v>
      </c>
      <c r="C5" s="37"/>
      <c r="D5" s="37"/>
      <c r="E5" s="39"/>
      <c r="F5" s="39"/>
      <c r="G5" s="38"/>
      <c r="H5" s="34"/>
      <c r="I5" s="32"/>
      <c r="J5" s="32"/>
      <c r="K5" s="40" t="s">
        <v>91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2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1" t="s">
        <v>172</v>
      </c>
      <c r="C7" s="42"/>
      <c r="D7" s="308" t="s">
        <v>169</v>
      </c>
      <c r="E7" s="308"/>
      <c r="F7" s="43"/>
      <c r="G7" s="310" t="s">
        <v>170</v>
      </c>
      <c r="H7" s="310"/>
      <c r="I7" s="310"/>
      <c r="J7" s="310"/>
      <c r="K7" s="310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2"/>
      <c r="C8" s="47"/>
      <c r="D8" s="309"/>
      <c r="E8" s="309"/>
      <c r="F8" s="26"/>
      <c r="G8" s="309" t="s">
        <v>12</v>
      </c>
      <c r="H8" s="309"/>
      <c r="I8" s="26"/>
      <c r="J8" s="309" t="s">
        <v>0</v>
      </c>
      <c r="K8" s="309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13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87"/>
      <c r="C10" s="87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s="6" customFormat="1" ht="15" customHeight="1" x14ac:dyDescent="0.25">
      <c r="A11" s="57"/>
      <c r="B11" s="88" t="s">
        <v>4</v>
      </c>
      <c r="C11" s="89"/>
      <c r="D11" s="60">
        <v>88168959.549554095</v>
      </c>
      <c r="E11" s="61">
        <v>100</v>
      </c>
      <c r="F11" s="62"/>
      <c r="G11" s="60">
        <v>47788866.463474698</v>
      </c>
      <c r="H11" s="61">
        <v>100</v>
      </c>
      <c r="I11" s="57"/>
      <c r="J11" s="60">
        <v>41315778.788891397</v>
      </c>
      <c r="K11" s="61">
        <v>100</v>
      </c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</row>
    <row r="12" spans="1:23" ht="6.95" customHeight="1" x14ac:dyDescent="0.25">
      <c r="A12" s="41"/>
      <c r="B12" s="88"/>
      <c r="C12" s="87"/>
      <c r="D12" s="41"/>
      <c r="E12" s="41"/>
      <c r="F12" s="63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s="6" customFormat="1" ht="15" customHeight="1" x14ac:dyDescent="0.25">
      <c r="A13" s="57"/>
      <c r="B13" s="90" t="s">
        <v>5</v>
      </c>
      <c r="C13" s="91"/>
      <c r="D13" s="60">
        <v>51809521.4092163</v>
      </c>
      <c r="E13" s="61">
        <v>59.353763701762801</v>
      </c>
      <c r="F13" s="62"/>
      <c r="G13" s="60">
        <v>28243397.790694501</v>
      </c>
      <c r="H13" s="61">
        <v>59.918501943322099</v>
      </c>
      <c r="I13" s="57"/>
      <c r="J13" s="60">
        <v>24234714.600053001</v>
      </c>
      <c r="K13" s="61">
        <v>59.673726731770699</v>
      </c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</row>
    <row r="14" spans="1:23" ht="6.95" customHeight="1" x14ac:dyDescent="0.25">
      <c r="A14" s="41"/>
      <c r="B14" s="92"/>
      <c r="C14" s="91"/>
      <c r="D14" s="67"/>
      <c r="E14" s="68"/>
      <c r="F14" s="62"/>
      <c r="G14" s="67"/>
      <c r="H14" s="68"/>
      <c r="I14" s="57"/>
      <c r="J14" s="67"/>
      <c r="K14" s="68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15" customHeight="1" x14ac:dyDescent="0.25">
      <c r="A15" s="41"/>
      <c r="B15" s="93" t="s">
        <v>6</v>
      </c>
      <c r="C15" s="94"/>
      <c r="D15" s="67">
        <v>5306284.0617891001</v>
      </c>
      <c r="E15" s="68">
        <v>10.4806656060238</v>
      </c>
      <c r="F15" s="70"/>
      <c r="G15" s="67">
        <v>2766441.0702172001</v>
      </c>
      <c r="H15" s="68">
        <v>10.131577153836799</v>
      </c>
      <c r="I15" s="41"/>
      <c r="J15" s="67">
        <v>2713300.6313698199</v>
      </c>
      <c r="K15" s="68">
        <v>11.611901362212601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15" customHeight="1" x14ac:dyDescent="0.25">
      <c r="A16" s="41"/>
      <c r="B16" s="93" t="s">
        <v>7</v>
      </c>
      <c r="C16" s="95"/>
      <c r="D16" s="67">
        <v>6472168.0428622896</v>
      </c>
      <c r="E16" s="68">
        <v>12.7816742595452</v>
      </c>
      <c r="F16" s="70"/>
      <c r="G16" s="67">
        <v>2840041.0298894201</v>
      </c>
      <c r="H16" s="68">
        <v>10.404032113859</v>
      </c>
      <c r="I16" s="41"/>
      <c r="J16" s="67">
        <v>3799082.55688874</v>
      </c>
      <c r="K16" s="68">
        <v>16.204821424136199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15" customHeight="1" x14ac:dyDescent="0.25">
      <c r="A17" s="41"/>
      <c r="B17" s="93" t="s">
        <v>8</v>
      </c>
      <c r="C17" s="95"/>
      <c r="D17" s="67">
        <v>12224753.3076507</v>
      </c>
      <c r="E17" s="68">
        <v>24.098219975020001</v>
      </c>
      <c r="F17" s="70"/>
      <c r="G17" s="67">
        <v>5831384.2554465001</v>
      </c>
      <c r="H17" s="68">
        <v>21.328993121570399</v>
      </c>
      <c r="I17" s="41"/>
      <c r="J17" s="67">
        <v>6652411.7529728701</v>
      </c>
      <c r="K17" s="68">
        <v>28.281957841795201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15" customHeight="1" x14ac:dyDescent="0.25">
      <c r="A18" s="41"/>
      <c r="B18" s="93" t="s">
        <v>93</v>
      </c>
      <c r="C18" s="95"/>
      <c r="D18" s="67">
        <v>8580862.2431871202</v>
      </c>
      <c r="E18" s="68">
        <v>16.880808572924799</v>
      </c>
      <c r="F18" s="70"/>
      <c r="G18" s="67">
        <v>4530871.2814149298</v>
      </c>
      <c r="H18" s="68">
        <v>16.560545828293399</v>
      </c>
      <c r="I18" s="41"/>
      <c r="J18" s="67">
        <v>4264448.1181724099</v>
      </c>
      <c r="K18" s="68">
        <v>18.1150388515412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15" customHeight="1" x14ac:dyDescent="0.25">
      <c r="A19" s="41"/>
      <c r="B19" s="93" t="s">
        <v>9</v>
      </c>
      <c r="C19" s="95"/>
      <c r="D19" s="67">
        <v>18077479.2817773</v>
      </c>
      <c r="E19" s="68">
        <v>35.624174964976604</v>
      </c>
      <c r="F19" s="70"/>
      <c r="G19" s="67">
        <v>10759519.122673299</v>
      </c>
      <c r="H19" s="68">
        <v>39.259130866024101</v>
      </c>
      <c r="I19" s="41"/>
      <c r="J19" s="67">
        <v>7660636.4249781901</v>
      </c>
      <c r="K19" s="68">
        <v>32.648872725310603</v>
      </c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ht="15" customHeight="1" x14ac:dyDescent="0.25">
      <c r="A20" s="41"/>
      <c r="B20" s="93" t="s">
        <v>10</v>
      </c>
      <c r="C20" s="95"/>
      <c r="D20" s="67">
        <v>36457166.884801999</v>
      </c>
      <c r="E20" s="68">
        <v>71.249280823058996</v>
      </c>
      <c r="F20" s="70"/>
      <c r="G20" s="67">
        <v>19383834.2471985</v>
      </c>
      <c r="H20" s="68">
        <v>69.767009613588797</v>
      </c>
      <c r="I20" s="41"/>
      <c r="J20" s="67">
        <v>17707363.581922598</v>
      </c>
      <c r="K20" s="68">
        <v>74.264126288025594</v>
      </c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1:23" ht="6.95" customHeight="1" x14ac:dyDescent="0.25">
      <c r="A21" s="41"/>
      <c r="B21" s="92"/>
      <c r="C21" s="91"/>
      <c r="D21" s="59"/>
      <c r="E21" s="96"/>
      <c r="F21" s="63"/>
      <c r="G21" s="59"/>
      <c r="H21" s="96"/>
      <c r="I21" s="96"/>
      <c r="J21" s="59"/>
      <c r="K21" s="96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s="6" customFormat="1" ht="15" customHeight="1" x14ac:dyDescent="0.25">
      <c r="A22" s="57"/>
      <c r="B22" s="90" t="s">
        <v>11</v>
      </c>
      <c r="C22" s="95"/>
      <c r="D22" s="60">
        <v>37297422.480269603</v>
      </c>
      <c r="E22" s="61">
        <v>42.870096607392902</v>
      </c>
      <c r="F22" s="62"/>
      <c r="G22" s="60">
        <v>20146093.9116574</v>
      </c>
      <c r="H22" s="61">
        <v>43.025625394944399</v>
      </c>
      <c r="I22" s="57"/>
      <c r="J22" s="60">
        <v>17690287.106700901</v>
      </c>
      <c r="K22" s="61">
        <v>43.664081212694903</v>
      </c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</row>
    <row r="23" spans="1:23" ht="6.95" customHeight="1" x14ac:dyDescent="0.25">
      <c r="A23" s="41"/>
      <c r="B23" s="92"/>
      <c r="C23" s="97"/>
      <c r="D23" s="98"/>
      <c r="E23" s="99"/>
      <c r="F23" s="77"/>
      <c r="G23" s="98"/>
      <c r="H23" s="99"/>
      <c r="I23" s="99"/>
      <c r="J23" s="98"/>
      <c r="K23" s="99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</row>
    <row r="24" spans="1:23" s="6" customFormat="1" ht="15" customHeight="1" x14ac:dyDescent="0.25">
      <c r="A24" s="57"/>
      <c r="B24" s="100" t="s">
        <v>2</v>
      </c>
      <c r="C24" s="97"/>
      <c r="D24" s="60">
        <v>31876327.629939102</v>
      </c>
      <c r="E24" s="61">
        <v>100</v>
      </c>
      <c r="F24" s="62"/>
      <c r="G24" s="60">
        <v>17557347.996399298</v>
      </c>
      <c r="H24" s="61">
        <v>100</v>
      </c>
      <c r="I24" s="57"/>
      <c r="J24" s="60">
        <v>14624214.675651999</v>
      </c>
      <c r="K24" s="61">
        <v>100</v>
      </c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</row>
    <row r="25" spans="1:23" ht="6.95" customHeight="1" x14ac:dyDescent="0.25">
      <c r="A25" s="41"/>
      <c r="B25" s="101"/>
      <c r="C25" s="97"/>
      <c r="D25" s="41"/>
      <c r="E25" s="41"/>
      <c r="F25" s="63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 spans="1:23" s="6" customFormat="1" ht="15" customHeight="1" x14ac:dyDescent="0.25">
      <c r="A26" s="57"/>
      <c r="B26" s="90" t="s">
        <v>5</v>
      </c>
      <c r="C26" s="91"/>
      <c r="D26" s="60">
        <v>18142590.743761301</v>
      </c>
      <c r="E26" s="61">
        <v>58.339395198306697</v>
      </c>
      <c r="F26" s="62"/>
      <c r="G26" s="60">
        <v>10235570.445862301</v>
      </c>
      <c r="H26" s="61">
        <v>59.920033506326298</v>
      </c>
      <c r="I26" s="57"/>
      <c r="J26" s="60">
        <v>8213908.8980106302</v>
      </c>
      <c r="K26" s="61">
        <v>58.145350462002803</v>
      </c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</row>
    <row r="27" spans="1:23" ht="6.95" customHeight="1" x14ac:dyDescent="0.25">
      <c r="A27" s="41"/>
      <c r="B27" s="92"/>
      <c r="C27" s="91"/>
      <c r="D27" s="67"/>
      <c r="E27" s="68"/>
      <c r="F27" s="62"/>
      <c r="G27" s="67"/>
      <c r="H27" s="68"/>
      <c r="I27" s="57"/>
      <c r="J27" s="67"/>
      <c r="K27" s="68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</row>
    <row r="28" spans="1:23" ht="15" customHeight="1" x14ac:dyDescent="0.25">
      <c r="A28" s="41"/>
      <c r="B28" s="93" t="s">
        <v>6</v>
      </c>
      <c r="C28" s="95"/>
      <c r="D28" s="67">
        <v>1986315.03951393</v>
      </c>
      <c r="E28" s="68">
        <v>11.592823660425299</v>
      </c>
      <c r="F28" s="70"/>
      <c r="G28" s="67">
        <v>1096375.19475</v>
      </c>
      <c r="H28" s="68">
        <v>11.5650559151973</v>
      </c>
      <c r="I28" s="41"/>
      <c r="J28" s="67">
        <v>996385.77785658801</v>
      </c>
      <c r="K28" s="68">
        <v>13.171827523836001</v>
      </c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ht="15" customHeight="1" x14ac:dyDescent="0.25">
      <c r="A29" s="41"/>
      <c r="B29" s="93" t="s">
        <v>7</v>
      </c>
      <c r="C29" s="95"/>
      <c r="D29" s="67">
        <v>3710088.6751737301</v>
      </c>
      <c r="E29" s="68">
        <v>21.7726642501542</v>
      </c>
      <c r="F29" s="70"/>
      <c r="G29" s="67">
        <v>1673231.21464171</v>
      </c>
      <c r="H29" s="68">
        <v>17.7281955688876</v>
      </c>
      <c r="I29" s="41"/>
      <c r="J29" s="67">
        <v>2119681.4392291801</v>
      </c>
      <c r="K29" s="68">
        <v>27.7579334699819</v>
      </c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</row>
    <row r="30" spans="1:23" ht="15" customHeight="1" x14ac:dyDescent="0.25">
      <c r="A30" s="41"/>
      <c r="B30" s="93" t="s">
        <v>8</v>
      </c>
      <c r="C30" s="95"/>
      <c r="D30" s="67">
        <v>3350739.81626216</v>
      </c>
      <c r="E30" s="68">
        <v>19.307009662082301</v>
      </c>
      <c r="F30" s="70"/>
      <c r="G30" s="67">
        <v>1726546.1366413001</v>
      </c>
      <c r="H30" s="68">
        <v>17.841708014997099</v>
      </c>
      <c r="I30" s="41"/>
      <c r="J30" s="67">
        <v>1730559.09525571</v>
      </c>
      <c r="K30" s="68">
        <v>22.390097309704199</v>
      </c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ht="15" customHeight="1" x14ac:dyDescent="0.25">
      <c r="A31" s="41"/>
      <c r="B31" s="93" t="s">
        <v>93</v>
      </c>
      <c r="C31" s="95"/>
      <c r="D31" s="67">
        <v>3113726.7371659898</v>
      </c>
      <c r="E31" s="68">
        <v>17.975121538707299</v>
      </c>
      <c r="F31" s="70"/>
      <c r="G31" s="67">
        <v>1647856.9193097199</v>
      </c>
      <c r="H31" s="68">
        <v>17.351300660319101</v>
      </c>
      <c r="I31" s="41"/>
      <c r="J31" s="67">
        <v>1570462.5316336399</v>
      </c>
      <c r="K31" s="68">
        <v>20.237483335544098</v>
      </c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 spans="1:23" ht="15" customHeight="1" x14ac:dyDescent="0.25">
      <c r="A32" s="41"/>
      <c r="B32" s="93" t="s">
        <v>9</v>
      </c>
      <c r="C32" s="95"/>
      <c r="D32" s="67">
        <v>6028098.5570160402</v>
      </c>
      <c r="E32" s="68">
        <v>34.526531374270697</v>
      </c>
      <c r="F32" s="70"/>
      <c r="G32" s="67">
        <v>3816323.7263835701</v>
      </c>
      <c r="H32" s="68">
        <v>39.150297192422002</v>
      </c>
      <c r="I32" s="41"/>
      <c r="J32" s="67">
        <v>2374704.11820229</v>
      </c>
      <c r="K32" s="68">
        <v>30.817636817790099</v>
      </c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ht="15" customHeight="1" x14ac:dyDescent="0.25">
      <c r="A33" s="41"/>
      <c r="B33" s="93" t="s">
        <v>10</v>
      </c>
      <c r="C33" s="95"/>
      <c r="D33" s="67">
        <v>13357102.273708301</v>
      </c>
      <c r="E33" s="68">
        <v>75.597833149180701</v>
      </c>
      <c r="F33" s="70"/>
      <c r="G33" s="67">
        <v>7370704.9384344397</v>
      </c>
      <c r="H33" s="68">
        <v>74.3112959389655</v>
      </c>
      <c r="I33" s="41"/>
      <c r="J33" s="67">
        <v>6318712.27238118</v>
      </c>
      <c r="K33" s="68">
        <v>79.315202436673701</v>
      </c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</row>
    <row r="34" spans="1:23" ht="6.95" customHeight="1" x14ac:dyDescent="0.25">
      <c r="A34" s="41"/>
      <c r="B34" s="92"/>
      <c r="C34" s="91"/>
      <c r="D34" s="59"/>
      <c r="E34" s="96"/>
      <c r="F34" s="63"/>
      <c r="G34" s="59"/>
      <c r="H34" s="96"/>
      <c r="I34" s="96"/>
      <c r="J34" s="59"/>
      <c r="K34" s="96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 spans="1:23" s="6" customFormat="1" ht="15" customHeight="1" x14ac:dyDescent="0.25">
      <c r="A35" s="57"/>
      <c r="B35" s="90" t="s">
        <v>11</v>
      </c>
      <c r="C35" s="95"/>
      <c r="D35" s="60">
        <v>14107196.710953301</v>
      </c>
      <c r="E35" s="61">
        <v>45.881138698254603</v>
      </c>
      <c r="F35" s="62"/>
      <c r="G35" s="60">
        <v>7609643.6225004802</v>
      </c>
      <c r="H35" s="61">
        <v>45.4167853850876</v>
      </c>
      <c r="I35" s="57"/>
      <c r="J35" s="60">
        <v>6709752.8279144</v>
      </c>
      <c r="K35" s="61">
        <v>48.155861672410303</v>
      </c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</row>
    <row r="36" spans="1:23" ht="6.95" customHeight="1" x14ac:dyDescent="0.25">
      <c r="A36" s="41"/>
      <c r="B36" s="92"/>
      <c r="C36" s="97"/>
      <c r="D36" s="98"/>
      <c r="E36" s="99"/>
      <c r="F36" s="77"/>
      <c r="G36" s="98"/>
      <c r="H36" s="99"/>
      <c r="I36" s="99"/>
      <c r="J36" s="98"/>
      <c r="K36" s="99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  <row r="37" spans="1:23" s="6" customFormat="1" ht="15" customHeight="1" x14ac:dyDescent="0.25">
      <c r="A37" s="57"/>
      <c r="B37" s="100" t="s">
        <v>3</v>
      </c>
      <c r="C37" s="97"/>
      <c r="D37" s="60">
        <v>58722602.216376103</v>
      </c>
      <c r="E37" s="61">
        <v>100</v>
      </c>
      <c r="F37" s="62"/>
      <c r="G37" s="60">
        <v>31539784.224373799</v>
      </c>
      <c r="H37" s="61">
        <v>100</v>
      </c>
      <c r="I37" s="57"/>
      <c r="J37" s="60">
        <v>27745562.505176</v>
      </c>
      <c r="K37" s="61">
        <v>100</v>
      </c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</row>
    <row r="38" spans="1:23" ht="6.95" customHeight="1" x14ac:dyDescent="0.25">
      <c r="A38" s="41"/>
      <c r="B38" s="101"/>
      <c r="C38" s="97"/>
      <c r="D38" s="41"/>
      <c r="E38" s="41"/>
      <c r="F38" s="63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</row>
    <row r="39" spans="1:23" s="6" customFormat="1" ht="15" customHeight="1" x14ac:dyDescent="0.25">
      <c r="A39" s="57"/>
      <c r="B39" s="90" t="s">
        <v>5</v>
      </c>
      <c r="C39" s="91"/>
      <c r="D39" s="60">
        <v>35154682.745921202</v>
      </c>
      <c r="E39" s="61">
        <v>60.658582559857997</v>
      </c>
      <c r="F39" s="62"/>
      <c r="G39" s="60">
        <v>18886826.861716501</v>
      </c>
      <c r="H39" s="61">
        <v>60.985333871263499</v>
      </c>
      <c r="I39" s="57"/>
      <c r="J39" s="60">
        <v>16682091.8622499</v>
      </c>
      <c r="K39" s="61">
        <v>61.495636963011599</v>
      </c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</row>
    <row r="40" spans="1:23" ht="6.95" customHeight="1" x14ac:dyDescent="0.25">
      <c r="A40" s="41"/>
      <c r="B40" s="92"/>
      <c r="C40" s="91"/>
      <c r="D40" s="67"/>
      <c r="E40" s="68"/>
      <c r="F40" s="62"/>
      <c r="G40" s="67"/>
      <c r="H40" s="68"/>
      <c r="I40" s="57"/>
      <c r="J40" s="67"/>
      <c r="K40" s="68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</row>
    <row r="41" spans="1:23" ht="15" customHeight="1" x14ac:dyDescent="0.25">
      <c r="A41" s="41"/>
      <c r="B41" s="93" t="s">
        <v>6</v>
      </c>
      <c r="C41" s="95"/>
      <c r="D41" s="67">
        <v>3544883.0534722898</v>
      </c>
      <c r="E41" s="68">
        <v>10.426891538717801</v>
      </c>
      <c r="F41" s="70"/>
      <c r="G41" s="67">
        <v>1806500.59933644</v>
      </c>
      <c r="H41" s="68">
        <v>10.0135781977208</v>
      </c>
      <c r="I41" s="41"/>
      <c r="J41" s="67">
        <v>1857214.93087072</v>
      </c>
      <c r="K41" s="68">
        <v>11.634783630447499</v>
      </c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</row>
    <row r="42" spans="1:23" ht="15" customHeight="1" x14ac:dyDescent="0.25">
      <c r="A42" s="41"/>
      <c r="B42" s="93" t="s">
        <v>7</v>
      </c>
      <c r="C42" s="95"/>
      <c r="D42" s="67">
        <v>3044214.5958205801</v>
      </c>
      <c r="E42" s="68">
        <v>8.9379677865250393</v>
      </c>
      <c r="F42" s="70"/>
      <c r="G42" s="67">
        <v>1325602.6955120601</v>
      </c>
      <c r="H42" s="68">
        <v>7.3556022525899998</v>
      </c>
      <c r="I42" s="41"/>
      <c r="J42" s="67">
        <v>1857833.5849007401</v>
      </c>
      <c r="K42" s="68">
        <v>11.5987078770604</v>
      </c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</row>
    <row r="43" spans="1:23" ht="15" customHeight="1" x14ac:dyDescent="0.25">
      <c r="A43" s="41"/>
      <c r="B43" s="93" t="s">
        <v>8</v>
      </c>
      <c r="C43" s="95"/>
      <c r="D43" s="67">
        <v>9237875.7136768606</v>
      </c>
      <c r="E43" s="68">
        <v>27.2708047940183</v>
      </c>
      <c r="F43" s="70"/>
      <c r="G43" s="67">
        <v>4306527.4296492198</v>
      </c>
      <c r="H43" s="68">
        <v>24.012017629134199</v>
      </c>
      <c r="I43" s="41"/>
      <c r="J43" s="67">
        <v>5158132.5128727499</v>
      </c>
      <c r="K43" s="68">
        <v>32.2564679988648</v>
      </c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</row>
    <row r="44" spans="1:23" ht="15" customHeight="1" x14ac:dyDescent="0.25">
      <c r="A44" s="41"/>
      <c r="B44" s="93" t="s">
        <v>93</v>
      </c>
      <c r="C44" s="95"/>
      <c r="D44" s="67">
        <v>5778286.5884986902</v>
      </c>
      <c r="E44" s="68">
        <v>16.9646343834366</v>
      </c>
      <c r="F44" s="70"/>
      <c r="G44" s="67">
        <v>3071555.7522337302</v>
      </c>
      <c r="H44" s="68">
        <v>17.016587976106099</v>
      </c>
      <c r="I44" s="41"/>
      <c r="J44" s="67">
        <v>2886097.4341125302</v>
      </c>
      <c r="K44" s="68">
        <v>18.004451595557601</v>
      </c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</row>
    <row r="45" spans="1:23" ht="15" customHeight="1" x14ac:dyDescent="0.25">
      <c r="A45" s="41"/>
      <c r="B45" s="93" t="s">
        <v>9</v>
      </c>
      <c r="C45" s="95"/>
      <c r="D45" s="67">
        <v>12681466.3981882</v>
      </c>
      <c r="E45" s="68">
        <v>37.057724431435503</v>
      </c>
      <c r="F45" s="70"/>
      <c r="G45" s="67">
        <v>7340367.4384441096</v>
      </c>
      <c r="H45" s="68">
        <v>40.534001459037697</v>
      </c>
      <c r="I45" s="41"/>
      <c r="J45" s="67">
        <v>5582653.5488548204</v>
      </c>
      <c r="K45" s="68">
        <v>34.696364250164798</v>
      </c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</row>
    <row r="46" spans="1:23" ht="15" customHeight="1" x14ac:dyDescent="0.25">
      <c r="A46" s="41"/>
      <c r="B46" s="93" t="s">
        <v>10</v>
      </c>
      <c r="C46" s="95"/>
      <c r="D46" s="67">
        <v>24174823.4091594</v>
      </c>
      <c r="E46" s="68">
        <v>69.951536099161203</v>
      </c>
      <c r="F46" s="70"/>
      <c r="G46" s="67">
        <v>12665155.036555</v>
      </c>
      <c r="H46" s="68">
        <v>68.614829481316704</v>
      </c>
      <c r="I46" s="41"/>
      <c r="J46" s="67">
        <v>11912147.274576901</v>
      </c>
      <c r="K46" s="68">
        <v>73.012872095734394</v>
      </c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</row>
    <row r="47" spans="1:23" ht="6.95" customHeight="1" x14ac:dyDescent="0.25">
      <c r="A47" s="41"/>
      <c r="B47" s="92"/>
      <c r="C47" s="91"/>
      <c r="D47" s="59"/>
      <c r="E47" s="96"/>
      <c r="F47" s="63"/>
      <c r="G47" s="59"/>
      <c r="H47" s="96"/>
      <c r="I47" s="96"/>
      <c r="J47" s="59"/>
      <c r="K47" s="96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</row>
    <row r="48" spans="1:23" s="6" customFormat="1" ht="15" customHeight="1" x14ac:dyDescent="0.25">
      <c r="A48" s="57"/>
      <c r="B48" s="90" t="s">
        <v>11</v>
      </c>
      <c r="C48" s="95"/>
      <c r="D48" s="60">
        <v>24107899.534355599</v>
      </c>
      <c r="E48" s="61">
        <v>42.053186002869602</v>
      </c>
      <c r="F48" s="62"/>
      <c r="G48" s="60">
        <v>13069573.614470299</v>
      </c>
      <c r="H48" s="61">
        <v>42.795805907618103</v>
      </c>
      <c r="I48" s="57"/>
      <c r="J48" s="60">
        <v>11467395.781121699</v>
      </c>
      <c r="K48" s="61">
        <v>42.418853560602699</v>
      </c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</row>
    <row r="49" spans="1:23" ht="6.95" customHeight="1" x14ac:dyDescent="0.25">
      <c r="A49" s="41"/>
      <c r="B49" s="102"/>
      <c r="C49" s="52"/>
      <c r="D49" s="80"/>
      <c r="E49" s="80"/>
      <c r="F49" s="103"/>
      <c r="G49" s="80"/>
      <c r="H49" s="80"/>
      <c r="I49" s="80"/>
      <c r="J49" s="80"/>
      <c r="K49" s="80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</row>
    <row r="50" spans="1:23" ht="6.95" customHeight="1" x14ac:dyDescent="0.25">
      <c r="A50" s="41"/>
      <c r="B50" s="104"/>
      <c r="C50" s="105"/>
      <c r="D50" s="87"/>
      <c r="E50" s="87"/>
      <c r="F50" s="87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</row>
    <row r="51" spans="1:23" ht="12" customHeight="1" x14ac:dyDescent="0.25">
      <c r="A51" s="41"/>
      <c r="B51" s="106" t="s">
        <v>96</v>
      </c>
      <c r="C51" s="107"/>
      <c r="D51" s="107"/>
      <c r="E51" s="107"/>
      <c r="F51" s="107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</row>
    <row r="52" spans="1:23" ht="12" customHeight="1" x14ac:dyDescent="0.25">
      <c r="A52" s="41"/>
      <c r="B52" s="307" t="s">
        <v>145</v>
      </c>
      <c r="C52" s="307"/>
      <c r="D52" s="307"/>
      <c r="E52" s="307"/>
      <c r="F52" s="307"/>
      <c r="G52" s="307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</row>
    <row r="53" spans="1:23" s="9" customFormat="1" x14ac:dyDescent="0.25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</row>
  </sheetData>
  <mergeCells count="6">
    <mergeCell ref="B52:G52"/>
    <mergeCell ref="B7:B9"/>
    <mergeCell ref="D7:E8"/>
    <mergeCell ref="G7:K7"/>
    <mergeCell ref="G8:H8"/>
    <mergeCell ref="J8:K8"/>
  </mergeCells>
  <hyperlinks>
    <hyperlink ref="K1" location="ÍNDICE!A1" tooltip="Ir a ÍNDICE" display="ÍNDICE" xr:uid="{B42C1F18-E7AD-4BD2-98F9-98A281587A9B}"/>
  </hyperlink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D4CB-BB9B-45D1-9607-9DED1CD530E5}">
  <dimension ref="A1:W49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85" t="s">
        <v>214</v>
      </c>
      <c r="C1" s="31"/>
      <c r="D1" s="31"/>
      <c r="E1" s="30"/>
      <c r="F1" s="30"/>
      <c r="G1" s="30"/>
      <c r="H1" s="30"/>
      <c r="I1" s="30"/>
      <c r="J1" s="30"/>
      <c r="K1" s="284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15" customHeight="1" x14ac:dyDescent="0.2">
      <c r="A5" s="32"/>
      <c r="B5" s="86" t="s">
        <v>173</v>
      </c>
      <c r="C5" s="37"/>
      <c r="D5" s="39"/>
      <c r="E5" s="39"/>
      <c r="F5" s="39"/>
      <c r="G5" s="38"/>
      <c r="H5" s="34"/>
      <c r="I5" s="32"/>
      <c r="J5" s="32"/>
      <c r="K5" s="40" t="s">
        <v>90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1" t="s">
        <v>13</v>
      </c>
      <c r="C7" s="42"/>
      <c r="D7" s="308" t="s">
        <v>176</v>
      </c>
      <c r="E7" s="308"/>
      <c r="F7" s="43"/>
      <c r="G7" s="310" t="s">
        <v>170</v>
      </c>
      <c r="H7" s="310"/>
      <c r="I7" s="310"/>
      <c r="J7" s="310"/>
      <c r="K7" s="310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2"/>
      <c r="C8" s="47"/>
      <c r="D8" s="309"/>
      <c r="E8" s="309"/>
      <c r="F8" s="26"/>
      <c r="G8" s="309" t="s">
        <v>12</v>
      </c>
      <c r="H8" s="309"/>
      <c r="I8" s="26"/>
      <c r="J8" s="309" t="s">
        <v>0</v>
      </c>
      <c r="K8" s="309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13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46"/>
      <c r="C10" s="108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ht="15" customHeight="1" x14ac:dyDescent="0.25">
      <c r="A11" s="41"/>
      <c r="B11" s="109" t="s">
        <v>1</v>
      </c>
      <c r="C11" s="89"/>
      <c r="D11" s="60">
        <v>51809521.4092163</v>
      </c>
      <c r="E11" s="61">
        <v>100</v>
      </c>
      <c r="F11" s="62"/>
      <c r="G11" s="60">
        <v>28243397.790694501</v>
      </c>
      <c r="H11" s="61">
        <v>100</v>
      </c>
      <c r="I11" s="57"/>
      <c r="J11" s="60">
        <v>24234714.600053001</v>
      </c>
      <c r="K11" s="61">
        <v>100</v>
      </c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</row>
    <row r="12" spans="1:23" ht="6.95" customHeight="1" x14ac:dyDescent="0.25">
      <c r="A12" s="41"/>
      <c r="B12" s="109"/>
      <c r="C12" s="89"/>
      <c r="D12" s="67"/>
      <c r="E12" s="68"/>
      <c r="F12" s="62"/>
      <c r="G12" s="67"/>
      <c r="H12" s="68"/>
      <c r="I12" s="57"/>
      <c r="J12" s="67"/>
      <c r="K12" s="68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ht="15" customHeight="1" x14ac:dyDescent="0.25">
      <c r="A13" s="41"/>
      <c r="B13" s="110" t="s">
        <v>14</v>
      </c>
      <c r="C13" s="111"/>
      <c r="D13" s="67">
        <v>19373696.461887602</v>
      </c>
      <c r="E13" s="68">
        <v>38.164068704765199</v>
      </c>
      <c r="F13" s="70"/>
      <c r="G13" s="67">
        <v>10216139.3596904</v>
      </c>
      <c r="H13" s="68">
        <v>37.335064417992903</v>
      </c>
      <c r="I13" s="41"/>
      <c r="J13" s="67">
        <v>9527367.8236331195</v>
      </c>
      <c r="K13" s="68">
        <v>40.301504935300002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</row>
    <row r="14" spans="1:23" ht="15" customHeight="1" x14ac:dyDescent="0.25">
      <c r="A14" s="41"/>
      <c r="B14" s="110" t="s">
        <v>15</v>
      </c>
      <c r="C14" s="95"/>
      <c r="D14" s="67">
        <v>16770962.466894999</v>
      </c>
      <c r="E14" s="68">
        <v>33.030893648768398</v>
      </c>
      <c r="F14" s="70"/>
      <c r="G14" s="67">
        <v>9347128.3245916292</v>
      </c>
      <c r="H14" s="68">
        <v>34.0122354385962</v>
      </c>
      <c r="I14" s="41"/>
      <c r="J14" s="67">
        <v>7763289.7530313702</v>
      </c>
      <c r="K14" s="68">
        <v>33.072269450454797</v>
      </c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30" customHeight="1" x14ac:dyDescent="0.25">
      <c r="A15" s="41"/>
      <c r="B15" s="112" t="s">
        <v>16</v>
      </c>
      <c r="C15" s="95"/>
      <c r="D15" s="67">
        <v>12857553.5656005</v>
      </c>
      <c r="E15" s="68">
        <v>25.3369820887965</v>
      </c>
      <c r="F15" s="70"/>
      <c r="G15" s="67">
        <v>6319034.6437791297</v>
      </c>
      <c r="H15" s="68">
        <v>23.093056921928401</v>
      </c>
      <c r="I15" s="41"/>
      <c r="J15" s="67">
        <v>6839524.63736491</v>
      </c>
      <c r="K15" s="68">
        <v>29.029214028751699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15" customHeight="1" x14ac:dyDescent="0.25">
      <c r="A16" s="41"/>
      <c r="B16" s="112" t="s">
        <v>17</v>
      </c>
      <c r="C16" s="95"/>
      <c r="D16" s="67">
        <v>6152493.5435591303</v>
      </c>
      <c r="E16" s="68">
        <v>12.1524419210125</v>
      </c>
      <c r="F16" s="70"/>
      <c r="G16" s="67">
        <v>3711855.3952736398</v>
      </c>
      <c r="H16" s="68">
        <v>13.6246549574846</v>
      </c>
      <c r="I16" s="41"/>
      <c r="J16" s="67">
        <v>2657137.1879960699</v>
      </c>
      <c r="K16" s="68">
        <v>11.3373348077057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15" customHeight="1" x14ac:dyDescent="0.25">
      <c r="A17" s="41"/>
      <c r="B17" s="112" t="s">
        <v>18</v>
      </c>
      <c r="C17" s="95"/>
      <c r="D17" s="67">
        <v>7096285.11321015</v>
      </c>
      <c r="E17" s="68">
        <v>13.9654993213527</v>
      </c>
      <c r="F17" s="70"/>
      <c r="G17" s="67">
        <v>4772541.1364573399</v>
      </c>
      <c r="H17" s="68">
        <v>17.306967376139401</v>
      </c>
      <c r="I17" s="41"/>
      <c r="J17" s="67">
        <v>2538220.2644027402</v>
      </c>
      <c r="K17" s="68">
        <v>10.858986595045501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15" customHeight="1" x14ac:dyDescent="0.25">
      <c r="A18" s="41"/>
      <c r="B18" s="110" t="s">
        <v>19</v>
      </c>
      <c r="C18" s="95"/>
      <c r="D18" s="67">
        <v>3935914.3008369398</v>
      </c>
      <c r="E18" s="68">
        <v>7.8022658403633001</v>
      </c>
      <c r="F18" s="70"/>
      <c r="G18" s="67">
        <v>2344750.8391853198</v>
      </c>
      <c r="H18" s="68">
        <v>8.5901382286521795</v>
      </c>
      <c r="I18" s="41"/>
      <c r="J18" s="67">
        <v>1744306.50797922</v>
      </c>
      <c r="K18" s="68">
        <v>7.49581262876635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15" customHeight="1" x14ac:dyDescent="0.25">
      <c r="A19" s="41"/>
      <c r="B19" s="110" t="s">
        <v>20</v>
      </c>
      <c r="C19" s="95"/>
      <c r="D19" s="67">
        <v>3664326.3896478098</v>
      </c>
      <c r="E19" s="68">
        <v>7.2293662359512698</v>
      </c>
      <c r="F19" s="70"/>
      <c r="G19" s="67">
        <v>1640902.8189342399</v>
      </c>
      <c r="H19" s="68">
        <v>6.0237934069772097</v>
      </c>
      <c r="I19" s="41"/>
      <c r="J19" s="67">
        <v>2172004.9273280501</v>
      </c>
      <c r="K19" s="68">
        <v>9.2414270743575493</v>
      </c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ht="15" customHeight="1" x14ac:dyDescent="0.25">
      <c r="A20" s="41"/>
      <c r="B20" s="110" t="s">
        <v>21</v>
      </c>
      <c r="C20" s="95"/>
      <c r="D20" s="67">
        <v>868839.47365916404</v>
      </c>
      <c r="E20" s="68">
        <v>1.72349841788101</v>
      </c>
      <c r="F20" s="70"/>
      <c r="G20" s="67">
        <v>515104.33351971803</v>
      </c>
      <c r="H20" s="68">
        <v>1.8947145150666</v>
      </c>
      <c r="I20" s="41"/>
      <c r="J20" s="67">
        <v>433069.95614023402</v>
      </c>
      <c r="K20" s="68">
        <v>1.86056851468156</v>
      </c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1:23" ht="15" customHeight="1" x14ac:dyDescent="0.25">
      <c r="A21" s="41"/>
      <c r="B21" s="110" t="s">
        <v>22</v>
      </c>
      <c r="C21" s="95"/>
      <c r="D21" s="67">
        <v>780001.90585668001</v>
      </c>
      <c r="E21" s="68">
        <v>1.54326961080984</v>
      </c>
      <c r="F21" s="70"/>
      <c r="G21" s="67">
        <v>488681.48372307298</v>
      </c>
      <c r="H21" s="68">
        <v>1.79494961089585</v>
      </c>
      <c r="I21" s="41"/>
      <c r="J21" s="67">
        <v>347923.38856109499</v>
      </c>
      <c r="K21" s="68">
        <v>1.49496552818566</v>
      </c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ht="6.95" customHeight="1" x14ac:dyDescent="0.25">
      <c r="A22" s="41"/>
      <c r="B22" s="113"/>
      <c r="C22" s="114"/>
      <c r="D22" s="115"/>
      <c r="E22" s="116"/>
      <c r="F22" s="77"/>
      <c r="G22" s="115"/>
      <c r="H22" s="116"/>
      <c r="I22" s="116"/>
      <c r="J22" s="115"/>
      <c r="K22" s="116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</row>
    <row r="23" spans="1:23" ht="15" customHeight="1" x14ac:dyDescent="0.25">
      <c r="A23" s="41"/>
      <c r="B23" s="117" t="s">
        <v>2</v>
      </c>
      <c r="C23" s="95"/>
      <c r="D23" s="60">
        <v>18142590.743761301</v>
      </c>
      <c r="E23" s="61">
        <v>100</v>
      </c>
      <c r="F23" s="62"/>
      <c r="G23" s="60">
        <v>10235570.445862301</v>
      </c>
      <c r="H23" s="61">
        <v>100</v>
      </c>
      <c r="I23" s="57"/>
      <c r="J23" s="60">
        <v>8213908.8980106302</v>
      </c>
      <c r="K23" s="61">
        <v>100</v>
      </c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</row>
    <row r="24" spans="1:23" ht="6.95" customHeight="1" x14ac:dyDescent="0.25">
      <c r="A24" s="41"/>
      <c r="B24" s="118"/>
      <c r="C24" s="95"/>
      <c r="D24" s="67"/>
      <c r="E24" s="68"/>
      <c r="F24" s="62"/>
      <c r="G24" s="67"/>
      <c r="H24" s="68"/>
      <c r="I24" s="57"/>
      <c r="J24" s="67"/>
      <c r="K24" s="68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</row>
    <row r="25" spans="1:23" ht="15" customHeight="1" x14ac:dyDescent="0.25">
      <c r="A25" s="41"/>
      <c r="B25" s="110" t="s">
        <v>14</v>
      </c>
      <c r="C25" s="111"/>
      <c r="D25" s="67">
        <v>7059973.7353615602</v>
      </c>
      <c r="E25" s="68">
        <v>41.081997535812903</v>
      </c>
      <c r="F25" s="70"/>
      <c r="G25" s="67">
        <v>3930753.1871929602</v>
      </c>
      <c r="H25" s="68">
        <v>41.288300502565797</v>
      </c>
      <c r="I25" s="41"/>
      <c r="J25" s="67">
        <v>3311789.1231771801</v>
      </c>
      <c r="K25" s="68">
        <v>42.637997603094902</v>
      </c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 spans="1:23" ht="15" customHeight="1" x14ac:dyDescent="0.25">
      <c r="A26" s="41"/>
      <c r="B26" s="110" t="s">
        <v>15</v>
      </c>
      <c r="C26" s="95"/>
      <c r="D26" s="67">
        <v>5563544.1344447304</v>
      </c>
      <c r="E26" s="68">
        <v>32.063698359112003</v>
      </c>
      <c r="F26" s="70"/>
      <c r="G26" s="67">
        <v>3208076.5290390402</v>
      </c>
      <c r="H26" s="68">
        <v>33.131380637536601</v>
      </c>
      <c r="I26" s="41"/>
      <c r="J26" s="67">
        <v>2511297.0379809202</v>
      </c>
      <c r="K26" s="68">
        <v>32.605189521552902</v>
      </c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</row>
    <row r="27" spans="1:23" ht="30" customHeight="1" x14ac:dyDescent="0.25">
      <c r="A27" s="41"/>
      <c r="B27" s="112" t="s">
        <v>16</v>
      </c>
      <c r="C27" s="95"/>
      <c r="D27" s="67">
        <v>4546565.1192495599</v>
      </c>
      <c r="E27" s="68">
        <v>26.489784490151401</v>
      </c>
      <c r="F27" s="70"/>
      <c r="G27" s="67">
        <v>2370892.39847065</v>
      </c>
      <c r="H27" s="68">
        <v>24.770064932703601</v>
      </c>
      <c r="I27" s="41"/>
      <c r="J27" s="67">
        <v>2321651.3718466801</v>
      </c>
      <c r="K27" s="68">
        <v>30.534366982337801</v>
      </c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</row>
    <row r="28" spans="1:23" ht="15" customHeight="1" x14ac:dyDescent="0.25">
      <c r="A28" s="41"/>
      <c r="B28" s="112" t="s">
        <v>17</v>
      </c>
      <c r="C28" s="95"/>
      <c r="D28" s="67">
        <v>2625905.9837813801</v>
      </c>
      <c r="E28" s="68">
        <v>15.417515442627399</v>
      </c>
      <c r="F28" s="70"/>
      <c r="G28" s="67">
        <v>1589243.3515854799</v>
      </c>
      <c r="H28" s="68">
        <v>16.975070685555</v>
      </c>
      <c r="I28" s="41"/>
      <c r="J28" s="67">
        <v>1164609.9499333601</v>
      </c>
      <c r="K28" s="68">
        <v>15.240367736659699</v>
      </c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ht="15" customHeight="1" x14ac:dyDescent="0.25">
      <c r="A29" s="41"/>
      <c r="B29" s="112" t="s">
        <v>18</v>
      </c>
      <c r="C29" s="95"/>
      <c r="D29" s="67">
        <v>2719258.7135915202</v>
      </c>
      <c r="E29" s="68">
        <v>15.7698239462229</v>
      </c>
      <c r="F29" s="70"/>
      <c r="G29" s="67">
        <v>1942710.0189966101</v>
      </c>
      <c r="H29" s="68">
        <v>19.965438730128501</v>
      </c>
      <c r="I29" s="41"/>
      <c r="J29" s="67">
        <v>885717.94265097799</v>
      </c>
      <c r="K29" s="68">
        <v>11.749161164959199</v>
      </c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</row>
    <row r="30" spans="1:23" ht="15" customHeight="1" x14ac:dyDescent="0.25">
      <c r="A30" s="41"/>
      <c r="B30" s="110" t="s">
        <v>19</v>
      </c>
      <c r="C30" s="95"/>
      <c r="D30" s="67">
        <v>813825.24523588095</v>
      </c>
      <c r="E30" s="68">
        <v>4.8094298870005199</v>
      </c>
      <c r="F30" s="70"/>
      <c r="G30" s="67">
        <v>551095.90225583105</v>
      </c>
      <c r="H30" s="68">
        <v>5.8532559483013804</v>
      </c>
      <c r="I30" s="41"/>
      <c r="J30" s="67">
        <v>329722.14393271098</v>
      </c>
      <c r="K30" s="68">
        <v>4.4022578587102403</v>
      </c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ht="15" customHeight="1" x14ac:dyDescent="0.25">
      <c r="A31" s="41"/>
      <c r="B31" s="110" t="s">
        <v>20</v>
      </c>
      <c r="C31" s="95"/>
      <c r="D31" s="67">
        <v>1674519.15987848</v>
      </c>
      <c r="E31" s="68">
        <v>9.7720432102368999</v>
      </c>
      <c r="F31" s="70"/>
      <c r="G31" s="67">
        <v>816187.77385332598</v>
      </c>
      <c r="H31" s="68">
        <v>8.5992153972363603</v>
      </c>
      <c r="I31" s="41"/>
      <c r="J31" s="67">
        <v>965761.71708305401</v>
      </c>
      <c r="K31" s="68">
        <v>12.5441793130879</v>
      </c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 spans="1:23" ht="15" customHeight="1" x14ac:dyDescent="0.25">
      <c r="A32" s="41"/>
      <c r="B32" s="110" t="s">
        <v>21</v>
      </c>
      <c r="C32" s="95"/>
      <c r="D32" s="67">
        <v>297383.577821168</v>
      </c>
      <c r="E32" s="68">
        <v>1.7723318237542001</v>
      </c>
      <c r="F32" s="70"/>
      <c r="G32" s="67">
        <v>242846.99986504699</v>
      </c>
      <c r="H32" s="68">
        <v>2.59311721293835</v>
      </c>
      <c r="I32" s="41"/>
      <c r="J32" s="67">
        <v>92194.272138111701</v>
      </c>
      <c r="K32" s="68">
        <v>1.2376873142626099</v>
      </c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ht="15" customHeight="1" x14ac:dyDescent="0.25">
      <c r="A33" s="41"/>
      <c r="B33" s="110" t="s">
        <v>22</v>
      </c>
      <c r="C33" s="95"/>
      <c r="D33" s="67">
        <v>228900.27317968899</v>
      </c>
      <c r="E33" s="68">
        <v>1.35585190822753</v>
      </c>
      <c r="F33" s="70"/>
      <c r="G33" s="67">
        <v>136054.092643693</v>
      </c>
      <c r="H33" s="68">
        <v>1.4481621343137301</v>
      </c>
      <c r="I33" s="41"/>
      <c r="J33" s="67">
        <v>120964.073008951</v>
      </c>
      <c r="K33" s="68">
        <v>1.6250642599646301</v>
      </c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</row>
    <row r="34" spans="1:23" ht="6.95" customHeight="1" x14ac:dyDescent="0.25">
      <c r="A34" s="41"/>
      <c r="B34" s="113"/>
      <c r="C34" s="114"/>
      <c r="D34" s="115"/>
      <c r="E34" s="116"/>
      <c r="F34" s="77"/>
      <c r="G34" s="115"/>
      <c r="H34" s="116"/>
      <c r="I34" s="116"/>
      <c r="J34" s="115"/>
      <c r="K34" s="116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 spans="1:23" ht="15" customHeight="1" x14ac:dyDescent="0.25">
      <c r="A35" s="41"/>
      <c r="B35" s="117" t="s">
        <v>3</v>
      </c>
      <c r="C35" s="95"/>
      <c r="D35" s="60">
        <v>35154682.745921202</v>
      </c>
      <c r="E35" s="61">
        <v>100</v>
      </c>
      <c r="F35" s="62"/>
      <c r="G35" s="60">
        <v>18886826.861716501</v>
      </c>
      <c r="H35" s="61">
        <v>100</v>
      </c>
      <c r="I35" s="57"/>
      <c r="J35" s="60">
        <v>16682091.8622499</v>
      </c>
      <c r="K35" s="61">
        <v>100</v>
      </c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</row>
    <row r="36" spans="1:23" ht="6.95" customHeight="1" x14ac:dyDescent="0.25">
      <c r="A36" s="41"/>
      <c r="B36" s="118"/>
      <c r="C36" s="95"/>
      <c r="D36" s="67"/>
      <c r="E36" s="68"/>
      <c r="F36" s="62"/>
      <c r="G36" s="67"/>
      <c r="H36" s="68"/>
      <c r="I36" s="57"/>
      <c r="J36" s="67"/>
      <c r="K36" s="68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  <row r="37" spans="1:23" ht="15" customHeight="1" x14ac:dyDescent="0.25">
      <c r="A37" s="41"/>
      <c r="B37" s="110" t="s">
        <v>14</v>
      </c>
      <c r="C37" s="111"/>
      <c r="D37" s="67">
        <v>12913280.484028099</v>
      </c>
      <c r="E37" s="68">
        <v>37.738622431673797</v>
      </c>
      <c r="F37" s="70"/>
      <c r="G37" s="67">
        <v>6640993.7970360601</v>
      </c>
      <c r="H37" s="68">
        <v>36.620903289755802</v>
      </c>
      <c r="I37" s="41"/>
      <c r="J37" s="67">
        <v>6557078.4994788803</v>
      </c>
      <c r="K37" s="68">
        <v>40.536243881774503</v>
      </c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</row>
    <row r="38" spans="1:23" ht="15" customHeight="1" x14ac:dyDescent="0.25">
      <c r="A38" s="41"/>
      <c r="B38" s="110" t="s">
        <v>15</v>
      </c>
      <c r="C38" s="95"/>
      <c r="D38" s="67">
        <v>11777713.000300299</v>
      </c>
      <c r="E38" s="68">
        <v>34.522457879125596</v>
      </c>
      <c r="F38" s="70"/>
      <c r="G38" s="67">
        <v>6497422.3575777803</v>
      </c>
      <c r="H38" s="68">
        <v>35.707371193422098</v>
      </c>
      <c r="I38" s="41"/>
      <c r="J38" s="67">
        <v>5537690.4323125603</v>
      </c>
      <c r="K38" s="68">
        <v>34.570169585395902</v>
      </c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</row>
    <row r="39" spans="1:23" ht="30" customHeight="1" x14ac:dyDescent="0.25">
      <c r="A39" s="41"/>
      <c r="B39" s="112" t="s">
        <v>16</v>
      </c>
      <c r="C39" s="95"/>
      <c r="D39" s="67">
        <v>8724030.9416111205</v>
      </c>
      <c r="E39" s="68">
        <v>25.603593049629399</v>
      </c>
      <c r="F39" s="70"/>
      <c r="G39" s="67">
        <v>4211259.6961447503</v>
      </c>
      <c r="H39" s="68">
        <v>23.250854446453399</v>
      </c>
      <c r="I39" s="41"/>
      <c r="J39" s="67">
        <v>4744598.8190485202</v>
      </c>
      <c r="K39" s="68">
        <v>29.435959757702001</v>
      </c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</row>
    <row r="40" spans="1:23" ht="15" customHeight="1" x14ac:dyDescent="0.25">
      <c r="A40" s="41"/>
      <c r="B40" s="112" t="s">
        <v>17</v>
      </c>
      <c r="C40" s="95"/>
      <c r="D40" s="67">
        <v>3785917.9933928899</v>
      </c>
      <c r="E40" s="68">
        <v>11.1658641457717</v>
      </c>
      <c r="F40" s="70"/>
      <c r="G40" s="67">
        <v>2297076.9366420899</v>
      </c>
      <c r="H40" s="68">
        <v>12.7775955985193</v>
      </c>
      <c r="I40" s="41"/>
      <c r="J40" s="67">
        <v>1648869.9119659499</v>
      </c>
      <c r="K40" s="68">
        <v>10.354832069461001</v>
      </c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</row>
    <row r="41" spans="1:23" ht="15" customHeight="1" x14ac:dyDescent="0.25">
      <c r="A41" s="41"/>
      <c r="B41" s="112" t="s">
        <v>18</v>
      </c>
      <c r="C41" s="95"/>
      <c r="D41" s="67">
        <v>4687809.3933901601</v>
      </c>
      <c r="E41" s="68">
        <v>13.772708465784101</v>
      </c>
      <c r="F41" s="70"/>
      <c r="G41" s="67">
        <v>3077856.3312682202</v>
      </c>
      <c r="H41" s="68">
        <v>16.917581546155599</v>
      </c>
      <c r="I41" s="41"/>
      <c r="J41" s="67">
        <v>1794903.2469240001</v>
      </c>
      <c r="K41" s="68">
        <v>11.266966482939701</v>
      </c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</row>
    <row r="42" spans="1:23" ht="15" customHeight="1" x14ac:dyDescent="0.25">
      <c r="A42" s="41"/>
      <c r="B42" s="110" t="s">
        <v>19</v>
      </c>
      <c r="C42" s="95"/>
      <c r="D42" s="67">
        <v>3257616.4310673401</v>
      </c>
      <c r="E42" s="68">
        <v>9.6472997822442093</v>
      </c>
      <c r="F42" s="70"/>
      <c r="G42" s="67">
        <v>1905487.3156095799</v>
      </c>
      <c r="H42" s="68">
        <v>10.565534930768001</v>
      </c>
      <c r="I42" s="41"/>
      <c r="J42" s="67">
        <v>1490616.49136944</v>
      </c>
      <c r="K42" s="68">
        <v>9.4227477038204199</v>
      </c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</row>
    <row r="43" spans="1:23" ht="15" customHeight="1" x14ac:dyDescent="0.25">
      <c r="A43" s="41"/>
      <c r="B43" s="110" t="s">
        <v>20</v>
      </c>
      <c r="C43" s="95"/>
      <c r="D43" s="67">
        <v>2196118.01660557</v>
      </c>
      <c r="E43" s="68">
        <v>6.4738300897065999</v>
      </c>
      <c r="F43" s="70"/>
      <c r="G43" s="67">
        <v>939620.077461896</v>
      </c>
      <c r="H43" s="68">
        <v>5.2618681096128697</v>
      </c>
      <c r="I43" s="41"/>
      <c r="J43" s="67">
        <v>1349001.76248934</v>
      </c>
      <c r="K43" s="68">
        <v>8.45861766412626</v>
      </c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</row>
    <row r="44" spans="1:23" ht="15" customHeight="1" x14ac:dyDescent="0.25">
      <c r="A44" s="41"/>
      <c r="B44" s="110" t="s">
        <v>21</v>
      </c>
      <c r="C44" s="95"/>
      <c r="D44" s="67">
        <v>649549.68502057705</v>
      </c>
      <c r="E44" s="68">
        <v>1.9333617177953499</v>
      </c>
      <c r="F44" s="70"/>
      <c r="G44" s="67">
        <v>332281.71463580802</v>
      </c>
      <c r="H44" s="68">
        <v>1.8677074563223699</v>
      </c>
      <c r="I44" s="41"/>
      <c r="J44" s="67">
        <v>377498.944229018</v>
      </c>
      <c r="K44" s="68">
        <v>2.3839575087182898</v>
      </c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</row>
    <row r="45" spans="1:23" ht="15" customHeight="1" x14ac:dyDescent="0.25">
      <c r="A45" s="41"/>
      <c r="B45" s="110" t="s">
        <v>22</v>
      </c>
      <c r="C45" s="95"/>
      <c r="D45" s="67">
        <v>601168.84049512597</v>
      </c>
      <c r="E45" s="68">
        <v>1.77963169297472</v>
      </c>
      <c r="F45" s="70"/>
      <c r="G45" s="67">
        <v>390276.49175496201</v>
      </c>
      <c r="H45" s="68">
        <v>2.1850646032879601</v>
      </c>
      <c r="I45" s="41"/>
      <c r="J45" s="67">
        <v>258704.36663045699</v>
      </c>
      <c r="K45" s="68">
        <v>1.6310111090110999</v>
      </c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</row>
    <row r="46" spans="1:23" ht="6.95" customHeight="1" x14ac:dyDescent="0.25">
      <c r="A46" s="41"/>
      <c r="B46" s="51"/>
      <c r="C46" s="119"/>
      <c r="D46" s="120"/>
      <c r="E46" s="120"/>
      <c r="F46" s="120"/>
      <c r="G46" s="80"/>
      <c r="H46" s="80"/>
      <c r="I46" s="80"/>
      <c r="J46" s="80"/>
      <c r="K46" s="80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</row>
    <row r="47" spans="1:23" ht="6.95" customHeight="1" x14ac:dyDescent="0.25">
      <c r="A47" s="41"/>
      <c r="B47" s="46"/>
      <c r="C47" s="108"/>
      <c r="D47" s="121"/>
      <c r="E47" s="121"/>
      <c r="F47" s="12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</row>
    <row r="48" spans="1:23" ht="12" customHeight="1" x14ac:dyDescent="0.25">
      <c r="A48" s="41"/>
      <c r="B48" s="106" t="s">
        <v>128</v>
      </c>
      <c r="C48" s="122"/>
      <c r="D48" s="122"/>
      <c r="E48" s="122"/>
      <c r="F48" s="122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</row>
    <row r="49" spans="1:23" ht="12" customHeight="1" x14ac:dyDescent="0.25">
      <c r="A49" s="41"/>
      <c r="B49" s="307" t="s">
        <v>145</v>
      </c>
      <c r="C49" s="307"/>
      <c r="D49" s="307"/>
      <c r="E49" s="307"/>
      <c r="F49" s="307"/>
      <c r="G49" s="307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</row>
  </sheetData>
  <mergeCells count="6">
    <mergeCell ref="B49:G49"/>
    <mergeCell ref="B7:B9"/>
    <mergeCell ref="D7:E8"/>
    <mergeCell ref="G7:K7"/>
    <mergeCell ref="G8:H8"/>
    <mergeCell ref="J8:K8"/>
  </mergeCells>
  <hyperlinks>
    <hyperlink ref="K1" location="ÍNDICE!A1" tooltip="Ir a ÍNDICE" display="ÍNDICE" xr:uid="{9DF48171-3B96-4B16-91E6-70DEDC2C459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0B136-17DA-40BA-A1F7-160097A8A45C}">
  <dimension ref="A1:W37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85" t="s">
        <v>214</v>
      </c>
      <c r="C1" s="31"/>
      <c r="D1" s="31"/>
      <c r="E1" s="30"/>
      <c r="F1" s="30"/>
      <c r="G1" s="30"/>
      <c r="H1" s="30"/>
      <c r="I1" s="30"/>
      <c r="J1" s="30"/>
      <c r="K1" s="284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15" customHeight="1" x14ac:dyDescent="0.2">
      <c r="A5" s="32"/>
      <c r="B5" s="86" t="s">
        <v>174</v>
      </c>
      <c r="C5" s="86"/>
      <c r="D5" s="86"/>
      <c r="E5" s="86"/>
      <c r="F5" s="86"/>
      <c r="G5" s="86"/>
      <c r="H5" s="34"/>
      <c r="I5" s="32"/>
      <c r="J5" s="32"/>
      <c r="K5" s="40" t="s">
        <v>89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1" t="s">
        <v>76</v>
      </c>
      <c r="C7" s="42"/>
      <c r="D7" s="308" t="s">
        <v>177</v>
      </c>
      <c r="E7" s="308"/>
      <c r="F7" s="43"/>
      <c r="G7" s="310" t="s">
        <v>170</v>
      </c>
      <c r="H7" s="310"/>
      <c r="I7" s="310"/>
      <c r="J7" s="310"/>
      <c r="K7" s="310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2"/>
      <c r="C8" s="47"/>
      <c r="D8" s="309"/>
      <c r="E8" s="309"/>
      <c r="F8" s="26"/>
      <c r="G8" s="309" t="s">
        <v>12</v>
      </c>
      <c r="H8" s="309"/>
      <c r="I8" s="26"/>
      <c r="J8" s="309" t="s">
        <v>0</v>
      </c>
      <c r="K8" s="309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13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123"/>
      <c r="C10" s="123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ht="15" customHeight="1" x14ac:dyDescent="0.25">
      <c r="A11" s="41"/>
      <c r="B11" s="124" t="s">
        <v>4</v>
      </c>
      <c r="C11" s="59"/>
      <c r="D11" s="60">
        <v>51809521.4092163</v>
      </c>
      <c r="E11" s="61">
        <v>100</v>
      </c>
      <c r="F11" s="62"/>
      <c r="G11" s="60">
        <v>28243397.790694501</v>
      </c>
      <c r="H11" s="61">
        <v>100</v>
      </c>
      <c r="I11" s="57"/>
      <c r="J11" s="60">
        <v>24234714.600053001</v>
      </c>
      <c r="K11" s="61">
        <v>100</v>
      </c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</row>
    <row r="12" spans="1:23" ht="6.95" customHeight="1" x14ac:dyDescent="0.25">
      <c r="A12" s="41"/>
      <c r="B12" s="124"/>
      <c r="C12" s="59"/>
      <c r="D12" s="67"/>
      <c r="E12" s="68"/>
      <c r="F12" s="62"/>
      <c r="G12" s="67"/>
      <c r="H12" s="68"/>
      <c r="I12" s="57"/>
      <c r="J12" s="67"/>
      <c r="K12" s="68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ht="15" customHeight="1" x14ac:dyDescent="0.25">
      <c r="A13" s="41"/>
      <c r="B13" s="125" t="s">
        <v>97</v>
      </c>
      <c r="C13" s="91"/>
      <c r="D13" s="67">
        <v>6522962.9562812997</v>
      </c>
      <c r="E13" s="68">
        <v>12.877148443795599</v>
      </c>
      <c r="F13" s="70"/>
      <c r="G13" s="67">
        <v>4021729.5315940799</v>
      </c>
      <c r="H13" s="68">
        <v>14.688258416612801</v>
      </c>
      <c r="I13" s="41"/>
      <c r="J13" s="67">
        <v>2694726.0465881499</v>
      </c>
      <c r="K13" s="68">
        <v>11.5069372963011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</row>
    <row r="14" spans="1:23" ht="15" customHeight="1" x14ac:dyDescent="0.25">
      <c r="A14" s="41"/>
      <c r="B14" s="125" t="s">
        <v>98</v>
      </c>
      <c r="C14" s="95"/>
      <c r="D14" s="67">
        <v>8308973.9005138604</v>
      </c>
      <c r="E14" s="68">
        <v>16.387993510604002</v>
      </c>
      <c r="F14" s="70"/>
      <c r="G14" s="67">
        <v>4998235.6734974096</v>
      </c>
      <c r="H14" s="68">
        <v>18.243243793007501</v>
      </c>
      <c r="I14" s="41"/>
      <c r="J14" s="67">
        <v>3518551.8715166501</v>
      </c>
      <c r="K14" s="68">
        <v>15.031202851323201</v>
      </c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15" customHeight="1" x14ac:dyDescent="0.25">
      <c r="A15" s="41"/>
      <c r="B15" s="125" t="s">
        <v>99</v>
      </c>
      <c r="C15" s="95"/>
      <c r="D15" s="67">
        <v>13437293.4078863</v>
      </c>
      <c r="E15" s="68">
        <v>26.4700933290408</v>
      </c>
      <c r="F15" s="70"/>
      <c r="G15" s="67">
        <v>7449618.2616005503</v>
      </c>
      <c r="H15" s="68">
        <v>27.2275523405733</v>
      </c>
      <c r="I15" s="41"/>
      <c r="J15" s="67">
        <v>6271496.7127092602</v>
      </c>
      <c r="K15" s="68">
        <v>26.692375521919502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15" customHeight="1" x14ac:dyDescent="0.25">
      <c r="A16" s="41"/>
      <c r="B16" s="125" t="s">
        <v>100</v>
      </c>
      <c r="C16" s="95"/>
      <c r="D16" s="67">
        <v>23524688.030626699</v>
      </c>
      <c r="E16" s="68">
        <v>46.243748158235903</v>
      </c>
      <c r="F16" s="70"/>
      <c r="G16" s="67">
        <v>11905536.432992199</v>
      </c>
      <c r="H16" s="68">
        <v>43.225527008054001</v>
      </c>
      <c r="I16" s="41"/>
      <c r="J16" s="67">
        <v>12059138.168877101</v>
      </c>
      <c r="K16" s="68">
        <v>50.927787810610504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15" customHeight="1" x14ac:dyDescent="0.25">
      <c r="A17" s="41"/>
      <c r="B17" s="126" t="s">
        <v>118</v>
      </c>
      <c r="C17" s="127"/>
      <c r="D17" s="67">
        <v>1869673.29313979</v>
      </c>
      <c r="E17" s="68">
        <v>3.7024307233441101</v>
      </c>
      <c r="F17" s="70"/>
      <c r="G17" s="67">
        <v>1213556.6412273601</v>
      </c>
      <c r="H17" s="68">
        <v>4.4629072778524197</v>
      </c>
      <c r="I17" s="41"/>
      <c r="J17" s="67">
        <v>794503.32398868201</v>
      </c>
      <c r="K17" s="68">
        <v>3.4099941513179801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6.95" customHeight="1" x14ac:dyDescent="0.25">
      <c r="A18" s="41"/>
      <c r="B18" s="128"/>
      <c r="C18" s="127"/>
      <c r="D18" s="115"/>
      <c r="E18" s="116"/>
      <c r="F18" s="77"/>
      <c r="G18" s="115"/>
      <c r="H18" s="116"/>
      <c r="I18" s="116"/>
      <c r="J18" s="115"/>
      <c r="K18" s="116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15" customHeight="1" x14ac:dyDescent="0.25">
      <c r="A19" s="41"/>
      <c r="B19" s="129" t="s">
        <v>2</v>
      </c>
      <c r="C19" s="95"/>
      <c r="D19" s="60">
        <v>18142590.743761301</v>
      </c>
      <c r="E19" s="61">
        <v>100</v>
      </c>
      <c r="F19" s="62"/>
      <c r="G19" s="60">
        <v>10235570.445862301</v>
      </c>
      <c r="H19" s="61">
        <v>100</v>
      </c>
      <c r="I19" s="57"/>
      <c r="J19" s="60">
        <v>8213908.8980106302</v>
      </c>
      <c r="K19" s="61">
        <v>100</v>
      </c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ht="6.95" customHeight="1" x14ac:dyDescent="0.25">
      <c r="A20" s="41"/>
      <c r="B20" s="130"/>
      <c r="C20" s="95"/>
      <c r="D20" s="67"/>
      <c r="E20" s="68"/>
      <c r="F20" s="62"/>
      <c r="G20" s="67"/>
      <c r="H20" s="68"/>
      <c r="I20" s="57"/>
      <c r="J20" s="67"/>
      <c r="K20" s="68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1:23" ht="15" customHeight="1" x14ac:dyDescent="0.25">
      <c r="A21" s="41"/>
      <c r="B21" s="125" t="s">
        <v>97</v>
      </c>
      <c r="C21" s="91"/>
      <c r="D21" s="67">
        <v>2851093.1912349998</v>
      </c>
      <c r="E21" s="68">
        <v>16.8332237383242</v>
      </c>
      <c r="F21" s="70"/>
      <c r="G21" s="67">
        <v>1902324.3789347601</v>
      </c>
      <c r="H21" s="68">
        <v>20.0152934308874</v>
      </c>
      <c r="I21" s="41"/>
      <c r="J21" s="67">
        <v>1071362.4892825801</v>
      </c>
      <c r="K21" s="68">
        <v>14.1696226511998</v>
      </c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ht="15" customHeight="1" x14ac:dyDescent="0.25">
      <c r="A22" s="41"/>
      <c r="B22" s="125" t="s">
        <v>98</v>
      </c>
      <c r="C22" s="95"/>
      <c r="D22" s="67">
        <v>3425857.9197197999</v>
      </c>
      <c r="E22" s="68">
        <v>19.8991735634471</v>
      </c>
      <c r="F22" s="70"/>
      <c r="G22" s="67">
        <v>2148435.2006548</v>
      </c>
      <c r="H22" s="68">
        <v>22.1543795053141</v>
      </c>
      <c r="I22" s="41"/>
      <c r="J22" s="67">
        <v>1390934.11983515</v>
      </c>
      <c r="K22" s="68">
        <v>18.375831747811599</v>
      </c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</row>
    <row r="23" spans="1:23" ht="15" customHeight="1" x14ac:dyDescent="0.25">
      <c r="A23" s="41"/>
      <c r="B23" s="125" t="s">
        <v>99</v>
      </c>
      <c r="C23" s="95"/>
      <c r="D23" s="67">
        <v>4140972.9802343501</v>
      </c>
      <c r="E23" s="68">
        <v>24.1127449642137</v>
      </c>
      <c r="F23" s="70"/>
      <c r="G23" s="67">
        <v>2342444.9703373001</v>
      </c>
      <c r="H23" s="68">
        <v>24.613501182440299</v>
      </c>
      <c r="I23" s="41"/>
      <c r="J23" s="67">
        <v>1895831.4123379299</v>
      </c>
      <c r="K23" s="68">
        <v>24.857570787328601</v>
      </c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</row>
    <row r="24" spans="1:23" ht="15" customHeight="1" x14ac:dyDescent="0.25">
      <c r="A24" s="41"/>
      <c r="B24" s="125" t="s">
        <v>100</v>
      </c>
      <c r="C24" s="95"/>
      <c r="D24" s="67">
        <v>7802712.3533079997</v>
      </c>
      <c r="E24" s="68">
        <v>44.558883648494799</v>
      </c>
      <c r="F24" s="70"/>
      <c r="G24" s="67">
        <v>3974276.56130222</v>
      </c>
      <c r="H24" s="68">
        <v>40.674013840762598</v>
      </c>
      <c r="I24" s="41"/>
      <c r="J24" s="67">
        <v>4030121.7674829899</v>
      </c>
      <c r="K24" s="68">
        <v>51.182940595944203</v>
      </c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</row>
    <row r="25" spans="1:23" ht="15" customHeight="1" x14ac:dyDescent="0.25">
      <c r="A25" s="41"/>
      <c r="B25" s="126" t="s">
        <v>118</v>
      </c>
      <c r="C25" s="127"/>
      <c r="D25" s="67">
        <v>840265.22740279802</v>
      </c>
      <c r="E25" s="68">
        <v>4.9405166967743801</v>
      </c>
      <c r="F25" s="70"/>
      <c r="G25" s="67">
        <v>560754.68416858802</v>
      </c>
      <c r="H25" s="68">
        <v>5.9561351050226499</v>
      </c>
      <c r="I25" s="41"/>
      <c r="J25" s="67">
        <v>381187.66849113</v>
      </c>
      <c r="K25" s="68">
        <v>5.0711487495650402</v>
      </c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 spans="1:23" ht="6.95" customHeight="1" x14ac:dyDescent="0.25">
      <c r="A26" s="41"/>
      <c r="B26" s="130"/>
      <c r="C26" s="95"/>
      <c r="D26" s="131"/>
      <c r="E26" s="131"/>
      <c r="F26" s="131"/>
      <c r="G26" s="131"/>
      <c r="H26" s="131"/>
      <c r="I26" s="131"/>
      <c r="J26" s="131"/>
      <c r="K26" s="13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</row>
    <row r="27" spans="1:23" ht="15" customHeight="1" x14ac:dyDescent="0.25">
      <c r="A27" s="41"/>
      <c r="B27" s="129" t="s">
        <v>3</v>
      </c>
      <c r="C27" s="95"/>
      <c r="D27" s="60">
        <v>35154682.745921202</v>
      </c>
      <c r="E27" s="61">
        <v>100</v>
      </c>
      <c r="F27" s="62"/>
      <c r="G27" s="60">
        <v>18886826.861716501</v>
      </c>
      <c r="H27" s="61">
        <v>100</v>
      </c>
      <c r="I27" s="57"/>
      <c r="J27" s="60">
        <v>16682091.8622499</v>
      </c>
      <c r="K27" s="61">
        <v>100</v>
      </c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</row>
    <row r="28" spans="1:23" ht="6.95" customHeight="1" x14ac:dyDescent="0.25">
      <c r="A28" s="41"/>
      <c r="B28" s="130"/>
      <c r="C28" s="95"/>
      <c r="D28" s="67"/>
      <c r="E28" s="68"/>
      <c r="F28" s="62"/>
      <c r="G28" s="67"/>
      <c r="H28" s="68"/>
      <c r="I28" s="57"/>
      <c r="J28" s="67"/>
      <c r="K28" s="68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ht="15" customHeight="1" x14ac:dyDescent="0.25">
      <c r="A29" s="41"/>
      <c r="B29" s="125" t="s">
        <v>97</v>
      </c>
      <c r="C29" s="91"/>
      <c r="D29" s="67">
        <v>3921126.1257148199</v>
      </c>
      <c r="E29" s="68">
        <v>11.5737007701614</v>
      </c>
      <c r="F29" s="70"/>
      <c r="G29" s="67">
        <v>2305037.3981061201</v>
      </c>
      <c r="H29" s="68">
        <v>12.842003188259801</v>
      </c>
      <c r="I29" s="41"/>
      <c r="J29" s="67">
        <v>1759086.8006740599</v>
      </c>
      <c r="K29" s="68">
        <v>11.021340776125699</v>
      </c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</row>
    <row r="30" spans="1:23" ht="15" customHeight="1" x14ac:dyDescent="0.25">
      <c r="A30" s="41"/>
      <c r="B30" s="125" t="s">
        <v>98</v>
      </c>
      <c r="C30" s="95"/>
      <c r="D30" s="67">
        <v>5181422.2785298601</v>
      </c>
      <c r="E30" s="68">
        <v>15.2819885107301</v>
      </c>
      <c r="F30" s="70"/>
      <c r="G30" s="67">
        <v>3072250.6097197002</v>
      </c>
      <c r="H30" s="68">
        <v>17.067508557175699</v>
      </c>
      <c r="I30" s="41"/>
      <c r="J30" s="67">
        <v>2282948.4160082098</v>
      </c>
      <c r="K30" s="68">
        <v>14.3323189843123</v>
      </c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ht="15" customHeight="1" x14ac:dyDescent="0.25">
      <c r="A31" s="41"/>
      <c r="B31" s="125" t="s">
        <v>99</v>
      </c>
      <c r="C31" s="95"/>
      <c r="D31" s="67">
        <v>9700214.7940011099</v>
      </c>
      <c r="E31" s="68">
        <v>28.4367134963375</v>
      </c>
      <c r="F31" s="70"/>
      <c r="G31" s="67">
        <v>5367994.7437291499</v>
      </c>
      <c r="H31" s="68">
        <v>29.653419185382901</v>
      </c>
      <c r="I31" s="41"/>
      <c r="J31" s="67">
        <v>4590479.0335359396</v>
      </c>
      <c r="K31" s="68">
        <v>28.571054723425199</v>
      </c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 spans="1:23" ht="15" customHeight="1" x14ac:dyDescent="0.25">
      <c r="A32" s="41"/>
      <c r="B32" s="125" t="s">
        <v>100</v>
      </c>
      <c r="C32" s="95"/>
      <c r="D32" s="67">
        <v>16428661.2851266</v>
      </c>
      <c r="E32" s="68">
        <v>47.893490134662301</v>
      </c>
      <c r="F32" s="70"/>
      <c r="G32" s="67">
        <v>8343214.1566348597</v>
      </c>
      <c r="H32" s="68">
        <v>45.630312740568698</v>
      </c>
      <c r="I32" s="41"/>
      <c r="J32" s="67">
        <v>8400684.6219374798</v>
      </c>
      <c r="K32" s="68">
        <v>51.914426098061099</v>
      </c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ht="15" customHeight="1" x14ac:dyDescent="0.25">
      <c r="A33" s="41"/>
      <c r="B33" s="126" t="s">
        <v>118</v>
      </c>
      <c r="C33" s="127"/>
      <c r="D33" s="67">
        <v>1163647.01601682</v>
      </c>
      <c r="E33" s="68">
        <v>3.4485549155297002</v>
      </c>
      <c r="F33" s="70"/>
      <c r="G33" s="67">
        <v>755307.99758550897</v>
      </c>
      <c r="H33" s="68">
        <v>4.2352097293973703</v>
      </c>
      <c r="I33" s="41"/>
      <c r="J33" s="67">
        <v>500651.03319653898</v>
      </c>
      <c r="K33" s="68">
        <v>3.15564767969235</v>
      </c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</row>
    <row r="34" spans="1:23" ht="6.95" customHeight="1" x14ac:dyDescent="0.25">
      <c r="A34" s="41"/>
      <c r="B34" s="132"/>
      <c r="C34" s="132"/>
      <c r="D34" s="133"/>
      <c r="E34" s="134"/>
      <c r="F34" s="135"/>
      <c r="G34" s="133"/>
      <c r="H34" s="134"/>
      <c r="I34" s="134"/>
      <c r="J34" s="133"/>
      <c r="K34" s="134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 spans="1:23" ht="6.95" customHeight="1" x14ac:dyDescent="0.25">
      <c r="A35" s="41"/>
      <c r="B35" s="136"/>
      <c r="C35" s="136"/>
      <c r="D35" s="84"/>
      <c r="E35" s="84"/>
      <c r="F35" s="84"/>
      <c r="G35" s="84"/>
      <c r="H35" s="83"/>
      <c r="I35" s="83"/>
      <c r="J35" s="83"/>
      <c r="K35" s="83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</row>
    <row r="36" spans="1:23" ht="24" customHeight="1" x14ac:dyDescent="0.25">
      <c r="A36" s="41"/>
      <c r="B36" s="314" t="s">
        <v>141</v>
      </c>
      <c r="C36" s="314"/>
      <c r="D36" s="314"/>
      <c r="E36" s="314"/>
      <c r="F36" s="314"/>
      <c r="G36" s="314"/>
      <c r="H36" s="314"/>
      <c r="I36" s="314"/>
      <c r="J36" s="314"/>
      <c r="K36" s="314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  <row r="37" spans="1:23" ht="12" customHeight="1" x14ac:dyDescent="0.25">
      <c r="A37" s="41"/>
      <c r="B37" s="307" t="s">
        <v>145</v>
      </c>
      <c r="C37" s="307"/>
      <c r="D37" s="307"/>
      <c r="E37" s="307"/>
      <c r="F37" s="307"/>
      <c r="G37" s="307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</row>
  </sheetData>
  <mergeCells count="7">
    <mergeCell ref="B37:G37"/>
    <mergeCell ref="B7:B9"/>
    <mergeCell ref="D7:E8"/>
    <mergeCell ref="G7:K7"/>
    <mergeCell ref="G8:H8"/>
    <mergeCell ref="J8:K8"/>
    <mergeCell ref="B36:K36"/>
  </mergeCells>
  <hyperlinks>
    <hyperlink ref="K1" location="ÍNDICE!A1" tooltip="Ir a ÍNDICE" display="ÍNDICE" xr:uid="{209A80D0-FC2B-4141-A58A-D4B6855E906A}"/>
  </hyperlink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BB6C3-3B51-4CE3-BD1E-023E9B601D0E}">
  <dimension ref="A1:Z62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6" s="1" customFormat="1" ht="15" customHeight="1" x14ac:dyDescent="0.2">
      <c r="A1" s="30"/>
      <c r="B1" s="285" t="s">
        <v>214</v>
      </c>
      <c r="C1" s="31"/>
      <c r="D1" s="31"/>
      <c r="E1" s="30"/>
      <c r="F1" s="30"/>
      <c r="G1" s="30"/>
      <c r="H1" s="30"/>
      <c r="I1" s="30"/>
      <c r="J1" s="30"/>
      <c r="K1" s="284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6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 s="2" customFormat="1" ht="15" customHeight="1" x14ac:dyDescent="0.2">
      <c r="A5" s="32"/>
      <c r="B5" s="137" t="s">
        <v>104</v>
      </c>
      <c r="C5" s="37"/>
      <c r="D5" s="39"/>
      <c r="E5" s="39"/>
      <c r="F5" s="39"/>
      <c r="G5" s="38"/>
      <c r="H5" s="34"/>
      <c r="I5" s="32"/>
      <c r="J5" s="32"/>
      <c r="K5" s="40" t="s">
        <v>88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spans="1:26" ht="15" customHeight="1" x14ac:dyDescent="0.25">
      <c r="A7" s="41"/>
      <c r="B7" s="311" t="s">
        <v>146</v>
      </c>
      <c r="C7" s="42"/>
      <c r="D7" s="308" t="s">
        <v>169</v>
      </c>
      <c r="E7" s="308"/>
      <c r="F7" s="43"/>
      <c r="G7" s="310" t="s">
        <v>170</v>
      </c>
      <c r="H7" s="310"/>
      <c r="I7" s="310"/>
      <c r="J7" s="310"/>
      <c r="K7" s="310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spans="1:26" s="3" customFormat="1" ht="15" customHeight="1" x14ac:dyDescent="0.25">
      <c r="A8" s="45"/>
      <c r="B8" s="312"/>
      <c r="C8" s="47"/>
      <c r="D8" s="309"/>
      <c r="E8" s="309"/>
      <c r="F8" s="26"/>
      <c r="G8" s="309" t="s">
        <v>12</v>
      </c>
      <c r="H8" s="309"/>
      <c r="I8" s="26"/>
      <c r="J8" s="309" t="s">
        <v>0</v>
      </c>
      <c r="K8" s="309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  <c r="X8" s="45"/>
      <c r="Y8" s="45"/>
      <c r="Z8" s="45"/>
    </row>
    <row r="9" spans="1:26" ht="15" customHeight="1" x14ac:dyDescent="0.25">
      <c r="A9" s="41"/>
      <c r="B9" s="313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spans="1:26" ht="6.95" customHeight="1" x14ac:dyDescent="0.25">
      <c r="A10" s="41"/>
      <c r="B10" s="138"/>
      <c r="C10" s="108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spans="1:26" s="6" customFormat="1" ht="15" customHeight="1" x14ac:dyDescent="0.25">
      <c r="A11" s="57"/>
      <c r="B11" s="139" t="s">
        <v>4</v>
      </c>
      <c r="C11" s="89"/>
      <c r="D11" s="60">
        <v>88168959.549554095</v>
      </c>
      <c r="E11" s="61">
        <v>100</v>
      </c>
      <c r="F11" s="62"/>
      <c r="G11" s="60">
        <v>47788866.463474698</v>
      </c>
      <c r="H11" s="61">
        <v>100</v>
      </c>
      <c r="I11" s="57"/>
      <c r="J11" s="60">
        <v>41315778.788891397</v>
      </c>
      <c r="K11" s="61">
        <v>100</v>
      </c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 spans="1:26" ht="6.95" customHeight="1" x14ac:dyDescent="0.25">
      <c r="A12" s="41"/>
      <c r="B12" s="139"/>
      <c r="C12" s="140"/>
      <c r="D12" s="41"/>
      <c r="E12" s="41"/>
      <c r="F12" s="63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spans="1:26" s="6" customFormat="1" ht="15" customHeight="1" x14ac:dyDescent="0.25">
      <c r="A13" s="57"/>
      <c r="B13" s="141" t="s">
        <v>66</v>
      </c>
      <c r="C13" s="91"/>
      <c r="D13" s="60">
        <v>55898795.798616096</v>
      </c>
      <c r="E13" s="61">
        <v>64.153132946593203</v>
      </c>
      <c r="F13" s="62"/>
      <c r="G13" s="60">
        <v>28249073.615063</v>
      </c>
      <c r="H13" s="61">
        <v>60.159381795224803</v>
      </c>
      <c r="I13" s="57"/>
      <c r="J13" s="60">
        <v>28271015.049400002</v>
      </c>
      <c r="K13" s="61">
        <v>69.600408746073398</v>
      </c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spans="1:26" ht="7.15" customHeight="1" x14ac:dyDescent="0.25">
      <c r="A14" s="41"/>
      <c r="B14" s="92"/>
      <c r="C14" s="91"/>
      <c r="D14" s="67"/>
      <c r="E14" s="68"/>
      <c r="F14" s="62"/>
      <c r="G14" s="67"/>
      <c r="H14" s="68"/>
      <c r="I14" s="57"/>
      <c r="J14" s="67"/>
      <c r="K14" s="68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spans="1:26" ht="15" customHeight="1" x14ac:dyDescent="0.25">
      <c r="A15" s="41"/>
      <c r="B15" s="142" t="s">
        <v>23</v>
      </c>
      <c r="C15" s="95"/>
      <c r="D15" s="67">
        <v>29158303.620416898</v>
      </c>
      <c r="E15" s="68">
        <v>52.937512605396101</v>
      </c>
      <c r="F15" s="70"/>
      <c r="G15" s="67">
        <v>12965456.460341001</v>
      </c>
      <c r="H15" s="68">
        <v>46.946604799565101</v>
      </c>
      <c r="I15" s="41"/>
      <c r="J15" s="67">
        <v>16583119.032946199</v>
      </c>
      <c r="K15" s="68">
        <v>59.976226678550603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spans="1:26" ht="15" customHeight="1" x14ac:dyDescent="0.25">
      <c r="A16" s="41"/>
      <c r="B16" s="142" t="s">
        <v>24</v>
      </c>
      <c r="C16" s="95"/>
      <c r="D16" s="67">
        <v>4030904.4514003699</v>
      </c>
      <c r="E16" s="68">
        <v>7.3877452364346397</v>
      </c>
      <c r="F16" s="70"/>
      <c r="G16" s="67">
        <v>2030147.7161812</v>
      </c>
      <c r="H16" s="68">
        <v>7.4327320512011301</v>
      </c>
      <c r="I16" s="41"/>
      <c r="J16" s="67">
        <v>2146094.8036331101</v>
      </c>
      <c r="K16" s="68">
        <v>7.8448032992358696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spans="1:26" ht="30" customHeight="1" x14ac:dyDescent="0.25">
      <c r="A17" s="41"/>
      <c r="B17" s="142" t="s">
        <v>158</v>
      </c>
      <c r="C17" s="95"/>
      <c r="D17" s="67">
        <v>10711547.9154476</v>
      </c>
      <c r="E17" s="68">
        <v>19.589995378287099</v>
      </c>
      <c r="F17" s="70"/>
      <c r="G17" s="67">
        <v>6762556.6922402801</v>
      </c>
      <c r="H17" s="68">
        <v>24.6504929436007</v>
      </c>
      <c r="I17" s="41"/>
      <c r="J17" s="67">
        <v>4230153.5667670602</v>
      </c>
      <c r="K17" s="68">
        <v>15.4105864040699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spans="1:26" ht="15" customHeight="1" x14ac:dyDescent="0.25">
      <c r="A18" s="41"/>
      <c r="B18" s="142" t="s">
        <v>26</v>
      </c>
      <c r="C18" s="95"/>
      <c r="D18" s="67">
        <v>21732476.028017499</v>
      </c>
      <c r="E18" s="68">
        <v>39.517328198553699</v>
      </c>
      <c r="F18" s="70"/>
      <c r="G18" s="67">
        <v>10903273.0426406</v>
      </c>
      <c r="H18" s="68">
        <v>39.540638340184998</v>
      </c>
      <c r="I18" s="41"/>
      <c r="J18" s="67">
        <v>11201818.402547</v>
      </c>
      <c r="K18" s="68">
        <v>40.537937837199003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spans="1:26" ht="15" customHeight="1" x14ac:dyDescent="0.25">
      <c r="A19" s="41"/>
      <c r="B19" s="142" t="s">
        <v>27</v>
      </c>
      <c r="C19" s="95"/>
      <c r="D19" s="67">
        <v>2119113.9273084602</v>
      </c>
      <c r="E19" s="68">
        <v>3.8727434752776801</v>
      </c>
      <c r="F19" s="70"/>
      <c r="G19" s="67">
        <v>775324.619094013</v>
      </c>
      <c r="H19" s="68">
        <v>2.8387796401102099</v>
      </c>
      <c r="I19" s="41"/>
      <c r="J19" s="67">
        <v>1446093.5844427899</v>
      </c>
      <c r="K19" s="68">
        <v>5.2714674493861198</v>
      </c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spans="1:26" ht="15" customHeight="1" x14ac:dyDescent="0.25">
      <c r="A20" s="41"/>
      <c r="B20" s="142" t="s">
        <v>28</v>
      </c>
      <c r="C20" s="95"/>
      <c r="D20" s="67">
        <v>1980439.67413779</v>
      </c>
      <c r="E20" s="68">
        <v>3.6231790055439501</v>
      </c>
      <c r="F20" s="70"/>
      <c r="G20" s="67">
        <v>849833.13720180397</v>
      </c>
      <c r="H20" s="68">
        <v>3.1097833701399198</v>
      </c>
      <c r="I20" s="41"/>
      <c r="J20" s="67">
        <v>1223381.1029771899</v>
      </c>
      <c r="K20" s="68">
        <v>4.4648307596002104</v>
      </c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spans="1:26" ht="15" customHeight="1" x14ac:dyDescent="0.25">
      <c r="A21" s="41"/>
      <c r="B21" s="142" t="s">
        <v>29</v>
      </c>
      <c r="C21" s="95"/>
      <c r="D21" s="67">
        <v>1981699.0131912699</v>
      </c>
      <c r="E21" s="68">
        <v>3.6248966535267799</v>
      </c>
      <c r="F21" s="70"/>
      <c r="G21" s="67">
        <v>733631.82565261703</v>
      </c>
      <c r="H21" s="68">
        <v>2.6898739355272601</v>
      </c>
      <c r="I21" s="41"/>
      <c r="J21" s="67">
        <v>1340123.3204214501</v>
      </c>
      <c r="K21" s="68">
        <v>4.8916831351080701</v>
      </c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spans="1:26" s="5" customFormat="1" ht="30" customHeight="1" x14ac:dyDescent="0.25">
      <c r="A22" s="143"/>
      <c r="B22" s="142" t="s">
        <v>147</v>
      </c>
      <c r="C22" s="144"/>
      <c r="D22" s="67">
        <v>9482696.8951666709</v>
      </c>
      <c r="E22" s="68">
        <v>17.328652618835399</v>
      </c>
      <c r="F22" s="70"/>
      <c r="G22" s="67">
        <v>4160756.9050524202</v>
      </c>
      <c r="H22" s="68">
        <v>15.179425088660301</v>
      </c>
      <c r="I22" s="41"/>
      <c r="J22" s="67">
        <v>5565497.8214709898</v>
      </c>
      <c r="K22" s="68">
        <v>20.251800200144999</v>
      </c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</row>
    <row r="23" spans="1:26" ht="15" customHeight="1" x14ac:dyDescent="0.25">
      <c r="A23" s="41"/>
      <c r="B23" s="142" t="s">
        <v>30</v>
      </c>
      <c r="C23" s="95"/>
      <c r="D23" s="67">
        <v>85768.511237480896</v>
      </c>
      <c r="E23" s="68">
        <v>0.15729928216470099</v>
      </c>
      <c r="F23" s="70"/>
      <c r="G23" s="67">
        <v>58122.911017134102</v>
      </c>
      <c r="H23" s="68">
        <v>0.21329212161956801</v>
      </c>
      <c r="I23" s="41"/>
      <c r="J23" s="67">
        <v>42482.625968124798</v>
      </c>
      <c r="K23" s="68">
        <v>0.155648986823024</v>
      </c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spans="1:26" ht="7.15" customHeight="1" x14ac:dyDescent="0.25">
      <c r="A24" s="41"/>
      <c r="B24" s="92"/>
      <c r="C24" s="91"/>
      <c r="D24" s="146"/>
      <c r="E24" s="147"/>
      <c r="F24" s="148"/>
      <c r="G24" s="146"/>
      <c r="H24" s="147"/>
      <c r="I24" s="147"/>
      <c r="J24" s="146"/>
      <c r="K24" s="147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spans="1:26" s="6" customFormat="1" ht="15" customHeight="1" x14ac:dyDescent="0.25">
      <c r="A25" s="57"/>
      <c r="B25" s="141" t="s">
        <v>31</v>
      </c>
      <c r="C25" s="95"/>
      <c r="D25" s="60">
        <v>33274921.045530099</v>
      </c>
      <c r="E25" s="61">
        <v>38.190230273524499</v>
      </c>
      <c r="F25" s="62"/>
      <c r="G25" s="60">
        <v>20162593.370680999</v>
      </c>
      <c r="H25" s="61">
        <v>42.897949085795602</v>
      </c>
      <c r="I25" s="57"/>
      <c r="J25" s="60">
        <v>13604407.2018199</v>
      </c>
      <c r="K25" s="61">
        <v>33.557864805825197</v>
      </c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 spans="1:26" ht="6.95" customHeight="1" x14ac:dyDescent="0.25">
      <c r="A26" s="41"/>
      <c r="B26" s="149"/>
      <c r="C26" s="97"/>
      <c r="D26" s="116"/>
      <c r="E26" s="116"/>
      <c r="F26" s="77"/>
      <c r="G26" s="116"/>
      <c r="H26" s="116"/>
      <c r="I26" s="116"/>
      <c r="J26" s="116"/>
      <c r="K26" s="116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spans="1:26" s="6" customFormat="1" ht="15" customHeight="1" x14ac:dyDescent="0.25">
      <c r="A27" s="57"/>
      <c r="B27" s="150" t="s">
        <v>2</v>
      </c>
      <c r="C27" s="97"/>
      <c r="D27" s="60">
        <v>31876327.629939102</v>
      </c>
      <c r="E27" s="61">
        <v>100</v>
      </c>
      <c r="F27" s="62"/>
      <c r="G27" s="60">
        <v>17557347.996399298</v>
      </c>
      <c r="H27" s="61">
        <v>100</v>
      </c>
      <c r="I27" s="57"/>
      <c r="J27" s="60">
        <v>14624214.675651999</v>
      </c>
      <c r="K27" s="61">
        <v>100</v>
      </c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 spans="1:26" ht="6.95" customHeight="1" x14ac:dyDescent="0.25">
      <c r="A28" s="41"/>
      <c r="B28" s="151"/>
      <c r="C28" s="97"/>
      <c r="D28" s="41"/>
      <c r="E28" s="41"/>
      <c r="F28" s="63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spans="1:26" s="6" customFormat="1" ht="15" customHeight="1" x14ac:dyDescent="0.25">
      <c r="A29" s="57"/>
      <c r="B29" s="141" t="s">
        <v>66</v>
      </c>
      <c r="C29" s="91"/>
      <c r="D29" s="60">
        <v>16672676.8615909</v>
      </c>
      <c r="E29" s="61">
        <v>53.672027299478799</v>
      </c>
      <c r="F29" s="62"/>
      <c r="G29" s="60">
        <v>8598763.4025228899</v>
      </c>
      <c r="H29" s="61">
        <v>50.790903238859102</v>
      </c>
      <c r="I29" s="57"/>
      <c r="J29" s="60">
        <v>8294212.0790849403</v>
      </c>
      <c r="K29" s="61">
        <v>58.588337936472598</v>
      </c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 spans="1:26" ht="7.15" customHeight="1" x14ac:dyDescent="0.25">
      <c r="A30" s="41"/>
      <c r="B30" s="92"/>
      <c r="C30" s="91"/>
      <c r="D30" s="67"/>
      <c r="E30" s="68"/>
      <c r="F30" s="62"/>
      <c r="G30" s="67"/>
      <c r="H30" s="68"/>
      <c r="I30" s="57"/>
      <c r="J30" s="67"/>
      <c r="K30" s="68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spans="1:26" ht="15" customHeight="1" x14ac:dyDescent="0.25">
      <c r="A31" s="41"/>
      <c r="B31" s="142" t="s">
        <v>23</v>
      </c>
      <c r="C31" s="95"/>
      <c r="D31" s="67">
        <v>6552202.6434615301</v>
      </c>
      <c r="E31" s="68">
        <v>40.8159679219861</v>
      </c>
      <c r="F31" s="70"/>
      <c r="G31" s="67">
        <v>2795573.7057982301</v>
      </c>
      <c r="H31" s="68">
        <v>34.250464923638198</v>
      </c>
      <c r="I31" s="41"/>
      <c r="J31" s="67">
        <v>3901975.36853232</v>
      </c>
      <c r="K31" s="68">
        <v>49.315968555018401</v>
      </c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spans="1:26" ht="15" customHeight="1" x14ac:dyDescent="0.25">
      <c r="A32" s="41"/>
      <c r="B32" s="142" t="s">
        <v>24</v>
      </c>
      <c r="C32" s="95"/>
      <c r="D32" s="67">
        <v>661649.00442076102</v>
      </c>
      <c r="E32" s="68">
        <v>4.2652788619188202</v>
      </c>
      <c r="F32" s="70"/>
      <c r="G32" s="67">
        <v>343738.97928096203</v>
      </c>
      <c r="H32" s="68">
        <v>4.3571329084681398</v>
      </c>
      <c r="I32" s="41"/>
      <c r="J32" s="67">
        <v>370483.82841267902</v>
      </c>
      <c r="K32" s="68">
        <v>4.9008407797433398</v>
      </c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spans="1:26" ht="30" customHeight="1" x14ac:dyDescent="0.25">
      <c r="A33" s="41"/>
      <c r="B33" s="142" t="s">
        <v>158</v>
      </c>
      <c r="C33" s="95"/>
      <c r="D33" s="67">
        <v>5666437.9780707899</v>
      </c>
      <c r="E33" s="68">
        <v>36.495845728261301</v>
      </c>
      <c r="F33" s="70"/>
      <c r="G33" s="67">
        <v>3416442.1785449502</v>
      </c>
      <c r="H33" s="68">
        <v>43.097134948570201</v>
      </c>
      <c r="I33" s="41"/>
      <c r="J33" s="67">
        <v>2407153.7429443202</v>
      </c>
      <c r="K33" s="68">
        <v>31.489000304885302</v>
      </c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1:26" ht="15" customHeight="1" x14ac:dyDescent="0.25">
      <c r="A34" s="41"/>
      <c r="B34" s="142" t="s">
        <v>26</v>
      </c>
      <c r="C34" s="95"/>
      <c r="D34" s="67">
        <v>6169146.9606013997</v>
      </c>
      <c r="E34" s="68">
        <v>38.623382746575402</v>
      </c>
      <c r="F34" s="70"/>
      <c r="G34" s="67">
        <v>3131174.0832281602</v>
      </c>
      <c r="H34" s="68">
        <v>38.475261166742698</v>
      </c>
      <c r="I34" s="41"/>
      <c r="J34" s="67">
        <v>3195928.26090167</v>
      </c>
      <c r="K34" s="68">
        <v>40.6967938284346</v>
      </c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spans="1:26" ht="15" customHeight="1" x14ac:dyDescent="0.25">
      <c r="A35" s="41"/>
      <c r="B35" s="142" t="s">
        <v>27</v>
      </c>
      <c r="C35" s="95"/>
      <c r="D35" s="67">
        <v>382007.72666140302</v>
      </c>
      <c r="E35" s="68">
        <v>2.4556569135776898</v>
      </c>
      <c r="F35" s="70"/>
      <c r="G35" s="67">
        <v>74611.598141584196</v>
      </c>
      <c r="H35" s="68">
        <v>0.95162769016445403</v>
      </c>
      <c r="I35" s="41"/>
      <c r="J35" s="67">
        <v>329144.91011865402</v>
      </c>
      <c r="K35" s="68">
        <v>4.2774639324169597</v>
      </c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spans="1:26" ht="15" customHeight="1" x14ac:dyDescent="0.25">
      <c r="A36" s="41"/>
      <c r="B36" s="142" t="s">
        <v>28</v>
      </c>
      <c r="C36" s="95"/>
      <c r="D36" s="67">
        <v>328298.73794018198</v>
      </c>
      <c r="E36" s="68">
        <v>2.1255563495706502</v>
      </c>
      <c r="F36" s="70"/>
      <c r="G36" s="67">
        <v>177772.122298303</v>
      </c>
      <c r="H36" s="68">
        <v>2.2493112064784802</v>
      </c>
      <c r="I36" s="41"/>
      <c r="J36" s="67">
        <v>183053.81390042801</v>
      </c>
      <c r="K36" s="68">
        <v>2.42247513775113</v>
      </c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spans="1:26" ht="15" customHeight="1" x14ac:dyDescent="0.25">
      <c r="A37" s="41"/>
      <c r="B37" s="142" t="s">
        <v>29</v>
      </c>
      <c r="C37" s="95"/>
      <c r="D37" s="67">
        <v>368023.01728033699</v>
      </c>
      <c r="E37" s="68">
        <v>2.3744773301293098</v>
      </c>
      <c r="F37" s="70"/>
      <c r="G37" s="67">
        <v>93999.774250836694</v>
      </c>
      <c r="H37" s="68">
        <v>1.1925279895476699</v>
      </c>
      <c r="I37" s="41"/>
      <c r="J37" s="67">
        <v>305153.85139572399</v>
      </c>
      <c r="K37" s="68">
        <v>4.0010173772633202</v>
      </c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1:26" ht="30" customHeight="1" x14ac:dyDescent="0.25">
      <c r="A38" s="41"/>
      <c r="B38" s="142" t="s">
        <v>147</v>
      </c>
      <c r="C38" s="95"/>
      <c r="D38" s="67">
        <v>2265864.2570397402</v>
      </c>
      <c r="E38" s="68">
        <v>14.3911891627048</v>
      </c>
      <c r="F38" s="70"/>
      <c r="G38" s="67">
        <v>1110176.31546703</v>
      </c>
      <c r="H38" s="68">
        <v>13.915865428105599</v>
      </c>
      <c r="I38" s="41"/>
      <c r="J38" s="67">
        <v>1308614.34388588</v>
      </c>
      <c r="K38" s="68">
        <v>16.7836560387038</v>
      </c>
      <c r="L38" s="152"/>
      <c r="M38" s="152"/>
      <c r="N38" s="152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spans="1:26" ht="15" customHeight="1" x14ac:dyDescent="0.25">
      <c r="A39" s="41"/>
      <c r="B39" s="142" t="s">
        <v>30</v>
      </c>
      <c r="C39" s="95"/>
      <c r="D39" s="67">
        <v>44951.492774609003</v>
      </c>
      <c r="E39" s="68">
        <v>0.293416476368558</v>
      </c>
      <c r="F39" s="70"/>
      <c r="G39" s="67">
        <v>18008.808345912599</v>
      </c>
      <c r="H39" s="68">
        <v>0.230519245526146</v>
      </c>
      <c r="I39" s="41"/>
      <c r="J39" s="67">
        <v>36216.880863391998</v>
      </c>
      <c r="K39" s="68">
        <v>0.48073877456456499</v>
      </c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spans="1:26" ht="7.15" customHeight="1" x14ac:dyDescent="0.25">
      <c r="A40" s="41"/>
      <c r="B40" s="92"/>
      <c r="C40" s="91"/>
      <c r="D40" s="146"/>
      <c r="E40" s="147"/>
      <c r="F40" s="148"/>
      <c r="G40" s="146"/>
      <c r="H40" s="147"/>
      <c r="I40" s="147"/>
      <c r="J40" s="146"/>
      <c r="K40" s="147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spans="1:26" s="6" customFormat="1" ht="15" customHeight="1" x14ac:dyDescent="0.25">
      <c r="A41" s="57"/>
      <c r="B41" s="141" t="s">
        <v>31</v>
      </c>
      <c r="C41" s="95"/>
      <c r="D41" s="60">
        <v>15610204.6580253</v>
      </c>
      <c r="E41" s="61">
        <v>50.804169750957598</v>
      </c>
      <c r="F41" s="62"/>
      <c r="G41" s="60">
        <v>9282735.2359882202</v>
      </c>
      <c r="H41" s="61">
        <v>54.974035757191203</v>
      </c>
      <c r="I41" s="57"/>
      <c r="J41" s="60">
        <v>6588490.8158093197</v>
      </c>
      <c r="K41" s="61">
        <v>47.2083395931067</v>
      </c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spans="1:26" ht="6.95" customHeight="1" x14ac:dyDescent="0.25">
      <c r="A42" s="41"/>
      <c r="B42" s="151"/>
      <c r="C42" s="97"/>
      <c r="D42" s="131"/>
      <c r="E42" s="131"/>
      <c r="F42" s="131"/>
      <c r="G42" s="131"/>
      <c r="H42" s="131"/>
      <c r="I42" s="131"/>
      <c r="J42" s="131"/>
      <c r="K42" s="13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spans="1:26" s="6" customFormat="1" ht="15" customHeight="1" x14ac:dyDescent="0.25">
      <c r="A43" s="57"/>
      <c r="B43" s="150" t="s">
        <v>3</v>
      </c>
      <c r="C43" s="97"/>
      <c r="D43" s="60">
        <v>58722602.216376103</v>
      </c>
      <c r="E43" s="61">
        <v>100</v>
      </c>
      <c r="F43" s="62"/>
      <c r="G43" s="60">
        <v>31539784.224373799</v>
      </c>
      <c r="H43" s="61">
        <v>100</v>
      </c>
      <c r="I43" s="57"/>
      <c r="J43" s="60">
        <v>27745562.505176</v>
      </c>
      <c r="K43" s="61">
        <v>100</v>
      </c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 spans="1:26" ht="6.95" customHeight="1" x14ac:dyDescent="0.25">
      <c r="A44" s="41"/>
      <c r="B44" s="151"/>
      <c r="C44" s="97"/>
      <c r="D44" s="41"/>
      <c r="E44" s="41"/>
      <c r="F44" s="63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spans="1:26" s="6" customFormat="1" ht="15" customHeight="1" x14ac:dyDescent="0.25">
      <c r="A45" s="57"/>
      <c r="B45" s="141" t="s">
        <v>66</v>
      </c>
      <c r="C45" s="91"/>
      <c r="D45" s="60">
        <v>40633939.285328098</v>
      </c>
      <c r="E45" s="61">
        <v>70.461485086031999</v>
      </c>
      <c r="F45" s="62"/>
      <c r="G45" s="60">
        <v>20396126.481792301</v>
      </c>
      <c r="H45" s="61">
        <v>66.2729039624748</v>
      </c>
      <c r="I45" s="57"/>
      <c r="J45" s="60">
        <v>20679308.144212801</v>
      </c>
      <c r="K45" s="61">
        <v>76.200174369410405</v>
      </c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spans="1:26" ht="7.15" customHeight="1" x14ac:dyDescent="0.25">
      <c r="A46" s="41"/>
      <c r="B46" s="92"/>
      <c r="C46" s="91"/>
      <c r="D46" s="67"/>
      <c r="E46" s="68"/>
      <c r="F46" s="62"/>
      <c r="G46" s="67"/>
      <c r="H46" s="68"/>
      <c r="I46" s="57"/>
      <c r="J46" s="67"/>
      <c r="K46" s="68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spans="1:26" ht="15" customHeight="1" x14ac:dyDescent="0.25">
      <c r="A47" s="41"/>
      <c r="B47" s="142" t="s">
        <v>23</v>
      </c>
      <c r="C47" s="95"/>
      <c r="D47" s="67">
        <v>23326977.6743895</v>
      </c>
      <c r="E47" s="68">
        <v>58.652678066105103</v>
      </c>
      <c r="F47" s="70"/>
      <c r="G47" s="67">
        <v>10523556.0542999</v>
      </c>
      <c r="H47" s="68">
        <v>53.293484840156196</v>
      </c>
      <c r="I47" s="41"/>
      <c r="J47" s="67">
        <v>13119227.213771399</v>
      </c>
      <c r="K47" s="68">
        <v>65.195339932635605</v>
      </c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spans="1:26" ht="15" customHeight="1" x14ac:dyDescent="0.25">
      <c r="A48" s="41"/>
      <c r="B48" s="142" t="s">
        <v>24</v>
      </c>
      <c r="C48" s="95"/>
      <c r="D48" s="67">
        <v>3480493.0049496801</v>
      </c>
      <c r="E48" s="68">
        <v>8.8621431535303508</v>
      </c>
      <c r="F48" s="70"/>
      <c r="G48" s="67">
        <v>1764161.3190232799</v>
      </c>
      <c r="H48" s="68">
        <v>9.0537958165823298</v>
      </c>
      <c r="I48" s="41"/>
      <c r="J48" s="67">
        <v>1852002.18007219</v>
      </c>
      <c r="K48" s="68">
        <v>9.3214657392583806</v>
      </c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spans="1:26" ht="30" customHeight="1" x14ac:dyDescent="0.25">
      <c r="A49" s="41"/>
      <c r="B49" s="142" t="s">
        <v>158</v>
      </c>
      <c r="C49" s="95"/>
      <c r="D49" s="67">
        <v>5379518.8604356702</v>
      </c>
      <c r="E49" s="68">
        <v>13.6410638060484</v>
      </c>
      <c r="F49" s="70"/>
      <c r="G49" s="67">
        <v>3583690.3564673699</v>
      </c>
      <c r="H49" s="68">
        <v>18.247010937633799</v>
      </c>
      <c r="I49" s="41"/>
      <c r="J49" s="67">
        <v>2012384.8749412401</v>
      </c>
      <c r="K49" s="68">
        <v>10.100740734506701</v>
      </c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spans="1:26" ht="15" customHeight="1" x14ac:dyDescent="0.25">
      <c r="A50" s="41"/>
      <c r="B50" s="142" t="s">
        <v>26</v>
      </c>
      <c r="C50" s="95"/>
      <c r="D50" s="67">
        <v>16169901.2071111</v>
      </c>
      <c r="E50" s="68">
        <v>40.653357788122499</v>
      </c>
      <c r="F50" s="70"/>
      <c r="G50" s="67">
        <v>8133422.6044335403</v>
      </c>
      <c r="H50" s="68">
        <v>41.026787648433498</v>
      </c>
      <c r="I50" s="41"/>
      <c r="J50" s="67">
        <v>8331433.1715371497</v>
      </c>
      <c r="K50" s="68">
        <v>41.547453735909897</v>
      </c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spans="1:26" ht="15" customHeight="1" x14ac:dyDescent="0.25">
      <c r="A51" s="41"/>
      <c r="B51" s="142" t="s">
        <v>27</v>
      </c>
      <c r="C51" s="95"/>
      <c r="D51" s="67">
        <v>1830090.8467216999</v>
      </c>
      <c r="E51" s="68">
        <v>4.6530448881185196</v>
      </c>
      <c r="F51" s="70"/>
      <c r="G51" s="67">
        <v>724485.04310617503</v>
      </c>
      <c r="H51" s="68">
        <v>3.7092673614479299</v>
      </c>
      <c r="I51" s="41"/>
      <c r="J51" s="67">
        <v>1198481.4663472001</v>
      </c>
      <c r="K51" s="68">
        <v>6.0541665836445704</v>
      </c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spans="1:26" ht="15" customHeight="1" x14ac:dyDescent="0.25">
      <c r="A52" s="41"/>
      <c r="B52" s="142" t="s">
        <v>28</v>
      </c>
      <c r="C52" s="95"/>
      <c r="D52" s="67">
        <v>1724034.4276501699</v>
      </c>
      <c r="E52" s="68">
        <v>4.3744028980958802</v>
      </c>
      <c r="F52" s="70"/>
      <c r="G52" s="67">
        <v>724447.45131819998</v>
      </c>
      <c r="H52" s="68">
        <v>3.7195001150701801</v>
      </c>
      <c r="I52" s="41"/>
      <c r="J52" s="67">
        <v>1083557.7625422</v>
      </c>
      <c r="K52" s="68">
        <v>5.4398512061263</v>
      </c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spans="1:26" ht="15" customHeight="1" x14ac:dyDescent="0.25">
      <c r="A53" s="41"/>
      <c r="B53" s="142" t="s">
        <v>29</v>
      </c>
      <c r="C53" s="95"/>
      <c r="D53" s="67">
        <v>1697829.89150726</v>
      </c>
      <c r="E53" s="68">
        <v>4.3172124520387403</v>
      </c>
      <c r="F53" s="70"/>
      <c r="G53" s="67">
        <v>672877.28088700003</v>
      </c>
      <c r="H53" s="68">
        <v>3.4576572670633001</v>
      </c>
      <c r="I53" s="41"/>
      <c r="J53" s="67">
        <v>1107311.9735353501</v>
      </c>
      <c r="K53" s="68">
        <v>5.5857460485044399</v>
      </c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spans="1:26" ht="30" customHeight="1" x14ac:dyDescent="0.25">
      <c r="A54" s="41"/>
      <c r="B54" s="142" t="s">
        <v>147</v>
      </c>
      <c r="C54" s="95"/>
      <c r="D54" s="67">
        <v>7550357.3608781099</v>
      </c>
      <c r="E54" s="68">
        <v>19.097190712228102</v>
      </c>
      <c r="F54" s="70"/>
      <c r="G54" s="67">
        <v>3225752.49312037</v>
      </c>
      <c r="H54" s="68">
        <v>16.461289129569401</v>
      </c>
      <c r="I54" s="41"/>
      <c r="J54" s="67">
        <v>4499914.1492725797</v>
      </c>
      <c r="K54" s="68">
        <v>22.5107816729261</v>
      </c>
      <c r="L54" s="145"/>
      <c r="M54" s="145"/>
      <c r="N54" s="145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spans="1:26" ht="15" customHeight="1" x14ac:dyDescent="0.25">
      <c r="A55" s="41"/>
      <c r="B55" s="142" t="s">
        <v>30</v>
      </c>
      <c r="C55" s="95"/>
      <c r="D55" s="67">
        <v>56839.979761451999</v>
      </c>
      <c r="E55" s="68">
        <v>0.145011264108105</v>
      </c>
      <c r="F55" s="70"/>
      <c r="G55" s="67">
        <v>49219.9611185178</v>
      </c>
      <c r="H55" s="68">
        <v>0.25341751895937098</v>
      </c>
      <c r="I55" s="41"/>
      <c r="J55" s="67">
        <v>15837.383518185399</v>
      </c>
      <c r="K55" s="68">
        <v>8.0032788374860594E-2</v>
      </c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spans="1:26" ht="7.15" customHeight="1" x14ac:dyDescent="0.25">
      <c r="A56" s="41"/>
      <c r="B56" s="92"/>
      <c r="C56" s="91"/>
      <c r="D56" s="146"/>
      <c r="E56" s="147"/>
      <c r="F56" s="148"/>
      <c r="G56" s="146"/>
      <c r="H56" s="147"/>
      <c r="I56" s="147"/>
      <c r="J56" s="146"/>
      <c r="K56" s="147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spans="1:26" s="6" customFormat="1" ht="15" customHeight="1" x14ac:dyDescent="0.25">
      <c r="A57" s="57"/>
      <c r="B57" s="141" t="s">
        <v>31</v>
      </c>
      <c r="C57" s="95"/>
      <c r="D57" s="60">
        <v>18637148.213809598</v>
      </c>
      <c r="E57" s="61">
        <v>32.325553964529398</v>
      </c>
      <c r="F57" s="62"/>
      <c r="G57" s="60">
        <v>11517730.3704462</v>
      </c>
      <c r="H57" s="61">
        <v>37.375299898293399</v>
      </c>
      <c r="I57" s="57"/>
      <c r="J57" s="60">
        <v>7457707.10681793</v>
      </c>
      <c r="K57" s="61">
        <v>27.592604085384899</v>
      </c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spans="1:26" ht="6.95" customHeight="1" x14ac:dyDescent="0.25">
      <c r="A58" s="41"/>
      <c r="B58" s="153"/>
      <c r="C58" s="154"/>
      <c r="D58" s="80"/>
      <c r="E58" s="80"/>
      <c r="F58" s="155"/>
      <c r="G58" s="80"/>
      <c r="H58" s="80"/>
      <c r="I58" s="80"/>
      <c r="J58" s="80"/>
      <c r="K58" s="80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spans="1:26" ht="6.95" customHeight="1" x14ac:dyDescent="0.25">
      <c r="A59" s="41"/>
      <c r="B59" s="156"/>
      <c r="C59" s="156"/>
      <c r="D59" s="157"/>
      <c r="E59" s="157"/>
      <c r="F59" s="157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spans="1:26" ht="12" customHeight="1" x14ac:dyDescent="0.25">
      <c r="A60" s="41"/>
      <c r="B60" s="315" t="s">
        <v>129</v>
      </c>
      <c r="C60" s="315"/>
      <c r="D60" s="315"/>
      <c r="E60" s="315"/>
      <c r="F60" s="315"/>
      <c r="G60" s="315"/>
      <c r="H60" s="315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spans="1:26" ht="12" customHeight="1" x14ac:dyDescent="0.25">
      <c r="A61" s="41"/>
      <c r="B61" s="307" t="s">
        <v>145</v>
      </c>
      <c r="C61" s="307"/>
      <c r="D61" s="307"/>
      <c r="E61" s="307"/>
      <c r="F61" s="307"/>
      <c r="G61" s="307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spans="1:26" ht="12" customHeight="1" x14ac:dyDescent="0.25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</sheetData>
  <mergeCells count="7">
    <mergeCell ref="B61:G61"/>
    <mergeCell ref="B7:B9"/>
    <mergeCell ref="D7:E8"/>
    <mergeCell ref="G7:K7"/>
    <mergeCell ref="G8:H8"/>
    <mergeCell ref="J8:K8"/>
    <mergeCell ref="B60:H60"/>
  </mergeCells>
  <hyperlinks>
    <hyperlink ref="K1" location="ÍNDICE!A1" tooltip="Ir a ÍNDICE" display="ÍNDICE" xr:uid="{B0D3B6EB-DEE5-4C45-AFA9-5C4B0C1BF52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FD934-1981-4273-B78F-B9778E7A163F}">
  <dimension ref="A1:W62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85" t="s">
        <v>214</v>
      </c>
      <c r="C1" s="31"/>
      <c r="D1" s="31"/>
      <c r="E1" s="30"/>
      <c r="F1" s="30"/>
      <c r="G1" s="30"/>
      <c r="H1" s="30"/>
      <c r="I1" s="30"/>
      <c r="J1" s="30"/>
      <c r="K1" s="284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30" customHeight="1" x14ac:dyDescent="0.2">
      <c r="A5" s="32"/>
      <c r="B5" s="316" t="s">
        <v>179</v>
      </c>
      <c r="C5" s="316"/>
      <c r="D5" s="316"/>
      <c r="E5" s="316"/>
      <c r="F5" s="316"/>
      <c r="G5" s="316"/>
      <c r="H5" s="34"/>
      <c r="I5" s="32"/>
      <c r="J5" s="32"/>
      <c r="K5" s="40" t="s">
        <v>87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1" t="s">
        <v>148</v>
      </c>
      <c r="C7" s="42"/>
      <c r="D7" s="308" t="s">
        <v>178</v>
      </c>
      <c r="E7" s="308"/>
      <c r="F7" s="43"/>
      <c r="G7" s="310" t="s">
        <v>170</v>
      </c>
      <c r="H7" s="310"/>
      <c r="I7" s="310"/>
      <c r="J7" s="310"/>
      <c r="K7" s="310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2"/>
      <c r="C8" s="47"/>
      <c r="D8" s="309"/>
      <c r="E8" s="309"/>
      <c r="F8" s="26"/>
      <c r="G8" s="309" t="s">
        <v>12</v>
      </c>
      <c r="H8" s="309"/>
      <c r="I8" s="26"/>
      <c r="J8" s="309" t="s">
        <v>0</v>
      </c>
      <c r="K8" s="309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13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87"/>
      <c r="C10" s="158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s="6" customFormat="1" ht="15" customHeight="1" x14ac:dyDescent="0.25">
      <c r="A11" s="57"/>
      <c r="B11" s="109" t="s">
        <v>4</v>
      </c>
      <c r="C11" s="89"/>
      <c r="D11" s="60">
        <v>55898795.798616096</v>
      </c>
      <c r="E11" s="61">
        <v>100</v>
      </c>
      <c r="F11" s="62"/>
      <c r="G11" s="60">
        <v>28249073.615063</v>
      </c>
      <c r="H11" s="61">
        <v>100</v>
      </c>
      <c r="I11" s="57"/>
      <c r="J11" s="60">
        <v>28271015.049400002</v>
      </c>
      <c r="K11" s="61">
        <v>100</v>
      </c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</row>
    <row r="12" spans="1:23" ht="6.95" customHeight="1" x14ac:dyDescent="0.25">
      <c r="A12" s="41"/>
      <c r="B12" s="109"/>
      <c r="C12" s="159"/>
      <c r="D12" s="41"/>
      <c r="E12" s="41"/>
      <c r="F12" s="63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s="6" customFormat="1" ht="15" customHeight="1" x14ac:dyDescent="0.25">
      <c r="A13" s="57"/>
      <c r="B13" s="160" t="s">
        <v>32</v>
      </c>
      <c r="C13" s="91"/>
      <c r="D13" s="60">
        <v>26850907.822527301</v>
      </c>
      <c r="E13" s="61">
        <v>48.846360464746503</v>
      </c>
      <c r="F13" s="62"/>
      <c r="G13" s="60">
        <v>13107881.6364871</v>
      </c>
      <c r="H13" s="61">
        <v>47.560933204749198</v>
      </c>
      <c r="I13" s="57"/>
      <c r="J13" s="60">
        <v>14113342.3799274</v>
      </c>
      <c r="K13" s="61">
        <v>51.105127954406399</v>
      </c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</row>
    <row r="14" spans="1:23" ht="6.95" customHeight="1" x14ac:dyDescent="0.25">
      <c r="A14" s="41"/>
      <c r="B14" s="161"/>
      <c r="C14" s="91"/>
      <c r="D14" s="67"/>
      <c r="E14" s="68"/>
      <c r="F14" s="62"/>
      <c r="G14" s="67"/>
      <c r="H14" s="68"/>
      <c r="I14" s="57"/>
      <c r="J14" s="67"/>
      <c r="K14" s="68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15" customHeight="1" x14ac:dyDescent="0.25">
      <c r="A15" s="41"/>
      <c r="B15" s="162" t="s">
        <v>23</v>
      </c>
      <c r="C15" s="95"/>
      <c r="D15" s="67">
        <v>12344977.2955756</v>
      </c>
      <c r="E15" s="68">
        <v>47.162501751887199</v>
      </c>
      <c r="F15" s="70"/>
      <c r="G15" s="67">
        <v>5637447.1584362304</v>
      </c>
      <c r="H15" s="68">
        <v>44.397596366223503</v>
      </c>
      <c r="I15" s="41"/>
      <c r="J15" s="67">
        <v>6974163.8655631198</v>
      </c>
      <c r="K15" s="68">
        <v>51.285164682214401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15" customHeight="1" x14ac:dyDescent="0.25">
      <c r="A16" s="41"/>
      <c r="B16" s="162" t="s">
        <v>24</v>
      </c>
      <c r="C16" s="95"/>
      <c r="D16" s="67">
        <v>1165843.40318011</v>
      </c>
      <c r="E16" s="68">
        <v>4.5189281402812798</v>
      </c>
      <c r="F16" s="70"/>
      <c r="G16" s="67">
        <v>655432.66781421495</v>
      </c>
      <c r="H16" s="68">
        <v>5.2664556432171601</v>
      </c>
      <c r="I16" s="41"/>
      <c r="J16" s="67">
        <v>583168.54354927503</v>
      </c>
      <c r="K16" s="68">
        <v>4.3523291989340898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30" customHeight="1" x14ac:dyDescent="0.25">
      <c r="A17" s="41"/>
      <c r="B17" s="162" t="s">
        <v>158</v>
      </c>
      <c r="C17" s="95"/>
      <c r="D17" s="67">
        <v>1022229.20870566</v>
      </c>
      <c r="E17" s="68">
        <v>3.9506857833642401</v>
      </c>
      <c r="F17" s="70"/>
      <c r="G17" s="67">
        <v>728108.92337795696</v>
      </c>
      <c r="H17" s="68">
        <v>5.8221111973645998</v>
      </c>
      <c r="I17" s="41"/>
      <c r="J17" s="67">
        <v>353660.96873852599</v>
      </c>
      <c r="K17" s="68">
        <v>2.6386670310367899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15" customHeight="1" x14ac:dyDescent="0.25">
      <c r="A18" s="41"/>
      <c r="B18" s="162" t="s">
        <v>26</v>
      </c>
      <c r="C18" s="95"/>
      <c r="D18" s="67">
        <v>14874382.081185799</v>
      </c>
      <c r="E18" s="68">
        <v>56.544807687994698</v>
      </c>
      <c r="F18" s="70"/>
      <c r="G18" s="67">
        <v>7328606.5945445197</v>
      </c>
      <c r="H18" s="68">
        <v>57.607579775036697</v>
      </c>
      <c r="I18" s="41"/>
      <c r="J18" s="67">
        <v>7833436.4113995796</v>
      </c>
      <c r="K18" s="68">
        <v>57.054187557142299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15" customHeight="1" x14ac:dyDescent="0.25">
      <c r="A19" s="41"/>
      <c r="B19" s="162" t="s">
        <v>27</v>
      </c>
      <c r="C19" s="95"/>
      <c r="D19" s="67">
        <v>1107639.8338250399</v>
      </c>
      <c r="E19" s="68">
        <v>4.2798747245054702</v>
      </c>
      <c r="F19" s="70"/>
      <c r="G19" s="67">
        <v>420743.20716171898</v>
      </c>
      <c r="H19" s="68">
        <v>3.38287534106732</v>
      </c>
      <c r="I19" s="41"/>
      <c r="J19" s="67">
        <v>761710.12654645694</v>
      </c>
      <c r="K19" s="68">
        <v>5.6725125819364903</v>
      </c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ht="15" customHeight="1" x14ac:dyDescent="0.25">
      <c r="A20" s="41"/>
      <c r="B20" s="162" t="s">
        <v>28</v>
      </c>
      <c r="C20" s="95"/>
      <c r="D20" s="67">
        <v>1484744.88535649</v>
      </c>
      <c r="E20" s="68">
        <v>5.7251211980009602</v>
      </c>
      <c r="F20" s="70"/>
      <c r="G20" s="67">
        <v>608417.75182190002</v>
      </c>
      <c r="H20" s="68">
        <v>4.8799097603467398</v>
      </c>
      <c r="I20" s="41"/>
      <c r="J20" s="67">
        <v>955232.31364310801</v>
      </c>
      <c r="K20" s="68">
        <v>7.0965235186558804</v>
      </c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1:23" ht="15" customHeight="1" x14ac:dyDescent="0.25">
      <c r="A21" s="41"/>
      <c r="B21" s="162" t="s">
        <v>29</v>
      </c>
      <c r="C21" s="95"/>
      <c r="D21" s="67">
        <v>1681666.0233004</v>
      </c>
      <c r="E21" s="68">
        <v>6.4871685529703598</v>
      </c>
      <c r="F21" s="70"/>
      <c r="G21" s="67">
        <v>546610.60870020103</v>
      </c>
      <c r="H21" s="68">
        <v>4.3957856640016004</v>
      </c>
      <c r="I21" s="41"/>
      <c r="J21" s="67">
        <v>1212734.96468362</v>
      </c>
      <c r="K21" s="68">
        <v>9.0015214193616604</v>
      </c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ht="30" customHeight="1" x14ac:dyDescent="0.25">
      <c r="A22" s="41"/>
      <c r="B22" s="162" t="s">
        <v>147</v>
      </c>
      <c r="C22" s="95"/>
      <c r="D22" s="67">
        <v>3435447.6437510001</v>
      </c>
      <c r="E22" s="68">
        <v>13.228142429766001</v>
      </c>
      <c r="F22" s="70"/>
      <c r="G22" s="67">
        <v>1461703.4759379399</v>
      </c>
      <c r="H22" s="68">
        <v>11.747350152479299</v>
      </c>
      <c r="I22" s="41"/>
      <c r="J22" s="67">
        <v>2097558.8031936702</v>
      </c>
      <c r="K22" s="68">
        <v>15.56022712963</v>
      </c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</row>
    <row r="23" spans="1:23" ht="15" customHeight="1" x14ac:dyDescent="0.25">
      <c r="A23" s="41"/>
      <c r="B23" s="162" t="s">
        <v>30</v>
      </c>
      <c r="C23" s="95"/>
      <c r="D23" s="67">
        <v>45795.640550664699</v>
      </c>
      <c r="E23" s="68">
        <v>0.177550665767015</v>
      </c>
      <c r="F23" s="70"/>
      <c r="G23" s="67">
        <v>45795.640550664699</v>
      </c>
      <c r="H23" s="68">
        <v>0.36879699846122799</v>
      </c>
      <c r="I23" s="41"/>
      <c r="J23" s="67">
        <v>0</v>
      </c>
      <c r="K23" s="68">
        <v>0</v>
      </c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</row>
    <row r="24" spans="1:23" ht="6.95" customHeight="1" x14ac:dyDescent="0.25">
      <c r="A24" s="41"/>
      <c r="B24" s="161"/>
      <c r="C24" s="91"/>
      <c r="D24" s="146"/>
      <c r="E24" s="147"/>
      <c r="F24" s="148"/>
      <c r="G24" s="146"/>
      <c r="H24" s="147"/>
      <c r="I24" s="147"/>
      <c r="J24" s="146"/>
      <c r="K24" s="147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</row>
    <row r="25" spans="1:23" s="6" customFormat="1" ht="15" customHeight="1" x14ac:dyDescent="0.25">
      <c r="A25" s="57"/>
      <c r="B25" s="160" t="s">
        <v>33</v>
      </c>
      <c r="C25" s="97"/>
      <c r="D25" s="60">
        <v>29891046.2676556</v>
      </c>
      <c r="E25" s="61">
        <v>54.313089932241098</v>
      </c>
      <c r="F25" s="62"/>
      <c r="G25" s="60">
        <v>15633320.2582148</v>
      </c>
      <c r="H25" s="61">
        <v>56.475560155756199</v>
      </c>
      <c r="I25" s="57"/>
      <c r="J25" s="60">
        <v>14696034.823483801</v>
      </c>
      <c r="K25" s="61">
        <v>53.129252014133499</v>
      </c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</row>
    <row r="26" spans="1:23" ht="6.95" customHeight="1" x14ac:dyDescent="0.25">
      <c r="A26" s="41"/>
      <c r="B26" s="163"/>
      <c r="C26" s="97"/>
      <c r="D26" s="116"/>
      <c r="E26" s="116"/>
      <c r="F26" s="77"/>
      <c r="G26" s="116"/>
      <c r="H26" s="116"/>
      <c r="I26" s="116"/>
      <c r="J26" s="116"/>
      <c r="K26" s="116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</row>
    <row r="27" spans="1:23" s="6" customFormat="1" ht="15" customHeight="1" x14ac:dyDescent="0.25">
      <c r="A27" s="57"/>
      <c r="B27" s="164" t="s">
        <v>2</v>
      </c>
      <c r="C27" s="97"/>
      <c r="D27" s="60">
        <v>16672676.8615909</v>
      </c>
      <c r="E27" s="61">
        <v>100</v>
      </c>
      <c r="F27" s="62"/>
      <c r="G27" s="60">
        <v>8598763.4025228899</v>
      </c>
      <c r="H27" s="61">
        <v>100</v>
      </c>
      <c r="I27" s="57"/>
      <c r="J27" s="60">
        <v>8294212.0790849403</v>
      </c>
      <c r="K27" s="61">
        <v>100</v>
      </c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</row>
    <row r="28" spans="1:23" ht="6.95" customHeight="1" x14ac:dyDescent="0.25">
      <c r="A28" s="41"/>
      <c r="B28" s="165"/>
      <c r="C28" s="97"/>
      <c r="D28" s="41"/>
      <c r="E28" s="41"/>
      <c r="F28" s="63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s="6" customFormat="1" ht="15" customHeight="1" x14ac:dyDescent="0.25">
      <c r="A29" s="57"/>
      <c r="B29" s="160" t="s">
        <v>32</v>
      </c>
      <c r="C29" s="91"/>
      <c r="D29" s="60">
        <v>6597983.6889518499</v>
      </c>
      <c r="E29" s="61">
        <v>41.2615655222953</v>
      </c>
      <c r="F29" s="62"/>
      <c r="G29" s="60">
        <v>3250553.97512685</v>
      </c>
      <c r="H29" s="61">
        <v>39.951787184720096</v>
      </c>
      <c r="I29" s="57"/>
      <c r="J29" s="60">
        <v>3496805.7447075602</v>
      </c>
      <c r="K29" s="61">
        <v>44.737686204966202</v>
      </c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</row>
    <row r="30" spans="1:23" ht="6.95" customHeight="1" x14ac:dyDescent="0.25">
      <c r="A30" s="41"/>
      <c r="B30" s="161"/>
      <c r="C30" s="91"/>
      <c r="D30" s="67"/>
      <c r="E30" s="68"/>
      <c r="F30" s="62"/>
      <c r="G30" s="67"/>
      <c r="H30" s="68"/>
      <c r="I30" s="57"/>
      <c r="J30" s="67"/>
      <c r="K30" s="68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ht="15" customHeight="1" x14ac:dyDescent="0.25">
      <c r="A31" s="41"/>
      <c r="B31" s="162" t="s">
        <v>23</v>
      </c>
      <c r="C31" s="95"/>
      <c r="D31" s="67">
        <v>2440253.6937969099</v>
      </c>
      <c r="E31" s="68">
        <v>39.923326117705997</v>
      </c>
      <c r="F31" s="70"/>
      <c r="G31" s="67">
        <v>1143670.0529336</v>
      </c>
      <c r="H31" s="68">
        <v>38.272000040095101</v>
      </c>
      <c r="I31" s="41"/>
      <c r="J31" s="67">
        <v>1439541.20257379</v>
      </c>
      <c r="K31" s="68">
        <v>44.7776734356124</v>
      </c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 spans="1:23" ht="15" customHeight="1" x14ac:dyDescent="0.25">
      <c r="A32" s="41"/>
      <c r="B32" s="162" t="s">
        <v>24</v>
      </c>
      <c r="C32" s="95"/>
      <c r="D32" s="67">
        <v>229383.08251563401</v>
      </c>
      <c r="E32" s="68">
        <v>3.9228239992108001</v>
      </c>
      <c r="F32" s="70"/>
      <c r="G32" s="67">
        <v>143893.272937317</v>
      </c>
      <c r="H32" s="68">
        <v>5.1143630334443504</v>
      </c>
      <c r="I32" s="41"/>
      <c r="J32" s="67">
        <v>117966.413192154</v>
      </c>
      <c r="K32" s="68">
        <v>3.8858408396203199</v>
      </c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ht="30" customHeight="1" x14ac:dyDescent="0.25">
      <c r="A33" s="41"/>
      <c r="B33" s="162" t="s">
        <v>158</v>
      </c>
      <c r="C33" s="95"/>
      <c r="D33" s="67">
        <v>527249.87634709</v>
      </c>
      <c r="E33" s="68">
        <v>8.9706806973419706</v>
      </c>
      <c r="F33" s="70"/>
      <c r="G33" s="67">
        <v>359100.12055047997</v>
      </c>
      <c r="H33" s="68">
        <v>12.733607658056</v>
      </c>
      <c r="I33" s="41"/>
      <c r="J33" s="67">
        <v>204951.79741256501</v>
      </c>
      <c r="K33" s="68">
        <v>6.7804167695346997</v>
      </c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</row>
    <row r="34" spans="1:23" ht="15" customHeight="1" x14ac:dyDescent="0.25">
      <c r="A34" s="41"/>
      <c r="B34" s="162" t="s">
        <v>26</v>
      </c>
      <c r="C34" s="95"/>
      <c r="D34" s="67">
        <v>4074372.4479690702</v>
      </c>
      <c r="E34" s="68">
        <v>64.531617488861599</v>
      </c>
      <c r="F34" s="70"/>
      <c r="G34" s="67">
        <v>1990364.60624525</v>
      </c>
      <c r="H34" s="68">
        <v>66.263166291526005</v>
      </c>
      <c r="I34" s="41"/>
      <c r="J34" s="67">
        <v>2187040.9980382398</v>
      </c>
      <c r="K34" s="68">
        <v>66.010469440641103</v>
      </c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 spans="1:23" ht="15" customHeight="1" x14ac:dyDescent="0.25">
      <c r="A35" s="41"/>
      <c r="B35" s="162" t="s">
        <v>27</v>
      </c>
      <c r="C35" s="95"/>
      <c r="D35" s="67">
        <v>141842.30460579801</v>
      </c>
      <c r="E35" s="68">
        <v>2.4407971286442698</v>
      </c>
      <c r="F35" s="70"/>
      <c r="G35" s="67">
        <v>35518.187294226896</v>
      </c>
      <c r="H35" s="68">
        <v>1.2739649500686301</v>
      </c>
      <c r="I35" s="41"/>
      <c r="J35" s="67">
        <v>120112.384823938</v>
      </c>
      <c r="K35" s="68">
        <v>3.9393473851252101</v>
      </c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</row>
    <row r="36" spans="1:23" ht="15" customHeight="1" x14ac:dyDescent="0.25">
      <c r="A36" s="41"/>
      <c r="B36" s="162" t="s">
        <v>28</v>
      </c>
      <c r="C36" s="95"/>
      <c r="D36" s="67">
        <v>236859.07470266201</v>
      </c>
      <c r="E36" s="68">
        <v>4.0399948584803997</v>
      </c>
      <c r="F36" s="70"/>
      <c r="G36" s="67">
        <v>129381.80979601901</v>
      </c>
      <c r="H36" s="68">
        <v>4.5811915587440497</v>
      </c>
      <c r="I36" s="41"/>
      <c r="J36" s="67">
        <v>134482.16488147399</v>
      </c>
      <c r="K36" s="68">
        <v>4.4389769726408499</v>
      </c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  <row r="37" spans="1:23" ht="15" customHeight="1" x14ac:dyDescent="0.25">
      <c r="A37" s="41"/>
      <c r="B37" s="162" t="s">
        <v>29</v>
      </c>
      <c r="C37" s="95"/>
      <c r="D37" s="67">
        <v>308450.05716507701</v>
      </c>
      <c r="E37" s="68">
        <v>5.2436833743422699</v>
      </c>
      <c r="F37" s="70"/>
      <c r="G37" s="67">
        <v>27422.287804285599</v>
      </c>
      <c r="H37" s="68">
        <v>0.98333067620327397</v>
      </c>
      <c r="I37" s="41"/>
      <c r="J37" s="67">
        <v>294606.46572043502</v>
      </c>
      <c r="K37" s="68">
        <v>9.4583242455158203</v>
      </c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</row>
    <row r="38" spans="1:23" ht="30" customHeight="1" x14ac:dyDescent="0.25">
      <c r="A38" s="41"/>
      <c r="B38" s="162" t="s">
        <v>147</v>
      </c>
      <c r="C38" s="95"/>
      <c r="D38" s="67">
        <v>692409.870430629</v>
      </c>
      <c r="E38" s="68">
        <v>11.6195851683578</v>
      </c>
      <c r="F38" s="70"/>
      <c r="G38" s="67">
        <v>288414.47396032198</v>
      </c>
      <c r="H38" s="68">
        <v>10.289659524716701</v>
      </c>
      <c r="I38" s="41"/>
      <c r="J38" s="67">
        <v>459465.27392520302</v>
      </c>
      <c r="K38" s="68">
        <v>14.7521346891776</v>
      </c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</row>
    <row r="39" spans="1:23" ht="15" customHeight="1" x14ac:dyDescent="0.25">
      <c r="A39" s="41"/>
      <c r="B39" s="162" t="s">
        <v>30</v>
      </c>
      <c r="C39" s="95"/>
      <c r="D39" s="67">
        <v>0</v>
      </c>
      <c r="E39" s="68">
        <v>0</v>
      </c>
      <c r="F39" s="70"/>
      <c r="G39" s="67">
        <v>0</v>
      </c>
      <c r="H39" s="68">
        <v>0</v>
      </c>
      <c r="I39" s="41"/>
      <c r="J39" s="67">
        <v>0</v>
      </c>
      <c r="K39" s="68">
        <v>0</v>
      </c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</row>
    <row r="40" spans="1:23" ht="6.95" customHeight="1" x14ac:dyDescent="0.25">
      <c r="A40" s="41"/>
      <c r="B40" s="161"/>
      <c r="C40" s="91"/>
      <c r="D40" s="146"/>
      <c r="E40" s="147"/>
      <c r="F40" s="148"/>
      <c r="G40" s="146"/>
      <c r="H40" s="147"/>
      <c r="I40" s="147"/>
      <c r="J40" s="146"/>
      <c r="K40" s="147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</row>
    <row r="41" spans="1:23" s="6" customFormat="1" ht="15" customHeight="1" x14ac:dyDescent="0.25">
      <c r="A41" s="57"/>
      <c r="B41" s="160" t="s">
        <v>33</v>
      </c>
      <c r="C41" s="97"/>
      <c r="D41" s="60">
        <v>10420058.893782901</v>
      </c>
      <c r="E41" s="61">
        <v>65.3414911238998</v>
      </c>
      <c r="F41" s="62"/>
      <c r="G41" s="60">
        <v>5603644.4356039502</v>
      </c>
      <c r="H41" s="61">
        <v>68.642875447131203</v>
      </c>
      <c r="I41" s="57"/>
      <c r="J41" s="60">
        <v>5050908.6804929599</v>
      </c>
      <c r="K41" s="61">
        <v>64.028732415549896</v>
      </c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</row>
    <row r="42" spans="1:23" ht="6.95" customHeight="1" x14ac:dyDescent="0.25">
      <c r="A42" s="41"/>
      <c r="B42" s="165"/>
      <c r="C42" s="97"/>
      <c r="D42" s="116"/>
      <c r="E42" s="116"/>
      <c r="F42" s="77"/>
      <c r="G42" s="116"/>
      <c r="H42" s="116"/>
      <c r="I42" s="116"/>
      <c r="J42" s="116"/>
      <c r="K42" s="116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</row>
    <row r="43" spans="1:23" s="6" customFormat="1" ht="15" customHeight="1" x14ac:dyDescent="0.25">
      <c r="A43" s="57"/>
      <c r="B43" s="164" t="s">
        <v>3</v>
      </c>
      <c r="C43" s="159"/>
      <c r="D43" s="60">
        <v>40633939.285328098</v>
      </c>
      <c r="E43" s="61">
        <v>100</v>
      </c>
      <c r="F43" s="62"/>
      <c r="G43" s="60">
        <v>20396126.481792301</v>
      </c>
      <c r="H43" s="61">
        <v>100</v>
      </c>
      <c r="I43" s="57"/>
      <c r="J43" s="60">
        <v>20679308.144212801</v>
      </c>
      <c r="K43" s="61">
        <v>100</v>
      </c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</row>
    <row r="44" spans="1:23" ht="6.95" customHeight="1" x14ac:dyDescent="0.25">
      <c r="A44" s="41"/>
      <c r="B44" s="165"/>
      <c r="C44" s="159"/>
      <c r="D44" s="41"/>
      <c r="E44" s="41"/>
      <c r="F44" s="63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</row>
    <row r="45" spans="1:23" s="6" customFormat="1" ht="15" customHeight="1" x14ac:dyDescent="0.25">
      <c r="A45" s="57"/>
      <c r="B45" s="160" t="s">
        <v>32</v>
      </c>
      <c r="C45" s="91"/>
      <c r="D45" s="60">
        <v>20910110.027821701</v>
      </c>
      <c r="E45" s="61">
        <v>52.644222396247699</v>
      </c>
      <c r="F45" s="62"/>
      <c r="G45" s="60">
        <v>10236797.226242799</v>
      </c>
      <c r="H45" s="61">
        <v>51.705998254919997</v>
      </c>
      <c r="I45" s="57"/>
      <c r="J45" s="60">
        <v>10978108.206611199</v>
      </c>
      <c r="K45" s="61">
        <v>54.643682598770802</v>
      </c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</row>
    <row r="46" spans="1:23" ht="6.95" customHeight="1" x14ac:dyDescent="0.25">
      <c r="A46" s="41"/>
      <c r="B46" s="161"/>
      <c r="C46" s="91"/>
      <c r="D46" s="67"/>
      <c r="E46" s="68"/>
      <c r="F46" s="62"/>
      <c r="G46" s="67"/>
      <c r="H46" s="68"/>
      <c r="I46" s="57"/>
      <c r="J46" s="67"/>
      <c r="K46" s="68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</row>
    <row r="47" spans="1:23" ht="15" customHeight="1" x14ac:dyDescent="0.25">
      <c r="A47" s="41"/>
      <c r="B47" s="162" t="s">
        <v>23</v>
      </c>
      <c r="C47" s="95"/>
      <c r="D47" s="67">
        <v>10201360.8941155</v>
      </c>
      <c r="E47" s="68">
        <v>50.238158270230599</v>
      </c>
      <c r="F47" s="70"/>
      <c r="G47" s="67">
        <v>4677202.0823563896</v>
      </c>
      <c r="H47" s="68">
        <v>47.546449123839501</v>
      </c>
      <c r="I47" s="41"/>
      <c r="J47" s="67">
        <v>5732969.0559127098</v>
      </c>
      <c r="K47" s="68">
        <v>54.486099465380299</v>
      </c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</row>
    <row r="48" spans="1:23" ht="15" customHeight="1" x14ac:dyDescent="0.25">
      <c r="A48" s="41"/>
      <c r="B48" s="162" t="s">
        <v>24</v>
      </c>
      <c r="C48" s="95"/>
      <c r="D48" s="67">
        <v>1001596.03997902</v>
      </c>
      <c r="E48" s="68">
        <v>5.0082134270917198</v>
      </c>
      <c r="F48" s="70"/>
      <c r="G48" s="67">
        <v>564585.91256341699</v>
      </c>
      <c r="H48" s="68">
        <v>5.8571833450143798</v>
      </c>
      <c r="I48" s="41"/>
      <c r="J48" s="67">
        <v>501007.96612098598</v>
      </c>
      <c r="K48" s="68">
        <v>4.8316071044031803</v>
      </c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</row>
    <row r="49" spans="1:23" ht="30" customHeight="1" x14ac:dyDescent="0.25">
      <c r="A49" s="41"/>
      <c r="B49" s="162" t="s">
        <v>158</v>
      </c>
      <c r="C49" s="95"/>
      <c r="D49" s="67">
        <v>568168.50693559705</v>
      </c>
      <c r="E49" s="68">
        <v>2.83318624545708</v>
      </c>
      <c r="F49" s="70"/>
      <c r="G49" s="67">
        <v>431291.380599514</v>
      </c>
      <c r="H49" s="68">
        <v>4.4359161307148902</v>
      </c>
      <c r="I49" s="41"/>
      <c r="J49" s="67">
        <v>182565.20220761601</v>
      </c>
      <c r="K49" s="68">
        <v>1.7584782158993</v>
      </c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</row>
    <row r="50" spans="1:23" ht="15" customHeight="1" x14ac:dyDescent="0.25">
      <c r="A50" s="41"/>
      <c r="B50" s="162" t="s">
        <v>26</v>
      </c>
      <c r="C50" s="95"/>
      <c r="D50" s="67">
        <v>11242841.6607255</v>
      </c>
      <c r="E50" s="68">
        <v>55.124130307715902</v>
      </c>
      <c r="F50" s="70"/>
      <c r="G50" s="67">
        <v>5592412.2959133796</v>
      </c>
      <c r="H50" s="68">
        <v>56.4196958143852</v>
      </c>
      <c r="I50" s="41"/>
      <c r="J50" s="67">
        <v>5899956.1919087199</v>
      </c>
      <c r="K50" s="68">
        <v>55.610319786183098</v>
      </c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</row>
    <row r="51" spans="1:23" ht="15" customHeight="1" x14ac:dyDescent="0.25">
      <c r="A51" s="41"/>
      <c r="B51" s="162" t="s">
        <v>27</v>
      </c>
      <c r="C51" s="95"/>
      <c r="D51" s="67">
        <v>1009913.98637878</v>
      </c>
      <c r="E51" s="68">
        <v>5.0278083256586497</v>
      </c>
      <c r="F51" s="70"/>
      <c r="G51" s="67">
        <v>400572.19107687398</v>
      </c>
      <c r="H51" s="68">
        <v>4.1407256757686302</v>
      </c>
      <c r="I51" s="41"/>
      <c r="J51" s="67">
        <v>681178.34978702001</v>
      </c>
      <c r="K51" s="68">
        <v>6.5570360410339301</v>
      </c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</row>
    <row r="52" spans="1:23" ht="15" customHeight="1" x14ac:dyDescent="0.25">
      <c r="A52" s="41"/>
      <c r="B52" s="162" t="s">
        <v>28</v>
      </c>
      <c r="C52" s="95"/>
      <c r="D52" s="67">
        <v>1307014.0914411601</v>
      </c>
      <c r="E52" s="68">
        <v>6.4867090397097904</v>
      </c>
      <c r="F52" s="70"/>
      <c r="G52" s="67">
        <v>522667.86925431702</v>
      </c>
      <c r="H52" s="68">
        <v>5.4035356155099397</v>
      </c>
      <c r="I52" s="41"/>
      <c r="J52" s="67">
        <v>854754.58221265802</v>
      </c>
      <c r="K52" s="68">
        <v>8.1858491604365007</v>
      </c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</row>
    <row r="53" spans="1:23" ht="15" customHeight="1" x14ac:dyDescent="0.25">
      <c r="A53" s="41"/>
      <c r="B53" s="162" t="s">
        <v>29</v>
      </c>
      <c r="C53" s="95"/>
      <c r="D53" s="67">
        <v>1450764.8679806599</v>
      </c>
      <c r="E53" s="68">
        <v>7.2217791490337504</v>
      </c>
      <c r="F53" s="70"/>
      <c r="G53" s="67">
        <v>532811.16474319703</v>
      </c>
      <c r="H53" s="68">
        <v>5.5120753808337399</v>
      </c>
      <c r="I53" s="41"/>
      <c r="J53" s="67">
        <v>988943.30377757002</v>
      </c>
      <c r="K53" s="68">
        <v>9.5238367596408899</v>
      </c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</row>
    <row r="54" spans="1:23" ht="30" customHeight="1" x14ac:dyDescent="0.25">
      <c r="A54" s="41"/>
      <c r="B54" s="162" t="s">
        <v>147</v>
      </c>
      <c r="C54" s="95"/>
      <c r="D54" s="67">
        <v>2854047.7340397201</v>
      </c>
      <c r="E54" s="68">
        <v>14.162550976827401</v>
      </c>
      <c r="F54" s="70"/>
      <c r="G54" s="67">
        <v>1235465.8309506599</v>
      </c>
      <c r="H54" s="68">
        <v>12.7718915963288</v>
      </c>
      <c r="I54" s="41"/>
      <c r="J54" s="67">
        <v>1725415.5414153601</v>
      </c>
      <c r="K54" s="68">
        <v>16.547956033852</v>
      </c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</row>
    <row r="55" spans="1:23" ht="15" customHeight="1" x14ac:dyDescent="0.25">
      <c r="A55" s="41"/>
      <c r="B55" s="162" t="s">
        <v>30</v>
      </c>
      <c r="C55" s="95"/>
      <c r="D55" s="67">
        <v>45795.640550664699</v>
      </c>
      <c r="E55" s="68">
        <v>0.229490792457233</v>
      </c>
      <c r="F55" s="70"/>
      <c r="G55" s="67">
        <v>45795.640550664699</v>
      </c>
      <c r="H55" s="68">
        <v>0.47583636660272699</v>
      </c>
      <c r="I55" s="41"/>
      <c r="J55" s="67">
        <v>0</v>
      </c>
      <c r="K55" s="68">
        <v>0</v>
      </c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</row>
    <row r="56" spans="1:23" ht="6.95" customHeight="1" x14ac:dyDescent="0.25">
      <c r="A56" s="41"/>
      <c r="B56" s="161"/>
      <c r="C56" s="91"/>
      <c r="D56" s="146"/>
      <c r="E56" s="147"/>
      <c r="F56" s="148"/>
      <c r="G56" s="146"/>
      <c r="H56" s="147"/>
      <c r="I56" s="147"/>
      <c r="J56" s="146"/>
      <c r="K56" s="147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</row>
    <row r="57" spans="1:23" s="6" customFormat="1" ht="15" customHeight="1" x14ac:dyDescent="0.25">
      <c r="A57" s="57"/>
      <c r="B57" s="160" t="s">
        <v>33</v>
      </c>
      <c r="C57" s="97"/>
      <c r="D57" s="60">
        <v>20251956.5951139</v>
      </c>
      <c r="E57" s="61">
        <v>50.805050393884002</v>
      </c>
      <c r="F57" s="62"/>
      <c r="G57" s="60">
        <v>10474079.3560172</v>
      </c>
      <c r="H57" s="61">
        <v>52.643643977700101</v>
      </c>
      <c r="I57" s="57"/>
      <c r="J57" s="60">
        <v>10088298.864765</v>
      </c>
      <c r="K57" s="61">
        <v>50.0744479076928</v>
      </c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</row>
    <row r="58" spans="1:23" ht="6.95" customHeight="1" x14ac:dyDescent="0.25">
      <c r="A58" s="41"/>
      <c r="B58" s="166"/>
      <c r="C58" s="167"/>
      <c r="D58" s="80"/>
      <c r="E58" s="80"/>
      <c r="F58" s="102"/>
      <c r="G58" s="168"/>
      <c r="H58" s="80"/>
      <c r="I58" s="80"/>
      <c r="J58" s="80"/>
      <c r="K58" s="80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</row>
    <row r="59" spans="1:23" ht="6.95" customHeight="1" x14ac:dyDescent="0.25">
      <c r="A59" s="41"/>
      <c r="B59" s="169"/>
      <c r="C59" s="170"/>
      <c r="D59" s="171"/>
      <c r="E59" s="171"/>
      <c r="F59" s="104"/>
      <c r="G59" s="17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</row>
    <row r="60" spans="1:23" ht="12" customHeight="1" x14ac:dyDescent="0.25">
      <c r="A60" s="41"/>
      <c r="B60" s="315" t="s">
        <v>130</v>
      </c>
      <c r="C60" s="315"/>
      <c r="D60" s="315"/>
      <c r="E60" s="315"/>
      <c r="F60" s="315"/>
      <c r="G60" s="315"/>
      <c r="H60" s="315"/>
      <c r="I60" s="315"/>
      <c r="J60" s="315"/>
      <c r="K60" s="315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</row>
    <row r="61" spans="1:23" ht="12" customHeight="1" x14ac:dyDescent="0.25">
      <c r="A61" s="41"/>
      <c r="B61" s="172" t="s">
        <v>131</v>
      </c>
      <c r="C61" s="173"/>
      <c r="D61" s="174"/>
      <c r="E61" s="174"/>
      <c r="F61" s="174"/>
      <c r="G61" s="174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</row>
    <row r="62" spans="1:23" ht="12" customHeight="1" x14ac:dyDescent="0.25">
      <c r="A62" s="41"/>
      <c r="B62" s="307" t="s">
        <v>145</v>
      </c>
      <c r="C62" s="307"/>
      <c r="D62" s="307"/>
      <c r="E62" s="307"/>
      <c r="F62" s="307"/>
      <c r="G62" s="307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</row>
  </sheetData>
  <mergeCells count="8">
    <mergeCell ref="B60:K60"/>
    <mergeCell ref="B62:G62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ÍNDICE" xr:uid="{7498F864-36CF-4232-91F7-D51BFF0B97EB}"/>
  </hyperlinks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35C69-AA83-45C5-AA05-7888FF6BB775}">
  <dimension ref="A1:W27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85" t="s">
        <v>214</v>
      </c>
      <c r="C1" s="31"/>
      <c r="D1" s="31"/>
      <c r="E1" s="30"/>
      <c r="F1" s="30"/>
      <c r="G1" s="30"/>
      <c r="H1" s="30"/>
      <c r="I1" s="30"/>
      <c r="J1" s="30"/>
      <c r="K1" s="284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15" customHeight="1" x14ac:dyDescent="0.2">
      <c r="A5" s="32"/>
      <c r="B5" s="175" t="s">
        <v>103</v>
      </c>
      <c r="C5" s="37"/>
      <c r="D5" s="39"/>
      <c r="E5" s="39"/>
      <c r="F5" s="39"/>
      <c r="G5" s="38"/>
      <c r="H5" s="34"/>
      <c r="I5" s="32"/>
      <c r="J5" s="32"/>
      <c r="K5" s="40" t="s">
        <v>86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1" t="s">
        <v>183</v>
      </c>
      <c r="C7" s="42"/>
      <c r="D7" s="308" t="s">
        <v>182</v>
      </c>
      <c r="E7" s="308"/>
      <c r="F7" s="43"/>
      <c r="G7" s="310" t="s">
        <v>170</v>
      </c>
      <c r="H7" s="310"/>
      <c r="I7" s="310"/>
      <c r="J7" s="310"/>
      <c r="K7" s="310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2"/>
      <c r="C8" s="47"/>
      <c r="D8" s="309"/>
      <c r="E8" s="309"/>
      <c r="F8" s="26"/>
      <c r="G8" s="309" t="s">
        <v>12</v>
      </c>
      <c r="H8" s="309"/>
      <c r="I8" s="26"/>
      <c r="J8" s="309" t="s">
        <v>0</v>
      </c>
      <c r="K8" s="309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13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87"/>
      <c r="C10" s="87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ht="15" customHeight="1" x14ac:dyDescent="0.25">
      <c r="A11" s="41"/>
      <c r="B11" s="109" t="s">
        <v>1</v>
      </c>
      <c r="C11" s="89"/>
      <c r="D11" s="60">
        <v>55898795.798616096</v>
      </c>
      <c r="E11" s="61">
        <v>100</v>
      </c>
      <c r="F11" s="62"/>
      <c r="G11" s="60">
        <v>28249073.615063</v>
      </c>
      <c r="H11" s="61">
        <v>100</v>
      </c>
      <c r="I11" s="57"/>
      <c r="J11" s="60">
        <v>28271015.049400002</v>
      </c>
      <c r="K11" s="61">
        <v>100</v>
      </c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</row>
    <row r="12" spans="1:23" ht="6.95" customHeight="1" x14ac:dyDescent="0.25">
      <c r="A12" s="41"/>
      <c r="B12" s="109"/>
      <c r="C12" s="89"/>
      <c r="D12" s="67"/>
      <c r="E12" s="68"/>
      <c r="F12" s="62"/>
      <c r="G12" s="67"/>
      <c r="H12" s="68"/>
      <c r="I12" s="57"/>
      <c r="J12" s="67"/>
      <c r="K12" s="68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ht="15" customHeight="1" x14ac:dyDescent="0.25">
      <c r="A13" s="41"/>
      <c r="B13" s="176" t="s">
        <v>35</v>
      </c>
      <c r="C13" s="91"/>
      <c r="D13" s="67">
        <v>11295266.9095883</v>
      </c>
      <c r="E13" s="68">
        <v>20.638004731587699</v>
      </c>
      <c r="F13" s="70"/>
      <c r="G13" s="67">
        <v>5664504.1946940999</v>
      </c>
      <c r="H13" s="68">
        <v>20.732088061405602</v>
      </c>
      <c r="I13" s="41"/>
      <c r="J13" s="67">
        <v>5861631.0854958696</v>
      </c>
      <c r="K13" s="68">
        <v>21.348597771986999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</row>
    <row r="14" spans="1:23" ht="15" customHeight="1" x14ac:dyDescent="0.25">
      <c r="A14" s="41"/>
      <c r="B14" s="176" t="s">
        <v>36</v>
      </c>
      <c r="C14" s="95"/>
      <c r="D14" s="67">
        <v>1960323.0142619901</v>
      </c>
      <c r="E14" s="68">
        <v>3.5909893370914601</v>
      </c>
      <c r="F14" s="70"/>
      <c r="G14" s="67">
        <v>696904.62395404303</v>
      </c>
      <c r="H14" s="68">
        <v>2.5570834955311099</v>
      </c>
      <c r="I14" s="41"/>
      <c r="J14" s="67">
        <v>1348650.4911642701</v>
      </c>
      <c r="K14" s="68">
        <v>4.9336046081639102</v>
      </c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15" customHeight="1" x14ac:dyDescent="0.25">
      <c r="A15" s="41"/>
      <c r="B15" s="177" t="s">
        <v>132</v>
      </c>
      <c r="C15" s="95"/>
      <c r="D15" s="67">
        <v>24600788.333739702</v>
      </c>
      <c r="E15" s="68">
        <v>44.810315356018897</v>
      </c>
      <c r="F15" s="70"/>
      <c r="G15" s="67">
        <v>11507000.0317201</v>
      </c>
      <c r="H15" s="68">
        <v>41.757079351020302</v>
      </c>
      <c r="I15" s="41"/>
      <c r="J15" s="67">
        <v>13454135.997665601</v>
      </c>
      <c r="K15" s="68">
        <v>48.882794129201002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15" customHeight="1" x14ac:dyDescent="0.25">
      <c r="A16" s="41"/>
      <c r="B16" s="176" t="s">
        <v>37</v>
      </c>
      <c r="C16" s="178"/>
      <c r="D16" s="67">
        <v>2798094.4821192701</v>
      </c>
      <c r="E16" s="68">
        <v>5.1084814358023696</v>
      </c>
      <c r="F16" s="70"/>
      <c r="G16" s="67">
        <v>1191003.6317211399</v>
      </c>
      <c r="H16" s="68">
        <v>4.3435336668466</v>
      </c>
      <c r="I16" s="41"/>
      <c r="J16" s="67">
        <v>1734053.18103231</v>
      </c>
      <c r="K16" s="68">
        <v>6.3178557477083901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15" customHeight="1" x14ac:dyDescent="0.25">
      <c r="A17" s="41"/>
      <c r="B17" s="176" t="s">
        <v>38</v>
      </c>
      <c r="C17" s="95"/>
      <c r="D17" s="67">
        <v>9905427.1907237004</v>
      </c>
      <c r="E17" s="68">
        <v>18.106048149775201</v>
      </c>
      <c r="F17" s="70"/>
      <c r="G17" s="67">
        <v>6236200.26964771</v>
      </c>
      <c r="H17" s="68">
        <v>22.722645300042</v>
      </c>
      <c r="I17" s="41"/>
      <c r="J17" s="67">
        <v>3942633.1359405299</v>
      </c>
      <c r="K17" s="68">
        <v>14.3668320383197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15" customHeight="1" x14ac:dyDescent="0.25">
      <c r="A18" s="41"/>
      <c r="B18" s="176" t="s">
        <v>39</v>
      </c>
      <c r="C18" s="95"/>
      <c r="D18" s="67">
        <v>5407253.2542412104</v>
      </c>
      <c r="E18" s="68">
        <v>9.8783477341893899</v>
      </c>
      <c r="F18" s="70"/>
      <c r="G18" s="67">
        <v>2528808.5208543101</v>
      </c>
      <c r="H18" s="68">
        <v>9.2534645705513903</v>
      </c>
      <c r="I18" s="41"/>
      <c r="J18" s="67">
        <v>3059802.3861458199</v>
      </c>
      <c r="K18" s="68">
        <v>11.1374678546234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15" customHeight="1" x14ac:dyDescent="0.25">
      <c r="A19" s="41"/>
      <c r="B19" s="176" t="s">
        <v>40</v>
      </c>
      <c r="C19" s="95"/>
      <c r="D19" s="67">
        <v>4788918.7031241804</v>
      </c>
      <c r="E19" s="68">
        <v>8.7369294261768395</v>
      </c>
      <c r="F19" s="70"/>
      <c r="G19" s="67">
        <v>2414890.9762605298</v>
      </c>
      <c r="H19" s="68">
        <v>8.8132240882940405</v>
      </c>
      <c r="I19" s="41"/>
      <c r="J19" s="67">
        <v>2560229.65339946</v>
      </c>
      <c r="K19" s="68">
        <v>9.3206223727397202</v>
      </c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ht="15" customHeight="1" x14ac:dyDescent="0.25">
      <c r="A20" s="41"/>
      <c r="B20" s="179" t="s">
        <v>112</v>
      </c>
      <c r="C20" s="95"/>
      <c r="D20" s="67">
        <v>9876910.0289285295</v>
      </c>
      <c r="E20" s="68">
        <v>18.011714333202999</v>
      </c>
      <c r="F20" s="70"/>
      <c r="G20" s="67">
        <v>5220731.9856747501</v>
      </c>
      <c r="H20" s="68">
        <v>18.996978089452401</v>
      </c>
      <c r="I20" s="41"/>
      <c r="J20" s="67">
        <v>4921388.2014900399</v>
      </c>
      <c r="K20" s="68">
        <v>17.907199420338198</v>
      </c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1:23" ht="15" customHeight="1" x14ac:dyDescent="0.25">
      <c r="A21" s="41"/>
      <c r="B21" s="179" t="s">
        <v>123</v>
      </c>
      <c r="C21" s="95"/>
      <c r="D21" s="67">
        <v>1510291.09384421</v>
      </c>
      <c r="E21" s="68">
        <v>2.7608063287362201</v>
      </c>
      <c r="F21" s="70"/>
      <c r="G21" s="67">
        <v>752921.89044554101</v>
      </c>
      <c r="H21" s="68">
        <v>2.7569745343755501</v>
      </c>
      <c r="I21" s="41"/>
      <c r="J21" s="67">
        <v>850167.34786708199</v>
      </c>
      <c r="K21" s="68">
        <v>3.1064480473993199</v>
      </c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ht="15" customHeight="1" x14ac:dyDescent="0.25">
      <c r="A22" s="41"/>
      <c r="B22" s="176" t="s">
        <v>41</v>
      </c>
      <c r="C22" s="95"/>
      <c r="D22" s="67">
        <v>682093.88753889001</v>
      </c>
      <c r="E22" s="68">
        <v>1.2491853791147201</v>
      </c>
      <c r="F22" s="70"/>
      <c r="G22" s="67">
        <v>355618.56409767899</v>
      </c>
      <c r="H22" s="68">
        <v>1.3015141438809199</v>
      </c>
      <c r="I22" s="41"/>
      <c r="J22" s="67">
        <v>392100.32719053503</v>
      </c>
      <c r="K22" s="68">
        <v>1.43306016019465</v>
      </c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</row>
    <row r="23" spans="1:23" ht="15" customHeight="1" x14ac:dyDescent="0.25">
      <c r="A23" s="41"/>
      <c r="B23" s="180" t="s">
        <v>118</v>
      </c>
      <c r="C23" s="95"/>
      <c r="D23" s="67">
        <v>203154.97395657501</v>
      </c>
      <c r="E23" s="68">
        <v>0.37216821731265098</v>
      </c>
      <c r="F23" s="70"/>
      <c r="G23" s="67">
        <v>113235.261013367</v>
      </c>
      <c r="H23" s="68">
        <v>0.415710560239958</v>
      </c>
      <c r="I23" s="41"/>
      <c r="J23" s="67">
        <v>113222.583789267</v>
      </c>
      <c r="K23" s="68">
        <v>0.41397547070111201</v>
      </c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</row>
    <row r="24" spans="1:23" ht="6.95" customHeight="1" x14ac:dyDescent="0.25">
      <c r="A24" s="41"/>
      <c r="B24" s="166"/>
      <c r="C24" s="166"/>
      <c r="D24" s="80"/>
      <c r="E24" s="80"/>
      <c r="F24" s="181"/>
      <c r="G24" s="182"/>
      <c r="H24" s="80"/>
      <c r="I24" s="80"/>
      <c r="J24" s="80"/>
      <c r="K24" s="80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</row>
    <row r="25" spans="1:23" ht="6.95" customHeight="1" x14ac:dyDescent="0.25">
      <c r="A25" s="41"/>
      <c r="B25" s="109"/>
      <c r="C25" s="109"/>
      <c r="D25" s="88"/>
      <c r="E25" s="88"/>
      <c r="F25" s="183"/>
      <c r="G25" s="184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 spans="1:23" ht="12" customHeight="1" x14ac:dyDescent="0.25">
      <c r="A26" s="41"/>
      <c r="B26" s="106" t="s">
        <v>133</v>
      </c>
      <c r="C26" s="185"/>
      <c r="D26" s="185"/>
      <c r="E26" s="185"/>
      <c r="F26" s="185"/>
      <c r="G26" s="184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</row>
    <row r="27" spans="1:23" ht="12" customHeight="1" x14ac:dyDescent="0.25">
      <c r="A27" s="41"/>
      <c r="B27" s="307" t="s">
        <v>145</v>
      </c>
      <c r="C27" s="307"/>
      <c r="D27" s="307"/>
      <c r="E27" s="307"/>
      <c r="F27" s="307"/>
      <c r="G27" s="307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</row>
  </sheetData>
  <mergeCells count="6">
    <mergeCell ref="B27:G27"/>
    <mergeCell ref="B7:B9"/>
    <mergeCell ref="D7:E8"/>
    <mergeCell ref="G7:K7"/>
    <mergeCell ref="G8:H8"/>
    <mergeCell ref="J8:K8"/>
  </mergeCells>
  <hyperlinks>
    <hyperlink ref="K1" location="ÍNDICE!A1" tooltip="Ir a ÍNDICE" display="ÍNDICE" xr:uid="{FB6A243F-4470-4DBC-B393-5C833AD93E6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2D5BB-BED6-4608-A0BF-15FBE2183BAF}">
  <dimension ref="A1:W50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85" t="s">
        <v>214</v>
      </c>
      <c r="C1" s="31"/>
      <c r="D1" s="31"/>
      <c r="E1" s="30"/>
      <c r="F1" s="30"/>
      <c r="G1" s="30"/>
      <c r="H1" s="30"/>
      <c r="I1" s="30"/>
      <c r="J1" s="30"/>
      <c r="K1" s="284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15" customHeight="1" x14ac:dyDescent="0.2">
      <c r="A5" s="32"/>
      <c r="B5" s="175" t="s">
        <v>185</v>
      </c>
      <c r="C5" s="175"/>
      <c r="D5" s="175"/>
      <c r="E5" s="175"/>
      <c r="F5" s="186"/>
      <c r="G5" s="186"/>
      <c r="H5" s="34"/>
      <c r="I5" s="32"/>
      <c r="J5" s="32"/>
      <c r="K5" s="40" t="s">
        <v>85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1" t="s">
        <v>67</v>
      </c>
      <c r="C7" s="42"/>
      <c r="D7" s="308" t="s">
        <v>184</v>
      </c>
      <c r="E7" s="308"/>
      <c r="F7" s="43"/>
      <c r="G7" s="310" t="s">
        <v>170</v>
      </c>
      <c r="H7" s="310"/>
      <c r="I7" s="310"/>
      <c r="J7" s="310"/>
      <c r="K7" s="310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2"/>
      <c r="C8" s="47"/>
      <c r="D8" s="309"/>
      <c r="E8" s="309"/>
      <c r="F8" s="26"/>
      <c r="G8" s="317" t="s">
        <v>12</v>
      </c>
      <c r="H8" s="317"/>
      <c r="I8" s="26"/>
      <c r="J8" s="317" t="s">
        <v>0</v>
      </c>
      <c r="K8" s="317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13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87"/>
      <c r="C10" s="87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s="6" customFormat="1" ht="15" customHeight="1" x14ac:dyDescent="0.25">
      <c r="A11" s="57"/>
      <c r="B11" s="109" t="s">
        <v>1</v>
      </c>
      <c r="C11" s="89"/>
      <c r="D11" s="60">
        <v>26850907.822527301</v>
      </c>
      <c r="E11" s="61">
        <v>100</v>
      </c>
      <c r="F11" s="62"/>
      <c r="G11" s="60">
        <v>13107881.6364871</v>
      </c>
      <c r="H11" s="61">
        <v>100</v>
      </c>
      <c r="I11" s="57"/>
      <c r="J11" s="60">
        <v>14113342.3799274</v>
      </c>
      <c r="K11" s="61">
        <v>100</v>
      </c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</row>
    <row r="12" spans="1:23" ht="6.95" customHeight="1" x14ac:dyDescent="0.25">
      <c r="A12" s="41"/>
      <c r="B12" s="109"/>
      <c r="C12" s="89"/>
      <c r="D12" s="67"/>
      <c r="E12" s="68"/>
      <c r="F12" s="62"/>
      <c r="G12" s="67"/>
      <c r="H12" s="68"/>
      <c r="I12" s="57"/>
      <c r="J12" s="67"/>
      <c r="K12" s="68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ht="15" customHeight="1" x14ac:dyDescent="0.25">
      <c r="A13" s="41"/>
      <c r="B13" s="110" t="s">
        <v>15</v>
      </c>
      <c r="C13" s="91"/>
      <c r="D13" s="67">
        <v>11387730.2112904</v>
      </c>
      <c r="E13" s="68">
        <v>43.423975364248399</v>
      </c>
      <c r="F13" s="70"/>
      <c r="G13" s="67">
        <v>5637381.4388693999</v>
      </c>
      <c r="H13" s="68">
        <v>44.663862124123703</v>
      </c>
      <c r="I13" s="41"/>
      <c r="J13" s="67">
        <v>5986575.1926065898</v>
      </c>
      <c r="K13" s="68">
        <v>43.835575908276901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</row>
    <row r="14" spans="1:23" ht="15" customHeight="1" x14ac:dyDescent="0.25">
      <c r="A14" s="41"/>
      <c r="B14" s="110" t="s">
        <v>14</v>
      </c>
      <c r="C14" s="95"/>
      <c r="D14" s="67">
        <v>8337580.4718054701</v>
      </c>
      <c r="E14" s="68">
        <v>31.910508142285899</v>
      </c>
      <c r="F14" s="70"/>
      <c r="G14" s="67">
        <v>3986335.0338525898</v>
      </c>
      <c r="H14" s="68">
        <v>31.563458081705502</v>
      </c>
      <c r="I14" s="41"/>
      <c r="J14" s="67">
        <v>4569927.2285399502</v>
      </c>
      <c r="K14" s="68">
        <v>33.551636773502999</v>
      </c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30" customHeight="1" x14ac:dyDescent="0.25">
      <c r="A15" s="41"/>
      <c r="B15" s="187" t="s">
        <v>16</v>
      </c>
      <c r="C15" s="95"/>
      <c r="D15" s="67">
        <v>6298837.5182512701</v>
      </c>
      <c r="E15" s="68">
        <v>24.067160942441401</v>
      </c>
      <c r="F15" s="70"/>
      <c r="G15" s="67">
        <v>2533494.9333221102</v>
      </c>
      <c r="H15" s="68">
        <v>20.17415260756</v>
      </c>
      <c r="I15" s="41"/>
      <c r="J15" s="67">
        <v>3949849.28145845</v>
      </c>
      <c r="K15" s="68">
        <v>28.951916790353302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15" customHeight="1" x14ac:dyDescent="0.25">
      <c r="A16" s="41"/>
      <c r="B16" s="110" t="s">
        <v>18</v>
      </c>
      <c r="C16" s="95"/>
      <c r="D16" s="67">
        <v>3748819.9710893598</v>
      </c>
      <c r="E16" s="68">
        <v>14.394727544101601</v>
      </c>
      <c r="F16" s="70"/>
      <c r="G16" s="67">
        <v>2428120.8306687898</v>
      </c>
      <c r="H16" s="68">
        <v>19.169874754362102</v>
      </c>
      <c r="I16" s="41"/>
      <c r="J16" s="67">
        <v>1463582.2369512301</v>
      </c>
      <c r="K16" s="68">
        <v>10.905542198048501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15" customHeight="1" x14ac:dyDescent="0.25">
      <c r="A17" s="41"/>
      <c r="B17" s="110" t="s">
        <v>19</v>
      </c>
      <c r="C17" s="95"/>
      <c r="D17" s="67">
        <v>2534014.5991561301</v>
      </c>
      <c r="E17" s="68">
        <v>9.8500453401271795</v>
      </c>
      <c r="F17" s="70"/>
      <c r="G17" s="67">
        <v>1419646.4418325799</v>
      </c>
      <c r="H17" s="68">
        <v>11.424269779796299</v>
      </c>
      <c r="I17" s="41"/>
      <c r="J17" s="67">
        <v>1231173.5140376601</v>
      </c>
      <c r="K17" s="68">
        <v>9.1936190651407195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15" customHeight="1" x14ac:dyDescent="0.25">
      <c r="A18" s="41"/>
      <c r="B18" s="110" t="s">
        <v>17</v>
      </c>
      <c r="C18" s="95"/>
      <c r="D18" s="67">
        <v>2267708.31077844</v>
      </c>
      <c r="E18" s="68">
        <v>8.7608750645417395</v>
      </c>
      <c r="F18" s="70"/>
      <c r="G18" s="67">
        <v>1366839.9225669201</v>
      </c>
      <c r="H18" s="68">
        <v>10.978025842406501</v>
      </c>
      <c r="I18" s="41"/>
      <c r="J18" s="67">
        <v>1014633.64274693</v>
      </c>
      <c r="K18" s="68">
        <v>7.5529257939309904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15" customHeight="1" x14ac:dyDescent="0.25">
      <c r="A19" s="41"/>
      <c r="B19" s="110" t="s">
        <v>20</v>
      </c>
      <c r="C19" s="95"/>
      <c r="D19" s="67">
        <v>2284317.2105958401</v>
      </c>
      <c r="E19" s="68">
        <v>8.7898124894898704</v>
      </c>
      <c r="F19" s="70"/>
      <c r="G19" s="67">
        <v>849596.99516802002</v>
      </c>
      <c r="H19" s="68">
        <v>6.8048743362525599</v>
      </c>
      <c r="I19" s="41"/>
      <c r="J19" s="67">
        <v>1555050.64285381</v>
      </c>
      <c r="K19" s="68">
        <v>11.4916761361882</v>
      </c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ht="15" customHeight="1" x14ac:dyDescent="0.25">
      <c r="A20" s="41"/>
      <c r="B20" s="110" t="s">
        <v>34</v>
      </c>
      <c r="C20" s="95"/>
      <c r="D20" s="67">
        <v>807270.36856623297</v>
      </c>
      <c r="E20" s="68">
        <v>3.1297276942022001</v>
      </c>
      <c r="F20" s="70"/>
      <c r="G20" s="67">
        <v>392911.02201868797</v>
      </c>
      <c r="H20" s="68">
        <v>3.16021592825002</v>
      </c>
      <c r="I20" s="41"/>
      <c r="J20" s="67">
        <v>466747.98550845298</v>
      </c>
      <c r="K20" s="68">
        <v>3.48877575656436</v>
      </c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1:23" ht="15" customHeight="1" x14ac:dyDescent="0.25">
      <c r="A21" s="41"/>
      <c r="B21" s="110" t="s">
        <v>22</v>
      </c>
      <c r="C21" s="95"/>
      <c r="D21" s="67">
        <v>495652.98562576203</v>
      </c>
      <c r="E21" s="68">
        <v>1.92286715394832</v>
      </c>
      <c r="F21" s="70"/>
      <c r="G21" s="67">
        <v>278262.34386404598</v>
      </c>
      <c r="H21" s="68">
        <v>2.2424226457157599</v>
      </c>
      <c r="I21" s="41"/>
      <c r="J21" s="67">
        <v>259766.310350833</v>
      </c>
      <c r="K21" s="68">
        <v>1.9400194507600801</v>
      </c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ht="6.95" customHeight="1" x14ac:dyDescent="0.25">
      <c r="A22" s="41"/>
      <c r="B22" s="176"/>
      <c r="C22" s="97"/>
      <c r="D22" s="67"/>
      <c r="E22" s="68"/>
      <c r="F22" s="70"/>
      <c r="G22" s="67"/>
      <c r="H22" s="68"/>
      <c r="I22" s="41"/>
      <c r="J22" s="67"/>
      <c r="K22" s="68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</row>
    <row r="23" spans="1:23" s="6" customFormat="1" ht="15" customHeight="1" x14ac:dyDescent="0.25">
      <c r="A23" s="57"/>
      <c r="B23" s="188" t="s">
        <v>2</v>
      </c>
      <c r="C23" s="97"/>
      <c r="D23" s="60">
        <v>6597983.6889518499</v>
      </c>
      <c r="E23" s="61">
        <v>100</v>
      </c>
      <c r="F23" s="62"/>
      <c r="G23" s="60">
        <v>3250553.97512685</v>
      </c>
      <c r="H23" s="61">
        <v>100</v>
      </c>
      <c r="I23" s="57"/>
      <c r="J23" s="60">
        <v>3496805.7447075602</v>
      </c>
      <c r="K23" s="61">
        <v>100</v>
      </c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</row>
    <row r="24" spans="1:23" ht="6.95" customHeight="1" x14ac:dyDescent="0.25">
      <c r="A24" s="41"/>
      <c r="B24" s="189"/>
      <c r="C24" s="97"/>
      <c r="D24" s="67"/>
      <c r="E24" s="68"/>
      <c r="F24" s="62"/>
      <c r="G24" s="67"/>
      <c r="H24" s="68"/>
      <c r="I24" s="57"/>
      <c r="J24" s="67"/>
      <c r="K24" s="68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</row>
    <row r="25" spans="1:23" ht="15" customHeight="1" x14ac:dyDescent="0.25">
      <c r="A25" s="41"/>
      <c r="B25" s="110" t="s">
        <v>15</v>
      </c>
      <c r="C25" s="91"/>
      <c r="D25" s="67">
        <v>2665960.4139970201</v>
      </c>
      <c r="E25" s="68">
        <v>42.773335286116101</v>
      </c>
      <c r="F25" s="70"/>
      <c r="G25" s="67">
        <v>1363258.3175405699</v>
      </c>
      <c r="H25" s="68">
        <v>46.390781283423799</v>
      </c>
      <c r="I25" s="41"/>
      <c r="J25" s="67">
        <v>1421470.8669637099</v>
      </c>
      <c r="K25" s="68">
        <v>43.505507465154203</v>
      </c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 spans="1:23" ht="15" customHeight="1" x14ac:dyDescent="0.25">
      <c r="A26" s="41"/>
      <c r="B26" s="110" t="s">
        <v>14</v>
      </c>
      <c r="C26" s="95"/>
      <c r="D26" s="67">
        <v>2001191.7732015499</v>
      </c>
      <c r="E26" s="68">
        <v>32.880767805602098</v>
      </c>
      <c r="F26" s="70"/>
      <c r="G26" s="67">
        <v>868816.20223891595</v>
      </c>
      <c r="H26" s="68">
        <v>29.9832157516988</v>
      </c>
      <c r="I26" s="41"/>
      <c r="J26" s="67">
        <v>1218590.07972516</v>
      </c>
      <c r="K26" s="68">
        <v>38.1211569876981</v>
      </c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</row>
    <row r="27" spans="1:23" ht="30" customHeight="1" x14ac:dyDescent="0.25">
      <c r="A27" s="41"/>
      <c r="B27" s="187" t="s">
        <v>16</v>
      </c>
      <c r="C27" s="95"/>
      <c r="D27" s="67">
        <v>1709839.2313995799</v>
      </c>
      <c r="E27" s="68">
        <v>27.8673326924131</v>
      </c>
      <c r="F27" s="70"/>
      <c r="G27" s="67">
        <v>802977.24251552299</v>
      </c>
      <c r="H27" s="68">
        <v>26.982699598046899</v>
      </c>
      <c r="I27" s="41"/>
      <c r="J27" s="67">
        <v>988802.62453674397</v>
      </c>
      <c r="K27" s="68">
        <v>31.633216784195199</v>
      </c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</row>
    <row r="28" spans="1:23" ht="15" customHeight="1" x14ac:dyDescent="0.25">
      <c r="A28" s="41"/>
      <c r="B28" s="110" t="s">
        <v>18</v>
      </c>
      <c r="C28" s="95"/>
      <c r="D28" s="67">
        <v>1111642.3099050999</v>
      </c>
      <c r="E28" s="68">
        <v>18.238384331789302</v>
      </c>
      <c r="F28" s="70"/>
      <c r="G28" s="67">
        <v>782159.52736579604</v>
      </c>
      <c r="H28" s="68">
        <v>26.082902705269099</v>
      </c>
      <c r="I28" s="41"/>
      <c r="J28" s="67">
        <v>381584.41604687797</v>
      </c>
      <c r="K28" s="68">
        <v>12.5829217600356</v>
      </c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ht="15" customHeight="1" x14ac:dyDescent="0.25">
      <c r="A29" s="41"/>
      <c r="B29" s="110" t="s">
        <v>19</v>
      </c>
      <c r="C29" s="95"/>
      <c r="D29" s="67">
        <v>441445.388474804</v>
      </c>
      <c r="E29" s="68">
        <v>7.6441282825674399</v>
      </c>
      <c r="F29" s="70"/>
      <c r="G29" s="67">
        <v>248122.92992255301</v>
      </c>
      <c r="H29" s="68">
        <v>8.8842272089296301</v>
      </c>
      <c r="I29" s="41"/>
      <c r="J29" s="67">
        <v>237479.76292273001</v>
      </c>
      <c r="K29" s="68">
        <v>7.8415357858241199</v>
      </c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</row>
    <row r="30" spans="1:23" ht="15" customHeight="1" x14ac:dyDescent="0.25">
      <c r="A30" s="41"/>
      <c r="B30" s="110" t="s">
        <v>17</v>
      </c>
      <c r="C30" s="95"/>
      <c r="D30" s="67">
        <v>682023.12242472696</v>
      </c>
      <c r="E30" s="68">
        <v>11.451542493235101</v>
      </c>
      <c r="F30" s="70"/>
      <c r="G30" s="67">
        <v>357855.94469264703</v>
      </c>
      <c r="H30" s="68">
        <v>12.766670632137499</v>
      </c>
      <c r="I30" s="41"/>
      <c r="J30" s="67">
        <v>384112.865040412</v>
      </c>
      <c r="K30" s="68">
        <v>12.2698715049047</v>
      </c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ht="15" customHeight="1" x14ac:dyDescent="0.25">
      <c r="A31" s="41"/>
      <c r="B31" s="110" t="s">
        <v>20</v>
      </c>
      <c r="C31" s="95"/>
      <c r="D31" s="67">
        <v>838583.01330249105</v>
      </c>
      <c r="E31" s="68">
        <v>13.9016426712859</v>
      </c>
      <c r="F31" s="70"/>
      <c r="G31" s="67">
        <v>315596.08484824799</v>
      </c>
      <c r="H31" s="68">
        <v>10.9978218853645</v>
      </c>
      <c r="I31" s="41"/>
      <c r="J31" s="67">
        <v>612506.09110465006</v>
      </c>
      <c r="K31" s="68">
        <v>19.137755327928399</v>
      </c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 spans="1:23" ht="15" customHeight="1" x14ac:dyDescent="0.25">
      <c r="A32" s="41"/>
      <c r="B32" s="110" t="s">
        <v>34</v>
      </c>
      <c r="C32" s="95"/>
      <c r="D32" s="67">
        <v>117822.48279877999</v>
      </c>
      <c r="E32" s="68">
        <v>2.0108178186441701</v>
      </c>
      <c r="F32" s="70"/>
      <c r="G32" s="67">
        <v>79461.702248916306</v>
      </c>
      <c r="H32" s="68">
        <v>2.81463151430924</v>
      </c>
      <c r="I32" s="41"/>
      <c r="J32" s="67">
        <v>58649.110530924998</v>
      </c>
      <c r="K32" s="68">
        <v>1.9263407546001601</v>
      </c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ht="15" customHeight="1" x14ac:dyDescent="0.25">
      <c r="A33" s="41"/>
      <c r="B33" s="110" t="s">
        <v>22</v>
      </c>
      <c r="C33" s="95"/>
      <c r="D33" s="67">
        <v>107348.47496275901</v>
      </c>
      <c r="E33" s="68">
        <v>1.8405747772852901</v>
      </c>
      <c r="F33" s="70"/>
      <c r="G33" s="67">
        <v>48439.816510845398</v>
      </c>
      <c r="H33" s="68">
        <v>1.7407598905158601</v>
      </c>
      <c r="I33" s="41"/>
      <c r="J33" s="67">
        <v>75270.337483056093</v>
      </c>
      <c r="K33" s="68">
        <v>2.46498435853503</v>
      </c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</row>
    <row r="34" spans="1:23" ht="6.95" customHeight="1" x14ac:dyDescent="0.25">
      <c r="A34" s="41"/>
      <c r="B34" s="189"/>
      <c r="C34" s="97"/>
      <c r="D34" s="131"/>
      <c r="E34" s="131"/>
      <c r="F34" s="190"/>
      <c r="G34" s="131"/>
      <c r="H34" s="131"/>
      <c r="I34" s="131"/>
      <c r="J34" s="131"/>
      <c r="K34" s="13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 spans="1:23" s="6" customFormat="1" ht="15" customHeight="1" x14ac:dyDescent="0.25">
      <c r="A35" s="57"/>
      <c r="B35" s="188" t="s">
        <v>3</v>
      </c>
      <c r="C35" s="97"/>
      <c r="D35" s="60">
        <v>20910110.027821701</v>
      </c>
      <c r="E35" s="61">
        <v>100</v>
      </c>
      <c r="F35" s="62"/>
      <c r="G35" s="60">
        <v>10236797.226242799</v>
      </c>
      <c r="H35" s="61">
        <v>100</v>
      </c>
      <c r="I35" s="57"/>
      <c r="J35" s="60">
        <v>10978108.206611199</v>
      </c>
      <c r="K35" s="61">
        <v>100</v>
      </c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</row>
    <row r="36" spans="1:23" ht="6.95" customHeight="1" x14ac:dyDescent="0.25">
      <c r="A36" s="41"/>
      <c r="B36" s="189"/>
      <c r="C36" s="97"/>
      <c r="D36" s="67"/>
      <c r="E36" s="68"/>
      <c r="F36" s="62"/>
      <c r="G36" s="67"/>
      <c r="H36" s="68"/>
      <c r="I36" s="57"/>
      <c r="J36" s="67"/>
      <c r="K36" s="68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  <row r="37" spans="1:23" ht="15" customHeight="1" x14ac:dyDescent="0.25">
      <c r="A37" s="41"/>
      <c r="B37" s="110" t="s">
        <v>15</v>
      </c>
      <c r="C37" s="91"/>
      <c r="D37" s="67">
        <v>9043051.7251753509</v>
      </c>
      <c r="E37" s="68">
        <v>44.446482561271601</v>
      </c>
      <c r="F37" s="70"/>
      <c r="G37" s="67">
        <v>4456225.5485511897</v>
      </c>
      <c r="H37" s="68">
        <v>45.343230644060696</v>
      </c>
      <c r="I37" s="41"/>
      <c r="J37" s="67">
        <v>4773912.8560094703</v>
      </c>
      <c r="K37" s="68">
        <v>45.215931861941101</v>
      </c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</row>
    <row r="38" spans="1:23" ht="15" customHeight="1" x14ac:dyDescent="0.25">
      <c r="A38" s="41"/>
      <c r="B38" s="110" t="s">
        <v>14</v>
      </c>
      <c r="C38" s="95"/>
      <c r="D38" s="67">
        <v>6585899.7842994398</v>
      </c>
      <c r="E38" s="68">
        <v>32.510181189554899</v>
      </c>
      <c r="F38" s="70"/>
      <c r="G38" s="67">
        <v>3262580.1625777101</v>
      </c>
      <c r="H38" s="68">
        <v>33.214201836862799</v>
      </c>
      <c r="I38" s="41"/>
      <c r="J38" s="67">
        <v>3519896.1018496901</v>
      </c>
      <c r="K38" s="68">
        <v>33.383208700451299</v>
      </c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</row>
    <row r="39" spans="1:23" ht="30" customHeight="1" x14ac:dyDescent="0.25">
      <c r="A39" s="41"/>
      <c r="B39" s="187" t="s">
        <v>16</v>
      </c>
      <c r="C39" s="95"/>
      <c r="D39" s="67">
        <v>4811443.9780654795</v>
      </c>
      <c r="E39" s="68">
        <v>23.712751714248999</v>
      </c>
      <c r="F39" s="70"/>
      <c r="G39" s="67">
        <v>1856853.1864475701</v>
      </c>
      <c r="H39" s="68">
        <v>19.132602262503301</v>
      </c>
      <c r="I39" s="41"/>
      <c r="J39" s="67">
        <v>3111546.5407210798</v>
      </c>
      <c r="K39" s="68">
        <v>29.322536114853399</v>
      </c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</row>
    <row r="40" spans="1:23" ht="15" customHeight="1" x14ac:dyDescent="0.25">
      <c r="A40" s="41"/>
      <c r="B40" s="110" t="s">
        <v>18</v>
      </c>
      <c r="C40" s="95"/>
      <c r="D40" s="67">
        <v>2816383.5210090699</v>
      </c>
      <c r="E40" s="68">
        <v>13.985157178518699</v>
      </c>
      <c r="F40" s="70"/>
      <c r="G40" s="67">
        <v>1793307.1207639</v>
      </c>
      <c r="H40" s="68">
        <v>18.305547117757101</v>
      </c>
      <c r="I40" s="41"/>
      <c r="J40" s="67">
        <v>1153238.4308474399</v>
      </c>
      <c r="K40" s="68">
        <v>11.0903943975306</v>
      </c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</row>
    <row r="41" spans="1:23" ht="15" customHeight="1" x14ac:dyDescent="0.25">
      <c r="A41" s="41"/>
      <c r="B41" s="110" t="s">
        <v>19</v>
      </c>
      <c r="C41" s="95"/>
      <c r="D41" s="67">
        <v>2176000.2983824401</v>
      </c>
      <c r="E41" s="68">
        <v>10.9031330366674</v>
      </c>
      <c r="F41" s="70"/>
      <c r="G41" s="67">
        <v>1234428.1577373401</v>
      </c>
      <c r="H41" s="68">
        <v>12.7774017428883</v>
      </c>
      <c r="I41" s="41"/>
      <c r="J41" s="67">
        <v>1049423.69196045</v>
      </c>
      <c r="K41" s="68">
        <v>10.131505810076</v>
      </c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</row>
    <row r="42" spans="1:23" ht="15" customHeight="1" x14ac:dyDescent="0.25">
      <c r="A42" s="41"/>
      <c r="B42" s="110" t="s">
        <v>17</v>
      </c>
      <c r="C42" s="95"/>
      <c r="D42" s="67">
        <v>1703038.66180445</v>
      </c>
      <c r="E42" s="68">
        <v>8.4941153866177093</v>
      </c>
      <c r="F42" s="70"/>
      <c r="G42" s="67">
        <v>1080003.4941608501</v>
      </c>
      <c r="H42" s="68">
        <v>11.1651703556669</v>
      </c>
      <c r="I42" s="41"/>
      <c r="J42" s="67">
        <v>704779.89481172001</v>
      </c>
      <c r="K42" s="68">
        <v>6.8200876062722902</v>
      </c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</row>
    <row r="43" spans="1:23" ht="15" customHeight="1" x14ac:dyDescent="0.25">
      <c r="A43" s="41"/>
      <c r="B43" s="110" t="s">
        <v>20</v>
      </c>
      <c r="C43" s="95"/>
      <c r="D43" s="67">
        <v>1580065.26709972</v>
      </c>
      <c r="E43" s="68">
        <v>7.8559946882437401</v>
      </c>
      <c r="F43" s="70"/>
      <c r="G43" s="67">
        <v>613929.63216533</v>
      </c>
      <c r="H43" s="68">
        <v>6.3345419815684396</v>
      </c>
      <c r="I43" s="41"/>
      <c r="J43" s="67">
        <v>1048536.90467795</v>
      </c>
      <c r="K43" s="68">
        <v>10.094322864047401</v>
      </c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</row>
    <row r="44" spans="1:23" ht="15" customHeight="1" x14ac:dyDescent="0.25">
      <c r="A44" s="41"/>
      <c r="B44" s="110" t="s">
        <v>34</v>
      </c>
      <c r="C44" s="95"/>
      <c r="D44" s="67">
        <v>732263.65317705099</v>
      </c>
      <c r="E44" s="68">
        <v>3.6708342787612498</v>
      </c>
      <c r="F44" s="70"/>
      <c r="G44" s="67">
        <v>345288.07768878201</v>
      </c>
      <c r="H44" s="68">
        <v>3.5933741036830602</v>
      </c>
      <c r="I44" s="41"/>
      <c r="J44" s="67">
        <v>433041.06233550701</v>
      </c>
      <c r="K44" s="68">
        <v>4.1896409962836998</v>
      </c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</row>
    <row r="45" spans="1:23" ht="15" customHeight="1" x14ac:dyDescent="0.25">
      <c r="A45" s="41"/>
      <c r="B45" s="110" t="s">
        <v>22</v>
      </c>
      <c r="C45" s="95"/>
      <c r="D45" s="67">
        <v>421550.10209307302</v>
      </c>
      <c r="E45" s="68">
        <v>2.11019019445455</v>
      </c>
      <c r="F45" s="70"/>
      <c r="G45" s="67">
        <v>249453.83334688601</v>
      </c>
      <c r="H45" s="68">
        <v>2.5933955762960101</v>
      </c>
      <c r="I45" s="41"/>
      <c r="J45" s="67">
        <v>210571.84290916999</v>
      </c>
      <c r="K45" s="68">
        <v>2.0326355741369002</v>
      </c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</row>
    <row r="46" spans="1:23" ht="6.95" customHeight="1" x14ac:dyDescent="0.25">
      <c r="A46" s="41"/>
      <c r="B46" s="166"/>
      <c r="C46" s="52"/>
      <c r="D46" s="80"/>
      <c r="E46" s="80"/>
      <c r="F46" s="168"/>
      <c r="G46" s="80"/>
      <c r="H46" s="80"/>
      <c r="I46" s="80"/>
      <c r="J46" s="80"/>
      <c r="K46" s="80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</row>
    <row r="47" spans="1:23" ht="6.95" customHeight="1" x14ac:dyDescent="0.25">
      <c r="A47" s="41"/>
      <c r="B47" s="105"/>
      <c r="C47" s="105"/>
      <c r="D47" s="104"/>
      <c r="E47" s="104"/>
      <c r="F47" s="17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</row>
    <row r="48" spans="1:23" ht="12" customHeight="1" x14ac:dyDescent="0.25">
      <c r="A48" s="41"/>
      <c r="B48" s="191" t="s">
        <v>130</v>
      </c>
      <c r="C48" s="192"/>
      <c r="D48" s="193"/>
      <c r="E48" s="193"/>
      <c r="F48" s="193"/>
      <c r="G48" s="194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</row>
    <row r="49" spans="1:23" ht="12" customHeight="1" x14ac:dyDescent="0.25">
      <c r="A49" s="41"/>
      <c r="B49" s="106" t="s">
        <v>134</v>
      </c>
      <c r="C49" s="195"/>
      <c r="D49" s="195"/>
      <c r="E49" s="195"/>
      <c r="F49" s="195"/>
      <c r="G49" s="194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</row>
    <row r="50" spans="1:23" ht="12" customHeight="1" x14ac:dyDescent="0.25">
      <c r="A50" s="41"/>
      <c r="B50" s="307" t="s">
        <v>145</v>
      </c>
      <c r="C50" s="307"/>
      <c r="D50" s="307"/>
      <c r="E50" s="307"/>
      <c r="F50" s="307"/>
      <c r="G50" s="307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</row>
  </sheetData>
  <mergeCells count="6">
    <mergeCell ref="B50:G50"/>
    <mergeCell ref="B7:B9"/>
    <mergeCell ref="D7:E8"/>
    <mergeCell ref="G7:K7"/>
    <mergeCell ref="G8:H8"/>
    <mergeCell ref="J8:K8"/>
  </mergeCells>
  <hyperlinks>
    <hyperlink ref="K1" location="ÍNDICE!A1" tooltip="Ir a ÍNDICE" display="ÍNDICE" xr:uid="{ABD5AAB9-79A8-407A-AE91-5A8828B0E0BA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09A77-0C2A-405C-937A-90E2C3898BC2}">
  <dimension ref="A1:W36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85" t="s">
        <v>214</v>
      </c>
      <c r="C1" s="31"/>
      <c r="D1" s="31"/>
      <c r="E1" s="30"/>
      <c r="F1" s="30"/>
      <c r="G1" s="30"/>
      <c r="H1" s="30"/>
      <c r="I1" s="30"/>
      <c r="J1" s="30"/>
      <c r="K1" s="284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15" customHeight="1" x14ac:dyDescent="0.2">
      <c r="A5" s="32"/>
      <c r="B5" s="175" t="s">
        <v>187</v>
      </c>
      <c r="C5" s="175"/>
      <c r="D5" s="175"/>
      <c r="E5" s="175"/>
      <c r="F5" s="39"/>
      <c r="G5" s="38"/>
      <c r="H5" s="34"/>
      <c r="I5" s="32"/>
      <c r="J5" s="32"/>
      <c r="K5" s="40" t="s">
        <v>84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1" t="s">
        <v>76</v>
      </c>
      <c r="C7" s="42"/>
      <c r="D7" s="308" t="s">
        <v>186</v>
      </c>
      <c r="E7" s="308"/>
      <c r="F7" s="43"/>
      <c r="G7" s="310" t="s">
        <v>170</v>
      </c>
      <c r="H7" s="310"/>
      <c r="I7" s="310"/>
      <c r="J7" s="310"/>
      <c r="K7" s="310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2"/>
      <c r="C8" s="47"/>
      <c r="D8" s="309"/>
      <c r="E8" s="309"/>
      <c r="F8" s="26"/>
      <c r="G8" s="309" t="s">
        <v>12</v>
      </c>
      <c r="H8" s="309"/>
      <c r="I8" s="26"/>
      <c r="J8" s="309" t="s">
        <v>0</v>
      </c>
      <c r="K8" s="309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13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123"/>
      <c r="C10" s="123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ht="15" customHeight="1" x14ac:dyDescent="0.25">
      <c r="A11" s="41"/>
      <c r="B11" s="124" t="s">
        <v>4</v>
      </c>
      <c r="C11" s="59"/>
      <c r="D11" s="60">
        <v>26850907.822527301</v>
      </c>
      <c r="E11" s="61">
        <v>100</v>
      </c>
      <c r="F11" s="62"/>
      <c r="G11" s="60">
        <v>13107881.6364871</v>
      </c>
      <c r="H11" s="61">
        <v>100</v>
      </c>
      <c r="I11" s="57"/>
      <c r="J11" s="60">
        <v>14113342.3799274</v>
      </c>
      <c r="K11" s="61">
        <v>100</v>
      </c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</row>
    <row r="12" spans="1:23" ht="6.95" customHeight="1" x14ac:dyDescent="0.25">
      <c r="A12" s="41"/>
      <c r="B12" s="124"/>
      <c r="C12" s="59"/>
      <c r="D12" s="67"/>
      <c r="E12" s="68"/>
      <c r="F12" s="62"/>
      <c r="G12" s="67"/>
      <c r="H12" s="68"/>
      <c r="I12" s="57"/>
      <c r="J12" s="67"/>
      <c r="K12" s="68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ht="15" customHeight="1" x14ac:dyDescent="0.25">
      <c r="A13" s="41"/>
      <c r="B13" s="125" t="s">
        <v>97</v>
      </c>
      <c r="C13" s="91"/>
      <c r="D13" s="67">
        <v>2725424.11934635</v>
      </c>
      <c r="E13" s="68">
        <v>10.522024523333201</v>
      </c>
      <c r="F13" s="70"/>
      <c r="G13" s="67">
        <v>1377290.6321936499</v>
      </c>
      <c r="H13" s="68">
        <v>11.0337907029701</v>
      </c>
      <c r="I13" s="41"/>
      <c r="J13" s="67">
        <v>1473593.3394623401</v>
      </c>
      <c r="K13" s="68">
        <v>10.944317796650401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</row>
    <row r="14" spans="1:23" ht="15" customHeight="1" x14ac:dyDescent="0.25">
      <c r="A14" s="41"/>
      <c r="B14" s="125" t="s">
        <v>98</v>
      </c>
      <c r="C14" s="95"/>
      <c r="D14" s="67">
        <v>4075597.5497124302</v>
      </c>
      <c r="E14" s="68">
        <v>15.659122548671199</v>
      </c>
      <c r="F14" s="70"/>
      <c r="G14" s="67">
        <v>2208839.3054551999</v>
      </c>
      <c r="H14" s="68">
        <v>17.4643863508308</v>
      </c>
      <c r="I14" s="41"/>
      <c r="J14" s="67">
        <v>2035621.9523056</v>
      </c>
      <c r="K14" s="68">
        <v>15.060335160766201</v>
      </c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15" customHeight="1" x14ac:dyDescent="0.25">
      <c r="A15" s="41"/>
      <c r="B15" s="125" t="s">
        <v>99</v>
      </c>
      <c r="C15" s="95"/>
      <c r="D15" s="67">
        <v>6780717.4559684098</v>
      </c>
      <c r="E15" s="68">
        <v>26.104421467279298</v>
      </c>
      <c r="F15" s="70"/>
      <c r="G15" s="67">
        <v>3362004.9063675501</v>
      </c>
      <c r="H15" s="68">
        <v>26.8559480501719</v>
      </c>
      <c r="I15" s="41"/>
      <c r="J15" s="67">
        <v>3598981.9662777102</v>
      </c>
      <c r="K15" s="68">
        <v>26.589139232959099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15" customHeight="1" x14ac:dyDescent="0.25">
      <c r="A16" s="41"/>
      <c r="B16" s="125" t="s">
        <v>100</v>
      </c>
      <c r="C16" s="95"/>
      <c r="D16" s="67">
        <v>13488722.189277999</v>
      </c>
      <c r="E16" s="68">
        <v>51.3545677612194</v>
      </c>
      <c r="F16" s="70"/>
      <c r="G16" s="67">
        <v>6268888.7529123398</v>
      </c>
      <c r="H16" s="68">
        <v>49.420056054175603</v>
      </c>
      <c r="I16" s="41"/>
      <c r="J16" s="67">
        <v>7450790.9122476596</v>
      </c>
      <c r="K16" s="68">
        <v>54.525345036840399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15" customHeight="1" x14ac:dyDescent="0.25">
      <c r="A17" s="41"/>
      <c r="B17" s="125" t="s">
        <v>118</v>
      </c>
      <c r="C17" s="127"/>
      <c r="D17" s="67">
        <v>874955.68840283202</v>
      </c>
      <c r="E17" s="68">
        <v>3.38902772746418</v>
      </c>
      <c r="F17" s="70"/>
      <c r="G17" s="67">
        <v>614667.85176337801</v>
      </c>
      <c r="H17" s="68">
        <v>4.9391897251341703</v>
      </c>
      <c r="I17" s="41"/>
      <c r="J17" s="67">
        <v>316412.82477903197</v>
      </c>
      <c r="K17" s="68">
        <v>2.36491074070865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6.95" customHeight="1" x14ac:dyDescent="0.25">
      <c r="A18" s="41"/>
      <c r="B18" s="128"/>
      <c r="C18" s="127"/>
      <c r="D18" s="131"/>
      <c r="E18" s="131"/>
      <c r="F18" s="196"/>
      <c r="G18" s="131"/>
      <c r="H18" s="131"/>
      <c r="I18" s="131"/>
      <c r="J18" s="131"/>
      <c r="K18" s="13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15" customHeight="1" x14ac:dyDescent="0.25">
      <c r="A19" s="41"/>
      <c r="B19" s="197" t="s">
        <v>2</v>
      </c>
      <c r="C19" s="95"/>
      <c r="D19" s="60">
        <v>6597983.6889518499</v>
      </c>
      <c r="E19" s="61">
        <v>100</v>
      </c>
      <c r="F19" s="62"/>
      <c r="G19" s="60">
        <v>3250553.97512685</v>
      </c>
      <c r="H19" s="61">
        <v>100</v>
      </c>
      <c r="I19" s="57"/>
      <c r="J19" s="60">
        <v>3496805.7447075602</v>
      </c>
      <c r="K19" s="61">
        <v>100</v>
      </c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ht="6.95" customHeight="1" x14ac:dyDescent="0.25">
      <c r="A20" s="41"/>
      <c r="B20" s="198"/>
      <c r="C20" s="95"/>
      <c r="D20" s="67"/>
      <c r="E20" s="68"/>
      <c r="F20" s="62"/>
      <c r="G20" s="67"/>
      <c r="H20" s="68"/>
      <c r="I20" s="57"/>
      <c r="J20" s="67"/>
      <c r="K20" s="68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1:23" ht="15" customHeight="1" x14ac:dyDescent="0.25">
      <c r="A21" s="41"/>
      <c r="B21" s="125" t="s">
        <v>97</v>
      </c>
      <c r="C21" s="91"/>
      <c r="D21" s="67">
        <v>858203.121414216</v>
      </c>
      <c r="E21" s="68">
        <v>14.5691099370076</v>
      </c>
      <c r="F21" s="70"/>
      <c r="G21" s="67">
        <v>315205.21171088499</v>
      </c>
      <c r="H21" s="68">
        <v>11.336260358745999</v>
      </c>
      <c r="I21" s="41"/>
      <c r="J21" s="67">
        <v>591738.73196038697</v>
      </c>
      <c r="K21" s="68">
        <v>18.989149658159299</v>
      </c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ht="15" customHeight="1" x14ac:dyDescent="0.25">
      <c r="A22" s="41"/>
      <c r="B22" s="125" t="s">
        <v>98</v>
      </c>
      <c r="C22" s="95"/>
      <c r="D22" s="67">
        <v>936063.84586701298</v>
      </c>
      <c r="E22" s="68">
        <v>15.3148745059595</v>
      </c>
      <c r="F22" s="70"/>
      <c r="G22" s="67">
        <v>530622.17003466596</v>
      </c>
      <c r="H22" s="68">
        <v>17.744114703337701</v>
      </c>
      <c r="I22" s="41"/>
      <c r="J22" s="67">
        <v>483458.56531542999</v>
      </c>
      <c r="K22" s="68">
        <v>15.5163424652392</v>
      </c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</row>
    <row r="23" spans="1:23" ht="15" customHeight="1" x14ac:dyDescent="0.25">
      <c r="A23" s="41"/>
      <c r="B23" s="125" t="s">
        <v>99</v>
      </c>
      <c r="C23" s="95"/>
      <c r="D23" s="67">
        <v>1668414.94582078</v>
      </c>
      <c r="E23" s="68">
        <v>27.5619840064432</v>
      </c>
      <c r="F23" s="70"/>
      <c r="G23" s="67">
        <v>819813.15345766197</v>
      </c>
      <c r="H23" s="68">
        <v>27.906431929259</v>
      </c>
      <c r="I23" s="41"/>
      <c r="J23" s="67">
        <v>934485.35260270105</v>
      </c>
      <c r="K23" s="68">
        <v>29.969379718150801</v>
      </c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</row>
    <row r="24" spans="1:23" ht="15" customHeight="1" x14ac:dyDescent="0.25">
      <c r="A24" s="41"/>
      <c r="B24" s="125" t="s">
        <v>100</v>
      </c>
      <c r="C24" s="95"/>
      <c r="D24" s="67">
        <v>3440960.7429479202</v>
      </c>
      <c r="E24" s="68">
        <v>55.429966583313302</v>
      </c>
      <c r="F24" s="70"/>
      <c r="G24" s="67">
        <v>1739691.8671562099</v>
      </c>
      <c r="H24" s="68">
        <v>58.658117657481498</v>
      </c>
      <c r="I24" s="41"/>
      <c r="J24" s="67">
        <v>1800624.28473922</v>
      </c>
      <c r="K24" s="68">
        <v>55.4794196143758</v>
      </c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</row>
    <row r="25" spans="1:23" ht="15" customHeight="1" x14ac:dyDescent="0.25">
      <c r="A25" s="41"/>
      <c r="B25" s="125" t="s">
        <v>118</v>
      </c>
      <c r="C25" s="127"/>
      <c r="D25" s="67">
        <v>141042.42575919299</v>
      </c>
      <c r="E25" s="68">
        <v>2.4045306655057801</v>
      </c>
      <c r="F25" s="70"/>
      <c r="G25" s="67">
        <v>116228.26243567299</v>
      </c>
      <c r="H25" s="68">
        <v>4.1378178775438599</v>
      </c>
      <c r="I25" s="41"/>
      <c r="J25" s="67">
        <v>39124.895031345099</v>
      </c>
      <c r="K25" s="68">
        <v>1.28256108681041</v>
      </c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 spans="1:23" ht="6.95" customHeight="1" x14ac:dyDescent="0.25">
      <c r="A26" s="41"/>
      <c r="B26" s="198"/>
      <c r="C26" s="95"/>
      <c r="D26" s="131"/>
      <c r="E26" s="131"/>
      <c r="F26" s="94"/>
      <c r="G26" s="131"/>
      <c r="H26" s="131"/>
      <c r="I26" s="131"/>
      <c r="J26" s="131"/>
      <c r="K26" s="13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</row>
    <row r="27" spans="1:23" ht="15" customHeight="1" x14ac:dyDescent="0.25">
      <c r="A27" s="41"/>
      <c r="B27" s="197" t="s">
        <v>3</v>
      </c>
      <c r="C27" s="95"/>
      <c r="D27" s="60">
        <v>20910110.027821701</v>
      </c>
      <c r="E27" s="61">
        <v>100</v>
      </c>
      <c r="F27" s="62"/>
      <c r="G27" s="60">
        <v>10236797.226242799</v>
      </c>
      <c r="H27" s="61">
        <v>100</v>
      </c>
      <c r="I27" s="57"/>
      <c r="J27" s="60">
        <v>10978108.206611199</v>
      </c>
      <c r="K27" s="61">
        <v>100</v>
      </c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</row>
    <row r="28" spans="1:23" ht="6.95" customHeight="1" x14ac:dyDescent="0.25">
      <c r="A28" s="41"/>
      <c r="B28" s="198"/>
      <c r="C28" s="95"/>
      <c r="D28" s="67"/>
      <c r="E28" s="68"/>
      <c r="F28" s="62"/>
      <c r="G28" s="67"/>
      <c r="H28" s="68"/>
      <c r="I28" s="57"/>
      <c r="J28" s="67"/>
      <c r="K28" s="68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ht="15" customHeight="1" x14ac:dyDescent="0.25">
      <c r="A29" s="41"/>
      <c r="B29" s="125" t="s">
        <v>97</v>
      </c>
      <c r="C29" s="91"/>
      <c r="D29" s="67">
        <v>2008232.17190722</v>
      </c>
      <c r="E29" s="68">
        <v>9.9977010847837509</v>
      </c>
      <c r="F29" s="70"/>
      <c r="G29" s="67">
        <v>1127737.00928409</v>
      </c>
      <c r="H29" s="68">
        <v>11.6308905916811</v>
      </c>
      <c r="I29" s="41"/>
      <c r="J29" s="67">
        <v>985363.92342635896</v>
      </c>
      <c r="K29" s="68">
        <v>9.4682038688035099</v>
      </c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</row>
    <row r="30" spans="1:23" ht="15" customHeight="1" x14ac:dyDescent="0.25">
      <c r="A30" s="41"/>
      <c r="B30" s="125" t="s">
        <v>98</v>
      </c>
      <c r="C30" s="95"/>
      <c r="D30" s="67">
        <v>3292397.6074366402</v>
      </c>
      <c r="E30" s="68">
        <v>16.330380443085399</v>
      </c>
      <c r="F30" s="70"/>
      <c r="G30" s="67">
        <v>1795144.9769274299</v>
      </c>
      <c r="H30" s="68">
        <v>18.307046264565201</v>
      </c>
      <c r="I30" s="41"/>
      <c r="J30" s="67">
        <v>1638341.73290223</v>
      </c>
      <c r="K30" s="68">
        <v>15.6598190431241</v>
      </c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ht="15" customHeight="1" x14ac:dyDescent="0.25">
      <c r="A31" s="41"/>
      <c r="B31" s="125" t="s">
        <v>99</v>
      </c>
      <c r="C31" s="95"/>
      <c r="D31" s="67">
        <v>5343744.2613726901</v>
      </c>
      <c r="E31" s="68">
        <v>26.475439824554801</v>
      </c>
      <c r="F31" s="70"/>
      <c r="G31" s="67">
        <v>2681582.35437884</v>
      </c>
      <c r="H31" s="68">
        <v>27.5586951561314</v>
      </c>
      <c r="I31" s="41"/>
      <c r="J31" s="67">
        <v>2812848.27382555</v>
      </c>
      <c r="K31" s="68">
        <v>26.775134827827198</v>
      </c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 spans="1:23" ht="15" customHeight="1" x14ac:dyDescent="0.25">
      <c r="A32" s="41"/>
      <c r="B32" s="125" t="s">
        <v>100</v>
      </c>
      <c r="C32" s="95"/>
      <c r="D32" s="67">
        <v>10411479.939699</v>
      </c>
      <c r="E32" s="68">
        <v>51.221555389947397</v>
      </c>
      <c r="F32" s="70"/>
      <c r="G32" s="67">
        <v>4732359.8529677503</v>
      </c>
      <c r="H32" s="68">
        <v>48.1077661544251</v>
      </c>
      <c r="I32" s="41"/>
      <c r="J32" s="67">
        <v>5881637.5097973896</v>
      </c>
      <c r="K32" s="68">
        <v>55.704182741109499</v>
      </c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ht="15" customHeight="1" x14ac:dyDescent="0.25">
      <c r="A33" s="41"/>
      <c r="B33" s="125" t="s">
        <v>118</v>
      </c>
      <c r="C33" s="127"/>
      <c r="D33" s="67">
        <v>777461.80306992703</v>
      </c>
      <c r="E33" s="68">
        <v>3.8806569094997299</v>
      </c>
      <c r="F33" s="70"/>
      <c r="G33" s="67">
        <v>538076.66855654703</v>
      </c>
      <c r="H33" s="68">
        <v>5.5526793070543299</v>
      </c>
      <c r="I33" s="41"/>
      <c r="J33" s="67">
        <v>293008.26857055898</v>
      </c>
      <c r="K33" s="68">
        <v>2.8310785152265501</v>
      </c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</row>
    <row r="34" spans="1:23" ht="6.95" customHeight="1" x14ac:dyDescent="0.25">
      <c r="A34" s="41"/>
      <c r="B34" s="132"/>
      <c r="C34" s="132"/>
      <c r="D34" s="80"/>
      <c r="E34" s="80"/>
      <c r="F34" s="132"/>
      <c r="G34" s="80"/>
      <c r="H34" s="80"/>
      <c r="I34" s="80"/>
      <c r="J34" s="80"/>
      <c r="K34" s="80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 spans="1:23" ht="6.95" customHeight="1" x14ac:dyDescent="0.25">
      <c r="A35" s="41"/>
      <c r="B35" s="136"/>
      <c r="C35" s="136"/>
      <c r="D35" s="136"/>
      <c r="E35" s="136"/>
      <c r="F35" s="136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</row>
    <row r="36" spans="1:23" ht="12" customHeight="1" x14ac:dyDescent="0.25">
      <c r="A36" s="41"/>
      <c r="B36" s="307" t="s">
        <v>145</v>
      </c>
      <c r="C36" s="307"/>
      <c r="D36" s="307"/>
      <c r="E36" s="307"/>
      <c r="F36" s="307"/>
      <c r="G36" s="307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</sheetData>
  <mergeCells count="6">
    <mergeCell ref="B36:G36"/>
    <mergeCell ref="B7:B9"/>
    <mergeCell ref="D7:E8"/>
    <mergeCell ref="G7:K7"/>
    <mergeCell ref="G8:H8"/>
    <mergeCell ref="J8:K8"/>
  </mergeCells>
  <hyperlinks>
    <hyperlink ref="K1" location="ÍNDICE!A1" tooltip="Ir a ÍNDICE" display="ÍNDICE" xr:uid="{0B820A9E-47D8-4716-B12C-5FA8603CA062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D1CC5-530E-44C1-94F9-ED71FA0A8DC6}">
  <dimension ref="A1:W53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85" t="s">
        <v>214</v>
      </c>
      <c r="C1" s="31"/>
      <c r="D1" s="31"/>
      <c r="E1" s="30"/>
      <c r="F1" s="30"/>
      <c r="G1" s="30"/>
      <c r="H1" s="30"/>
      <c r="I1" s="30"/>
      <c r="J1" s="30"/>
      <c r="K1" s="284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30" customHeight="1" x14ac:dyDescent="0.2">
      <c r="A5" s="32"/>
      <c r="B5" s="318" t="s">
        <v>189</v>
      </c>
      <c r="C5" s="318"/>
      <c r="D5" s="318"/>
      <c r="E5" s="318"/>
      <c r="F5" s="318"/>
      <c r="G5" s="318"/>
      <c r="H5" s="34"/>
      <c r="I5" s="32"/>
      <c r="J5" s="32"/>
      <c r="K5" s="40" t="s">
        <v>83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1" t="s">
        <v>68</v>
      </c>
      <c r="C7" s="42"/>
      <c r="D7" s="308" t="s">
        <v>178</v>
      </c>
      <c r="E7" s="308"/>
      <c r="F7" s="43"/>
      <c r="G7" s="310" t="s">
        <v>170</v>
      </c>
      <c r="H7" s="310"/>
      <c r="I7" s="310"/>
      <c r="J7" s="310"/>
      <c r="K7" s="310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2"/>
      <c r="C8" s="47"/>
      <c r="D8" s="309"/>
      <c r="E8" s="309"/>
      <c r="F8" s="26"/>
      <c r="G8" s="309" t="s">
        <v>12</v>
      </c>
      <c r="H8" s="309"/>
      <c r="I8" s="26"/>
      <c r="J8" s="309" t="s">
        <v>0</v>
      </c>
      <c r="K8" s="309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13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199"/>
      <c r="C10" s="199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s="6" customFormat="1" ht="15" customHeight="1" x14ac:dyDescent="0.25">
      <c r="A11" s="57"/>
      <c r="B11" s="200" t="s">
        <v>1</v>
      </c>
      <c r="C11" s="89"/>
      <c r="D11" s="60">
        <v>55898795.798616096</v>
      </c>
      <c r="E11" s="61">
        <v>100</v>
      </c>
      <c r="F11" s="62"/>
      <c r="G11" s="60">
        <v>28249073.615063</v>
      </c>
      <c r="H11" s="61">
        <v>100</v>
      </c>
      <c r="I11" s="57"/>
      <c r="J11" s="60">
        <v>28271015.049400002</v>
      </c>
      <c r="K11" s="61">
        <v>100</v>
      </c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</row>
    <row r="12" spans="1:23" ht="6.95" customHeight="1" x14ac:dyDescent="0.25">
      <c r="A12" s="41"/>
      <c r="B12" s="200"/>
      <c r="C12" s="89"/>
      <c r="D12" s="67"/>
      <c r="E12" s="68"/>
      <c r="F12" s="62"/>
      <c r="G12" s="67"/>
      <c r="H12" s="68"/>
      <c r="I12" s="57"/>
      <c r="J12" s="67"/>
      <c r="K12" s="68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s="6" customFormat="1" ht="15" customHeight="1" x14ac:dyDescent="0.25">
      <c r="A13" s="57"/>
      <c r="B13" s="64" t="s">
        <v>113</v>
      </c>
      <c r="C13" s="91"/>
      <c r="D13" s="60">
        <v>52782665.674356997</v>
      </c>
      <c r="E13" s="61">
        <v>95.094245563991805</v>
      </c>
      <c r="F13" s="62"/>
      <c r="G13" s="60">
        <v>26652856.160114799</v>
      </c>
      <c r="H13" s="61">
        <v>95.131187356423993</v>
      </c>
      <c r="I13" s="57"/>
      <c r="J13" s="60">
        <v>26722553.657405999</v>
      </c>
      <c r="K13" s="61">
        <v>95.479919801004002</v>
      </c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</row>
    <row r="14" spans="1:23" ht="6.95" customHeight="1" x14ac:dyDescent="0.25">
      <c r="A14" s="41"/>
      <c r="B14" s="201"/>
      <c r="C14" s="91"/>
      <c r="D14" s="67"/>
      <c r="E14" s="68"/>
      <c r="F14" s="70"/>
      <c r="G14" s="67"/>
      <c r="H14" s="68"/>
      <c r="I14" s="41"/>
      <c r="J14" s="67"/>
      <c r="K14" s="68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15" customHeight="1" x14ac:dyDescent="0.25">
      <c r="A15" s="41"/>
      <c r="B15" s="202" t="s">
        <v>43</v>
      </c>
      <c r="C15" s="95"/>
      <c r="D15" s="67">
        <v>4394650.5435234299</v>
      </c>
      <c r="E15" s="68">
        <v>8.5292626016648097</v>
      </c>
      <c r="F15" s="70"/>
      <c r="G15" s="67">
        <v>2749945.6817345102</v>
      </c>
      <c r="H15" s="68">
        <v>10.662648573817499</v>
      </c>
      <c r="I15" s="41"/>
      <c r="J15" s="67">
        <v>1800725.7531500601</v>
      </c>
      <c r="K15" s="68">
        <v>6.9682159069907499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15" customHeight="1" x14ac:dyDescent="0.25">
      <c r="A16" s="41"/>
      <c r="B16" s="203" t="s">
        <v>44</v>
      </c>
      <c r="C16" s="95"/>
      <c r="D16" s="67">
        <v>14765716.6492157</v>
      </c>
      <c r="E16" s="68">
        <v>28.510635907481401</v>
      </c>
      <c r="F16" s="70"/>
      <c r="G16" s="67">
        <v>7234917.5630500298</v>
      </c>
      <c r="H16" s="68">
        <v>27.921149846061802</v>
      </c>
      <c r="I16" s="41"/>
      <c r="J16" s="67">
        <v>7854905.0032978998</v>
      </c>
      <c r="K16" s="68">
        <v>30.100713935929299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15" customHeight="1" x14ac:dyDescent="0.25">
      <c r="A17" s="41"/>
      <c r="B17" s="203" t="s">
        <v>45</v>
      </c>
      <c r="C17" s="95"/>
      <c r="D17" s="67">
        <v>9556948.1615284197</v>
      </c>
      <c r="E17" s="68">
        <v>18.517827803380801</v>
      </c>
      <c r="F17" s="70"/>
      <c r="G17" s="67">
        <v>4643707.7929447005</v>
      </c>
      <c r="H17" s="68">
        <v>17.999666947213498</v>
      </c>
      <c r="I17" s="41"/>
      <c r="J17" s="67">
        <v>5159055.9140637899</v>
      </c>
      <c r="K17" s="68">
        <v>19.9406562167182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15" customHeight="1" x14ac:dyDescent="0.25">
      <c r="A18" s="41"/>
      <c r="B18" s="203" t="s">
        <v>46</v>
      </c>
      <c r="C18" s="95"/>
      <c r="D18" s="67">
        <v>7365334.4462445099</v>
      </c>
      <c r="E18" s="68">
        <v>14.250481004567799</v>
      </c>
      <c r="F18" s="70"/>
      <c r="G18" s="67">
        <v>2998422.12761433</v>
      </c>
      <c r="H18" s="68">
        <v>11.6182371438705</v>
      </c>
      <c r="I18" s="41"/>
      <c r="J18" s="67">
        <v>4555599.4559705798</v>
      </c>
      <c r="K18" s="68">
        <v>17.562759784728101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15" customHeight="1" x14ac:dyDescent="0.25">
      <c r="A19" s="41"/>
      <c r="B19" s="69" t="s">
        <v>114</v>
      </c>
      <c r="C19" s="95"/>
      <c r="D19" s="67">
        <v>3155836.6637295401</v>
      </c>
      <c r="E19" s="68">
        <v>6.10625512164901</v>
      </c>
      <c r="F19" s="70"/>
      <c r="G19" s="67">
        <v>1599641.7770845401</v>
      </c>
      <c r="H19" s="68">
        <v>6.2111043175054101</v>
      </c>
      <c r="I19" s="41"/>
      <c r="J19" s="67">
        <v>1690170.0922473201</v>
      </c>
      <c r="K19" s="68">
        <v>6.5267057611229102</v>
      </c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ht="15" customHeight="1" x14ac:dyDescent="0.25">
      <c r="A20" s="41"/>
      <c r="B20" s="69" t="s">
        <v>47</v>
      </c>
      <c r="C20" s="95"/>
      <c r="D20" s="67">
        <v>15749311.0952153</v>
      </c>
      <c r="E20" s="68">
        <v>30.420405080131601</v>
      </c>
      <c r="F20" s="70"/>
      <c r="G20" s="67">
        <v>8874897.6119423099</v>
      </c>
      <c r="H20" s="68">
        <v>34.200484219594699</v>
      </c>
      <c r="I20" s="41"/>
      <c r="J20" s="67">
        <v>7203424.04463958</v>
      </c>
      <c r="K20" s="68">
        <v>27.720676592668099</v>
      </c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1:23" ht="6.95" customHeight="1" x14ac:dyDescent="0.25">
      <c r="A21" s="41"/>
      <c r="B21" s="201"/>
      <c r="C21" s="91"/>
      <c r="D21" s="67"/>
      <c r="E21" s="68"/>
      <c r="F21" s="70"/>
      <c r="G21" s="67"/>
      <c r="H21" s="68"/>
      <c r="I21" s="41"/>
      <c r="J21" s="67"/>
      <c r="K21" s="68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s="6" customFormat="1" ht="15" customHeight="1" x14ac:dyDescent="0.25">
      <c r="A22" s="57"/>
      <c r="B22" s="64" t="s">
        <v>115</v>
      </c>
      <c r="C22" s="95"/>
      <c r="D22" s="60">
        <v>3538003.2355449898</v>
      </c>
      <c r="E22" s="61">
        <v>6.4704935948060696</v>
      </c>
      <c r="F22" s="62"/>
      <c r="G22" s="60">
        <v>1867039.79466426</v>
      </c>
      <c r="H22" s="61">
        <v>6.8435579328617404</v>
      </c>
      <c r="I22" s="57"/>
      <c r="J22" s="60">
        <v>1790663.2381068</v>
      </c>
      <c r="K22" s="61">
        <v>6.52056119073651</v>
      </c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</row>
    <row r="23" spans="1:23" ht="6.95" customHeight="1" x14ac:dyDescent="0.25">
      <c r="A23" s="41"/>
      <c r="B23" s="204"/>
      <c r="C23" s="95"/>
      <c r="D23" s="131"/>
      <c r="E23" s="131"/>
      <c r="F23" s="94"/>
      <c r="G23" s="205"/>
      <c r="H23" s="131"/>
      <c r="I23" s="131"/>
      <c r="J23" s="131"/>
      <c r="K23" s="13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</row>
    <row r="24" spans="1:23" s="6" customFormat="1" ht="15" customHeight="1" x14ac:dyDescent="0.25">
      <c r="A24" s="57"/>
      <c r="B24" s="206" t="s">
        <v>2</v>
      </c>
      <c r="C24" s="95"/>
      <c r="D24" s="60">
        <v>16672676.8615909</v>
      </c>
      <c r="E24" s="61">
        <v>100</v>
      </c>
      <c r="F24" s="62"/>
      <c r="G24" s="60">
        <v>8598763.4025228899</v>
      </c>
      <c r="H24" s="61">
        <v>100</v>
      </c>
      <c r="I24" s="57"/>
      <c r="J24" s="60">
        <v>8294212.0790849403</v>
      </c>
      <c r="K24" s="61">
        <v>100</v>
      </c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</row>
    <row r="25" spans="1:23" ht="6.95" customHeight="1" x14ac:dyDescent="0.25">
      <c r="A25" s="41"/>
      <c r="B25" s="207"/>
      <c r="C25" s="95"/>
      <c r="D25" s="67"/>
      <c r="E25" s="68"/>
      <c r="F25" s="62"/>
      <c r="G25" s="67"/>
      <c r="H25" s="68"/>
      <c r="I25" s="57"/>
      <c r="J25" s="67"/>
      <c r="K25" s="68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 spans="1:23" s="6" customFormat="1" ht="15" customHeight="1" x14ac:dyDescent="0.25">
      <c r="A26" s="57"/>
      <c r="B26" s="64" t="s">
        <v>113</v>
      </c>
      <c r="C26" s="91"/>
      <c r="D26" s="60">
        <v>15396542.5576763</v>
      </c>
      <c r="E26" s="61">
        <v>93.851318458325295</v>
      </c>
      <c r="F26" s="62"/>
      <c r="G26" s="60">
        <v>7903789.4152249098</v>
      </c>
      <c r="H26" s="61">
        <v>93.483895106067706</v>
      </c>
      <c r="I26" s="57"/>
      <c r="J26" s="60">
        <v>7713598.4505702397</v>
      </c>
      <c r="K26" s="61">
        <v>94.917092308385605</v>
      </c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</row>
    <row r="27" spans="1:23" ht="6.95" customHeight="1" x14ac:dyDescent="0.25">
      <c r="A27" s="41"/>
      <c r="B27" s="201"/>
      <c r="C27" s="91"/>
      <c r="D27" s="67"/>
      <c r="E27" s="68"/>
      <c r="F27" s="70"/>
      <c r="G27" s="67"/>
      <c r="H27" s="68"/>
      <c r="I27" s="41"/>
      <c r="J27" s="67"/>
      <c r="K27" s="68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</row>
    <row r="28" spans="1:23" ht="15" customHeight="1" x14ac:dyDescent="0.25">
      <c r="A28" s="41"/>
      <c r="B28" s="202" t="s">
        <v>43</v>
      </c>
      <c r="C28" s="95"/>
      <c r="D28" s="67">
        <v>1358269.5075292599</v>
      </c>
      <c r="E28" s="68">
        <v>9.5205023890712006</v>
      </c>
      <c r="F28" s="70"/>
      <c r="G28" s="67">
        <v>722729.87046778004</v>
      </c>
      <c r="H28" s="68">
        <v>10.033170553265901</v>
      </c>
      <c r="I28" s="41"/>
      <c r="J28" s="67">
        <v>701348.39143000997</v>
      </c>
      <c r="K28" s="68">
        <v>9.9062936804004593</v>
      </c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ht="15" customHeight="1" x14ac:dyDescent="0.25">
      <c r="A29" s="41"/>
      <c r="B29" s="203" t="s">
        <v>44</v>
      </c>
      <c r="C29" s="95"/>
      <c r="D29" s="67">
        <v>3854034.5442187102</v>
      </c>
      <c r="E29" s="68">
        <v>26.338510451399301</v>
      </c>
      <c r="F29" s="70"/>
      <c r="G29" s="67">
        <v>1886340.7072912101</v>
      </c>
      <c r="H29" s="68">
        <v>25.514928206634</v>
      </c>
      <c r="I29" s="41"/>
      <c r="J29" s="67">
        <v>2097242.93445573</v>
      </c>
      <c r="K29" s="68">
        <v>28.917626264492501</v>
      </c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</row>
    <row r="30" spans="1:23" ht="15" customHeight="1" x14ac:dyDescent="0.25">
      <c r="A30" s="41"/>
      <c r="B30" s="203" t="s">
        <v>45</v>
      </c>
      <c r="C30" s="95"/>
      <c r="D30" s="67">
        <v>1735959.8750436599</v>
      </c>
      <c r="E30" s="68">
        <v>12.036494922223101</v>
      </c>
      <c r="F30" s="70"/>
      <c r="G30" s="67">
        <v>778351.65736324806</v>
      </c>
      <c r="H30" s="68">
        <v>10.5932387053462</v>
      </c>
      <c r="I30" s="41"/>
      <c r="J30" s="67">
        <v>1074107.5584873201</v>
      </c>
      <c r="K30" s="68">
        <v>15.0838123183156</v>
      </c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ht="15" customHeight="1" x14ac:dyDescent="0.25">
      <c r="A31" s="41"/>
      <c r="B31" s="203" t="s">
        <v>46</v>
      </c>
      <c r="C31" s="95"/>
      <c r="D31" s="67">
        <v>1057099.40373286</v>
      </c>
      <c r="E31" s="68">
        <v>7.2914232694920802</v>
      </c>
      <c r="F31" s="70"/>
      <c r="G31" s="67">
        <v>541008.98160173395</v>
      </c>
      <c r="H31" s="68">
        <v>7.3617934185568599</v>
      </c>
      <c r="I31" s="41"/>
      <c r="J31" s="67">
        <v>604533.88735590305</v>
      </c>
      <c r="K31" s="68">
        <v>8.4676409868649092</v>
      </c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 spans="1:23" ht="15" customHeight="1" x14ac:dyDescent="0.25">
      <c r="A32" s="41"/>
      <c r="B32" s="69" t="s">
        <v>114</v>
      </c>
      <c r="C32" s="95"/>
      <c r="D32" s="67">
        <v>990435.19113508496</v>
      </c>
      <c r="E32" s="68">
        <v>6.9053919126094403</v>
      </c>
      <c r="F32" s="70"/>
      <c r="G32" s="67">
        <v>547213.77082272503</v>
      </c>
      <c r="H32" s="68">
        <v>7.6451627758330503</v>
      </c>
      <c r="I32" s="41"/>
      <c r="J32" s="67">
        <v>500486.17991771799</v>
      </c>
      <c r="K32" s="68">
        <v>7.1430560139952801</v>
      </c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ht="15" customHeight="1" x14ac:dyDescent="0.25">
      <c r="A33" s="41"/>
      <c r="B33" s="69" t="s">
        <v>47</v>
      </c>
      <c r="C33" s="95"/>
      <c r="D33" s="67">
        <v>7335296.1391347004</v>
      </c>
      <c r="E33" s="68">
        <v>50.491794429793003</v>
      </c>
      <c r="F33" s="70"/>
      <c r="G33" s="67">
        <v>4063723.77491563</v>
      </c>
      <c r="H33" s="68">
        <v>54.874794993580998</v>
      </c>
      <c r="I33" s="41"/>
      <c r="J33" s="67">
        <v>3459135.01172829</v>
      </c>
      <c r="K33" s="68">
        <v>48.333488299278699</v>
      </c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</row>
    <row r="34" spans="1:23" ht="6.95" customHeight="1" x14ac:dyDescent="0.25">
      <c r="A34" s="41"/>
      <c r="B34" s="201"/>
      <c r="C34" s="91"/>
      <c r="D34" s="67"/>
      <c r="E34" s="68"/>
      <c r="F34" s="70"/>
      <c r="G34" s="67"/>
      <c r="H34" s="68"/>
      <c r="I34" s="41"/>
      <c r="J34" s="67"/>
      <c r="K34" s="68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 spans="1:23" s="6" customFormat="1" ht="15" customHeight="1" x14ac:dyDescent="0.25">
      <c r="A35" s="57"/>
      <c r="B35" s="64" t="s">
        <v>115</v>
      </c>
      <c r="C35" s="95"/>
      <c r="D35" s="60">
        <v>1534265.1930969099</v>
      </c>
      <c r="E35" s="61">
        <v>9.9271412493173301</v>
      </c>
      <c r="F35" s="62"/>
      <c r="G35" s="60">
        <v>846849.14693779103</v>
      </c>
      <c r="H35" s="61">
        <v>10.7994972173635</v>
      </c>
      <c r="I35" s="57"/>
      <c r="J35" s="60">
        <v>737200.86727327597</v>
      </c>
      <c r="K35" s="61">
        <v>9.7053540061893901</v>
      </c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</row>
    <row r="36" spans="1:23" ht="6.95" customHeight="1" x14ac:dyDescent="0.25">
      <c r="A36" s="41"/>
      <c r="B36" s="207"/>
      <c r="C36" s="95"/>
      <c r="D36" s="131"/>
      <c r="E36" s="131"/>
      <c r="F36" s="94"/>
      <c r="G36" s="205"/>
      <c r="H36" s="131"/>
      <c r="I36" s="131"/>
      <c r="J36" s="131"/>
      <c r="K36" s="13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  <row r="37" spans="1:23" s="6" customFormat="1" ht="15" customHeight="1" x14ac:dyDescent="0.25">
      <c r="A37" s="57"/>
      <c r="B37" s="206" t="s">
        <v>3</v>
      </c>
      <c r="C37" s="95"/>
      <c r="D37" s="60">
        <v>40633939.285328098</v>
      </c>
      <c r="E37" s="61">
        <v>100</v>
      </c>
      <c r="F37" s="62"/>
      <c r="G37" s="60">
        <v>20396126.481792301</v>
      </c>
      <c r="H37" s="61">
        <v>100</v>
      </c>
      <c r="I37" s="57"/>
      <c r="J37" s="60">
        <v>20679308.144212801</v>
      </c>
      <c r="K37" s="61">
        <v>100</v>
      </c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</row>
    <row r="38" spans="1:23" ht="6.95" customHeight="1" x14ac:dyDescent="0.25">
      <c r="A38" s="41"/>
      <c r="B38" s="207"/>
      <c r="C38" s="95"/>
      <c r="D38" s="67"/>
      <c r="E38" s="68"/>
      <c r="F38" s="62"/>
      <c r="G38" s="67"/>
      <c r="H38" s="68"/>
      <c r="I38" s="57"/>
      <c r="J38" s="67"/>
      <c r="K38" s="68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</row>
    <row r="39" spans="1:23" s="6" customFormat="1" ht="15" customHeight="1" x14ac:dyDescent="0.25">
      <c r="A39" s="57"/>
      <c r="B39" s="64" t="s">
        <v>113</v>
      </c>
      <c r="C39" s="91"/>
      <c r="D39" s="60">
        <v>38703857.080462903</v>
      </c>
      <c r="E39" s="61">
        <v>96.0419877953031</v>
      </c>
      <c r="F39" s="62"/>
      <c r="G39" s="60">
        <v>19449731.563122999</v>
      </c>
      <c r="H39" s="61">
        <v>96.369118091337697</v>
      </c>
      <c r="I39" s="57"/>
      <c r="J39" s="60">
        <v>19675064.562415998</v>
      </c>
      <c r="K39" s="61">
        <v>96.265289230310202</v>
      </c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</row>
    <row r="40" spans="1:23" ht="6.95" customHeight="1" x14ac:dyDescent="0.25">
      <c r="A40" s="41"/>
      <c r="B40" s="201"/>
      <c r="C40" s="91"/>
      <c r="D40" s="67"/>
      <c r="E40" s="68"/>
      <c r="F40" s="70"/>
      <c r="G40" s="67"/>
      <c r="H40" s="68"/>
      <c r="I40" s="41"/>
      <c r="J40" s="67"/>
      <c r="K40" s="68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</row>
    <row r="41" spans="1:23" ht="15" customHeight="1" x14ac:dyDescent="0.25">
      <c r="A41" s="41"/>
      <c r="B41" s="202" t="s">
        <v>43</v>
      </c>
      <c r="C41" s="95"/>
      <c r="D41" s="67">
        <v>3232716.9616874098</v>
      </c>
      <c r="E41" s="68">
        <v>8.6204154631913106</v>
      </c>
      <c r="F41" s="70"/>
      <c r="G41" s="67">
        <v>2147044.8050236502</v>
      </c>
      <c r="H41" s="68">
        <v>11.491757072440601</v>
      </c>
      <c r="I41" s="41"/>
      <c r="J41" s="67">
        <v>1214881.60997151</v>
      </c>
      <c r="K41" s="68">
        <v>6.4442796659744896</v>
      </c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</row>
    <row r="42" spans="1:23" ht="15" customHeight="1" x14ac:dyDescent="0.25">
      <c r="A42" s="41"/>
      <c r="B42" s="203" t="s">
        <v>44</v>
      </c>
      <c r="C42" s="95"/>
      <c r="D42" s="67">
        <v>11365010.7717476</v>
      </c>
      <c r="E42" s="68">
        <v>30.1849150350474</v>
      </c>
      <c r="F42" s="70"/>
      <c r="G42" s="67">
        <v>5613111.0415907605</v>
      </c>
      <c r="H42" s="68">
        <v>29.924651187248799</v>
      </c>
      <c r="I42" s="41"/>
      <c r="J42" s="67">
        <v>6041960.3908819295</v>
      </c>
      <c r="K42" s="68">
        <v>31.685378304936901</v>
      </c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</row>
    <row r="43" spans="1:23" ht="15" customHeight="1" x14ac:dyDescent="0.25">
      <c r="A43" s="41"/>
      <c r="B43" s="203" t="s">
        <v>45</v>
      </c>
      <c r="C43" s="95"/>
      <c r="D43" s="67">
        <v>8092708.9178979304</v>
      </c>
      <c r="E43" s="68">
        <v>21.546518621131899</v>
      </c>
      <c r="F43" s="70"/>
      <c r="G43" s="67">
        <v>4005047.6728769401</v>
      </c>
      <c r="H43" s="68">
        <v>21.531506070142299</v>
      </c>
      <c r="I43" s="41"/>
      <c r="J43" s="67">
        <v>4275666.7138774199</v>
      </c>
      <c r="K43" s="68">
        <v>22.600740756779398</v>
      </c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</row>
    <row r="44" spans="1:23" x14ac:dyDescent="0.25">
      <c r="A44" s="41"/>
      <c r="B44" s="203" t="s">
        <v>46</v>
      </c>
      <c r="C44" s="95"/>
      <c r="D44" s="67">
        <v>6482523.9702145904</v>
      </c>
      <c r="E44" s="68">
        <v>17.328097719315199</v>
      </c>
      <c r="F44" s="70"/>
      <c r="G44" s="67">
        <v>2577155.8261610302</v>
      </c>
      <c r="H44" s="68">
        <v>13.928571695451</v>
      </c>
      <c r="I44" s="41"/>
      <c r="J44" s="67">
        <v>4065567.4892710899</v>
      </c>
      <c r="K44" s="68">
        <v>21.465990630054598</v>
      </c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</row>
    <row r="45" spans="1:23" ht="15" customHeight="1" x14ac:dyDescent="0.25">
      <c r="A45" s="41"/>
      <c r="B45" s="69" t="s">
        <v>114</v>
      </c>
      <c r="C45" s="95"/>
      <c r="D45" s="67">
        <v>2315934.53078203</v>
      </c>
      <c r="E45" s="68">
        <v>6.16303223296085</v>
      </c>
      <c r="F45" s="70"/>
      <c r="G45" s="67">
        <v>1143946.5906011099</v>
      </c>
      <c r="H45" s="68">
        <v>6.1320852978579303</v>
      </c>
      <c r="I45" s="41"/>
      <c r="J45" s="67">
        <v>1288149.6151930499</v>
      </c>
      <c r="K45" s="68">
        <v>6.7999251244214696</v>
      </c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</row>
    <row r="46" spans="1:23" ht="15" customHeight="1" x14ac:dyDescent="0.25">
      <c r="A46" s="41"/>
      <c r="B46" s="69" t="s">
        <v>47</v>
      </c>
      <c r="C46" s="95"/>
      <c r="D46" s="67">
        <v>8964458.8053195998</v>
      </c>
      <c r="E46" s="68">
        <v>23.704602898410499</v>
      </c>
      <c r="F46" s="70"/>
      <c r="G46" s="67">
        <v>5167396.5123064201</v>
      </c>
      <c r="H46" s="68">
        <v>27.401448747858801</v>
      </c>
      <c r="I46" s="41"/>
      <c r="J46" s="67">
        <v>4023093.41550386</v>
      </c>
      <c r="K46" s="68">
        <v>21.147770021635001</v>
      </c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</row>
    <row r="47" spans="1:23" ht="6.95" customHeight="1" x14ac:dyDescent="0.25">
      <c r="A47" s="41"/>
      <c r="B47" s="201"/>
      <c r="C47" s="91"/>
      <c r="D47" s="67"/>
      <c r="E47" s="68"/>
      <c r="F47" s="70"/>
      <c r="G47" s="67"/>
      <c r="H47" s="68"/>
      <c r="I47" s="41"/>
      <c r="J47" s="67"/>
      <c r="K47" s="68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</row>
    <row r="48" spans="1:23" s="6" customFormat="1" ht="15" customHeight="1" x14ac:dyDescent="0.25">
      <c r="A48" s="57"/>
      <c r="B48" s="64" t="s">
        <v>115</v>
      </c>
      <c r="C48" s="95"/>
      <c r="D48" s="60">
        <v>2197420.2968064402</v>
      </c>
      <c r="E48" s="61">
        <v>5.5735966840426503</v>
      </c>
      <c r="F48" s="62"/>
      <c r="G48" s="60">
        <v>1136988.57838909</v>
      </c>
      <c r="H48" s="61">
        <v>5.8213839874099298</v>
      </c>
      <c r="I48" s="57"/>
      <c r="J48" s="60">
        <v>1172485.48626127</v>
      </c>
      <c r="K48" s="61">
        <v>5.8749051635636702</v>
      </c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</row>
    <row r="49" spans="1:23" ht="6.95" customHeight="1" x14ac:dyDescent="0.25">
      <c r="A49" s="41"/>
      <c r="B49" s="208"/>
      <c r="C49" s="209"/>
      <c r="D49" s="80"/>
      <c r="E49" s="80"/>
      <c r="F49" s="209"/>
      <c r="G49" s="209"/>
      <c r="H49" s="80"/>
      <c r="I49" s="80"/>
      <c r="J49" s="80"/>
      <c r="K49" s="80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</row>
    <row r="50" spans="1:23" ht="6.95" customHeight="1" x14ac:dyDescent="0.25">
      <c r="A50" s="41"/>
      <c r="B50" s="210"/>
      <c r="C50" s="211"/>
      <c r="D50" s="211"/>
      <c r="E50" s="211"/>
      <c r="F50" s="211"/>
      <c r="G50" s="21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</row>
    <row r="51" spans="1:23" ht="12" customHeight="1" x14ac:dyDescent="0.25">
      <c r="A51" s="41"/>
      <c r="B51" s="212" t="s">
        <v>116</v>
      </c>
      <c r="C51" s="213"/>
      <c r="D51" s="213"/>
      <c r="E51" s="213"/>
      <c r="F51" s="213"/>
      <c r="G51" s="213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</row>
    <row r="52" spans="1:23" ht="12" customHeight="1" x14ac:dyDescent="0.25">
      <c r="A52" s="41"/>
      <c r="B52" s="212" t="s">
        <v>117</v>
      </c>
      <c r="C52" s="213"/>
      <c r="D52" s="213"/>
      <c r="E52" s="213"/>
      <c r="F52" s="213"/>
      <c r="G52" s="213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</row>
    <row r="53" spans="1:23" ht="12" customHeight="1" x14ac:dyDescent="0.25">
      <c r="A53" s="41"/>
      <c r="B53" s="307" t="s">
        <v>145</v>
      </c>
      <c r="C53" s="307"/>
      <c r="D53" s="307"/>
      <c r="E53" s="307"/>
      <c r="F53" s="307"/>
      <c r="G53" s="307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</row>
  </sheetData>
  <mergeCells count="7">
    <mergeCell ref="B53:G53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ÍNDICE" xr:uid="{1047984D-C6C9-4F0A-BA7E-11441CA868BE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52433-E8B1-4790-8F30-37206979ABC6}">
  <dimension ref="A1:W34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85" t="s">
        <v>214</v>
      </c>
      <c r="C1" s="31"/>
      <c r="D1" s="31"/>
      <c r="E1" s="30"/>
      <c r="F1" s="30"/>
      <c r="G1" s="30"/>
      <c r="H1" s="30"/>
      <c r="I1" s="30"/>
      <c r="J1" s="30"/>
      <c r="K1" s="284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15" customHeight="1" x14ac:dyDescent="0.2">
      <c r="A5" s="32"/>
      <c r="B5" s="283" t="s">
        <v>210</v>
      </c>
      <c r="C5" s="37"/>
      <c r="D5" s="39"/>
      <c r="E5" s="39"/>
      <c r="F5" s="39"/>
      <c r="G5" s="38"/>
      <c r="H5" s="34"/>
      <c r="I5" s="32"/>
      <c r="J5" s="32"/>
      <c r="K5" s="40" t="s">
        <v>82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9" t="s">
        <v>209</v>
      </c>
      <c r="C7" s="42"/>
      <c r="D7" s="308" t="s">
        <v>169</v>
      </c>
      <c r="E7" s="308"/>
      <c r="F7" s="43"/>
      <c r="G7" s="310" t="s">
        <v>170</v>
      </c>
      <c r="H7" s="310"/>
      <c r="I7" s="310"/>
      <c r="J7" s="310"/>
      <c r="K7" s="310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20"/>
      <c r="C8" s="47"/>
      <c r="D8" s="309"/>
      <c r="E8" s="309"/>
      <c r="F8" s="26"/>
      <c r="G8" s="309" t="s">
        <v>12</v>
      </c>
      <c r="H8" s="309"/>
      <c r="I8" s="26"/>
      <c r="J8" s="309" t="s">
        <v>0</v>
      </c>
      <c r="K8" s="309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21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87"/>
      <c r="C10" s="87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ht="15" customHeight="1" x14ac:dyDescent="0.25">
      <c r="A11" s="41"/>
      <c r="B11" s="279" t="s">
        <v>1</v>
      </c>
      <c r="C11" s="95"/>
      <c r="D11" s="60">
        <v>88168959.549554095</v>
      </c>
      <c r="E11" s="61">
        <v>100</v>
      </c>
      <c r="F11" s="62"/>
      <c r="G11" s="60">
        <v>47788866.463474698</v>
      </c>
      <c r="H11" s="61">
        <v>100</v>
      </c>
      <c r="I11" s="57"/>
      <c r="J11" s="60">
        <v>41315778.788891397</v>
      </c>
      <c r="K11" s="61">
        <v>100</v>
      </c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</row>
    <row r="12" spans="1:23" ht="6.95" customHeight="1" x14ac:dyDescent="0.25">
      <c r="A12" s="41"/>
      <c r="B12" s="279"/>
      <c r="C12" s="95"/>
      <c r="D12" s="67"/>
      <c r="E12" s="68"/>
      <c r="F12" s="70"/>
      <c r="G12" s="67"/>
      <c r="H12" s="68"/>
      <c r="I12" s="41"/>
      <c r="J12" s="67"/>
      <c r="K12" s="68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ht="15" customHeight="1" x14ac:dyDescent="0.25">
      <c r="A13" s="41"/>
      <c r="B13" s="280" t="s">
        <v>206</v>
      </c>
      <c r="C13" s="91"/>
      <c r="D13" s="67">
        <v>55898795.798616096</v>
      </c>
      <c r="E13" s="68">
        <v>64.153132946593203</v>
      </c>
      <c r="F13" s="70"/>
      <c r="G13" s="67">
        <v>28249073.615063</v>
      </c>
      <c r="H13" s="68">
        <v>60.159381795224803</v>
      </c>
      <c r="I13" s="41"/>
      <c r="J13" s="67">
        <v>28271015.049400002</v>
      </c>
      <c r="K13" s="68">
        <v>69.600408746073398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</row>
    <row r="14" spans="1:23" ht="15" customHeight="1" x14ac:dyDescent="0.25">
      <c r="A14" s="41"/>
      <c r="B14" s="280" t="s">
        <v>207</v>
      </c>
      <c r="C14" s="95"/>
      <c r="D14" s="67">
        <v>33274921.045530099</v>
      </c>
      <c r="E14" s="68">
        <v>38.190230273524499</v>
      </c>
      <c r="F14" s="70"/>
      <c r="G14" s="67">
        <v>20162593.370680999</v>
      </c>
      <c r="H14" s="68">
        <v>42.897949085795602</v>
      </c>
      <c r="I14" s="41"/>
      <c r="J14" s="67">
        <v>13604407.2018199</v>
      </c>
      <c r="K14" s="68">
        <v>33.557864805825197</v>
      </c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15" customHeight="1" x14ac:dyDescent="0.25">
      <c r="A15" s="41"/>
      <c r="B15" s="281" t="s">
        <v>208</v>
      </c>
      <c r="C15" s="95"/>
      <c r="D15" s="67">
        <v>23255932.018181399</v>
      </c>
      <c r="E15" s="68">
        <v>70.922377409457098</v>
      </c>
      <c r="F15" s="70"/>
      <c r="G15" s="67">
        <v>14280028.641295301</v>
      </c>
      <c r="H15" s="68">
        <v>72.250088222237395</v>
      </c>
      <c r="I15" s="41"/>
      <c r="J15" s="67">
        <v>9379406.3234161604</v>
      </c>
      <c r="K15" s="68">
        <v>70.659572114753303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15" customHeight="1" x14ac:dyDescent="0.25">
      <c r="A16" s="41"/>
      <c r="B16" s="281" t="s">
        <v>211</v>
      </c>
      <c r="C16" s="95"/>
      <c r="D16" s="67">
        <v>10467119.002301499</v>
      </c>
      <c r="E16" s="68">
        <v>32.3994512539808</v>
      </c>
      <c r="F16" s="70"/>
      <c r="G16" s="67">
        <v>6210089.3801604398</v>
      </c>
      <c r="H16" s="68">
        <v>31.905629737651299</v>
      </c>
      <c r="I16" s="41"/>
      <c r="J16" s="67">
        <v>4527903.7135579502</v>
      </c>
      <c r="K16" s="68">
        <v>34.8662908346937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6.95" customHeight="1" x14ac:dyDescent="0.25">
      <c r="A17" s="41"/>
      <c r="B17" s="279"/>
      <c r="C17" s="214"/>
      <c r="D17" s="152"/>
      <c r="E17" s="152"/>
      <c r="F17" s="215"/>
      <c r="G17" s="215"/>
      <c r="H17" s="152"/>
      <c r="I17" s="152"/>
      <c r="J17" s="152"/>
      <c r="K17" s="152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15" customHeight="1" x14ac:dyDescent="0.25">
      <c r="A18" s="41"/>
      <c r="B18" s="282" t="s">
        <v>2</v>
      </c>
      <c r="C18" s="95"/>
      <c r="D18" s="60">
        <v>31876327.629939102</v>
      </c>
      <c r="E18" s="61">
        <v>100</v>
      </c>
      <c r="F18" s="62"/>
      <c r="G18" s="60">
        <v>17557347.996399298</v>
      </c>
      <c r="H18" s="61">
        <v>100</v>
      </c>
      <c r="I18" s="57"/>
      <c r="J18" s="60">
        <v>14624214.675651999</v>
      </c>
      <c r="K18" s="61">
        <v>100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6.95" customHeight="1" x14ac:dyDescent="0.25">
      <c r="A19" s="41"/>
      <c r="B19" s="279"/>
      <c r="C19" s="95"/>
      <c r="D19" s="67"/>
      <c r="E19" s="68"/>
      <c r="F19" s="70"/>
      <c r="G19" s="67"/>
      <c r="H19" s="68"/>
      <c r="I19" s="41"/>
      <c r="J19" s="67"/>
      <c r="K19" s="68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ht="15" customHeight="1" x14ac:dyDescent="0.25">
      <c r="A20" s="41"/>
      <c r="B20" s="280" t="s">
        <v>206</v>
      </c>
      <c r="C20" s="95"/>
      <c r="D20" s="67">
        <v>16672676.8615909</v>
      </c>
      <c r="E20" s="68">
        <v>53.672027299478799</v>
      </c>
      <c r="F20" s="70"/>
      <c r="G20" s="67">
        <v>8598763.4025228899</v>
      </c>
      <c r="H20" s="68">
        <v>50.790903238859102</v>
      </c>
      <c r="I20" s="41"/>
      <c r="J20" s="67">
        <v>8294212.0790849403</v>
      </c>
      <c r="K20" s="68">
        <v>58.588337936472598</v>
      </c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1:23" ht="15" customHeight="1" x14ac:dyDescent="0.25">
      <c r="A21" s="41"/>
      <c r="B21" s="280" t="s">
        <v>207</v>
      </c>
      <c r="C21" s="95"/>
      <c r="D21" s="67">
        <v>15610204.6580253</v>
      </c>
      <c r="E21" s="68">
        <v>50.804169750957598</v>
      </c>
      <c r="F21" s="70"/>
      <c r="G21" s="67">
        <v>9282735.2359882202</v>
      </c>
      <c r="H21" s="68">
        <v>54.974035757191203</v>
      </c>
      <c r="I21" s="41"/>
      <c r="J21" s="67">
        <v>6588490.8158093197</v>
      </c>
      <c r="K21" s="68">
        <v>47.2083395931067</v>
      </c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ht="15" customHeight="1" x14ac:dyDescent="0.25">
      <c r="A22" s="41"/>
      <c r="B22" s="281" t="s">
        <v>208</v>
      </c>
      <c r="C22" s="95"/>
      <c r="D22" s="67">
        <v>11436262.154056899</v>
      </c>
      <c r="E22" s="68">
        <v>74.992197916235099</v>
      </c>
      <c r="F22" s="70"/>
      <c r="G22" s="67">
        <v>6828204.6626542397</v>
      </c>
      <c r="H22" s="68">
        <v>75.882092202174107</v>
      </c>
      <c r="I22" s="41"/>
      <c r="J22" s="67">
        <v>4836492.3777896697</v>
      </c>
      <c r="K22" s="68">
        <v>75.983774459706794</v>
      </c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</row>
    <row r="23" spans="1:23" ht="15" customHeight="1" x14ac:dyDescent="0.25">
      <c r="A23" s="41"/>
      <c r="B23" s="281" t="s">
        <v>211</v>
      </c>
      <c r="C23" s="95"/>
      <c r="D23" s="67">
        <v>4426417.7414531298</v>
      </c>
      <c r="E23" s="68">
        <v>29.920530403742099</v>
      </c>
      <c r="F23" s="70"/>
      <c r="G23" s="67">
        <v>2635052.0547556402</v>
      </c>
      <c r="H23" s="68">
        <v>30.133127826816601</v>
      </c>
      <c r="I23" s="41"/>
      <c r="J23" s="67">
        <v>1945059.61048019</v>
      </c>
      <c r="K23" s="68">
        <v>31.8733504496888</v>
      </c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</row>
    <row r="24" spans="1:23" ht="6.95" customHeight="1" x14ac:dyDescent="0.25">
      <c r="A24" s="41"/>
      <c r="B24" s="279"/>
      <c r="C24" s="216"/>
      <c r="D24" s="152"/>
      <c r="E24" s="152"/>
      <c r="F24" s="215"/>
      <c r="G24" s="215"/>
      <c r="H24" s="152"/>
      <c r="I24" s="152"/>
      <c r="J24" s="152"/>
      <c r="K24" s="152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</row>
    <row r="25" spans="1:23" ht="15" customHeight="1" x14ac:dyDescent="0.25">
      <c r="A25" s="41"/>
      <c r="B25" s="282" t="s">
        <v>3</v>
      </c>
      <c r="C25" s="95"/>
      <c r="D25" s="60">
        <v>58722602.216376103</v>
      </c>
      <c r="E25" s="61">
        <v>100</v>
      </c>
      <c r="F25" s="62"/>
      <c r="G25" s="60">
        <v>31539784.224373799</v>
      </c>
      <c r="H25" s="61">
        <v>100</v>
      </c>
      <c r="I25" s="57"/>
      <c r="J25" s="60">
        <v>27745562.505176</v>
      </c>
      <c r="K25" s="61">
        <v>100</v>
      </c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 spans="1:23" ht="6.95" customHeight="1" x14ac:dyDescent="0.25">
      <c r="A26" s="41"/>
      <c r="B26" s="279"/>
      <c r="C26" s="95"/>
      <c r="D26" s="67"/>
      <c r="E26" s="68"/>
      <c r="F26" s="70"/>
      <c r="G26" s="67"/>
      <c r="H26" s="68"/>
      <c r="I26" s="41"/>
      <c r="J26" s="67"/>
      <c r="K26" s="68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</row>
    <row r="27" spans="1:23" ht="15" customHeight="1" x14ac:dyDescent="0.25">
      <c r="A27" s="41"/>
      <c r="B27" s="280" t="s">
        <v>206</v>
      </c>
      <c r="C27" s="95"/>
      <c r="D27" s="67">
        <v>40633939.285328098</v>
      </c>
      <c r="E27" s="68">
        <v>70.461485086031999</v>
      </c>
      <c r="F27" s="70"/>
      <c r="G27" s="67">
        <v>20396126.481792301</v>
      </c>
      <c r="H27" s="68">
        <v>66.2729039624748</v>
      </c>
      <c r="I27" s="41"/>
      <c r="J27" s="67">
        <v>20679308.144212801</v>
      </c>
      <c r="K27" s="68">
        <v>76.200174369410405</v>
      </c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</row>
    <row r="28" spans="1:23" ht="15" customHeight="1" x14ac:dyDescent="0.25">
      <c r="A28" s="41"/>
      <c r="B28" s="280" t="s">
        <v>207</v>
      </c>
      <c r="C28" s="95"/>
      <c r="D28" s="67">
        <v>18637148.213809598</v>
      </c>
      <c r="E28" s="68">
        <v>32.325553964529398</v>
      </c>
      <c r="F28" s="70"/>
      <c r="G28" s="67">
        <v>11517730.3704462</v>
      </c>
      <c r="H28" s="68">
        <v>37.375299898293399</v>
      </c>
      <c r="I28" s="41"/>
      <c r="J28" s="67">
        <v>7457707.10681793</v>
      </c>
      <c r="K28" s="68">
        <v>27.592604085384899</v>
      </c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ht="15" customHeight="1" x14ac:dyDescent="0.25">
      <c r="A29" s="41"/>
      <c r="B29" s="281" t="s">
        <v>208</v>
      </c>
      <c r="C29" s="95"/>
      <c r="D29" s="67">
        <v>12529279.047052501</v>
      </c>
      <c r="E29" s="68">
        <v>68.846197002740297</v>
      </c>
      <c r="F29" s="70"/>
      <c r="G29" s="67">
        <v>7931046.89109834</v>
      </c>
      <c r="H29" s="68">
        <v>70.964977098147202</v>
      </c>
      <c r="I29" s="41"/>
      <c r="J29" s="67">
        <v>4880932.3953272197</v>
      </c>
      <c r="K29" s="68">
        <v>68.004632734444698</v>
      </c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</row>
    <row r="30" spans="1:23" ht="15" customHeight="1" x14ac:dyDescent="0.25">
      <c r="A30" s="41"/>
      <c r="B30" s="281" t="s">
        <v>211</v>
      </c>
      <c r="C30" s="95"/>
      <c r="D30" s="67">
        <v>6394946.2219750704</v>
      </c>
      <c r="E30" s="68">
        <v>35.7428073716138</v>
      </c>
      <c r="F30" s="70"/>
      <c r="G30" s="67">
        <v>3823652.6484370101</v>
      </c>
      <c r="H30" s="68">
        <v>34.917485757717401</v>
      </c>
      <c r="I30" s="41"/>
      <c r="J30" s="67">
        <v>2771729.7291665501</v>
      </c>
      <c r="K30" s="68">
        <v>39.518236247389503</v>
      </c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ht="6.95" customHeight="1" x14ac:dyDescent="0.25">
      <c r="A31" s="41"/>
      <c r="B31" s="217"/>
      <c r="C31" s="218"/>
      <c r="D31" s="80"/>
      <c r="E31" s="80"/>
      <c r="F31" s="219"/>
      <c r="G31" s="217"/>
      <c r="H31" s="80"/>
      <c r="I31" s="80"/>
      <c r="J31" s="80"/>
      <c r="K31" s="80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 spans="1:23" ht="6.95" customHeight="1" x14ac:dyDescent="0.25">
      <c r="A32" s="41"/>
      <c r="B32" s="220"/>
      <c r="C32" s="221"/>
      <c r="D32" s="222"/>
      <c r="E32" s="222"/>
      <c r="F32" s="222"/>
      <c r="G32" s="220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s="4" customFormat="1" ht="12" customHeight="1" x14ac:dyDescent="0.2">
      <c r="A33" s="99"/>
      <c r="B33" s="106" t="s">
        <v>101</v>
      </c>
      <c r="C33" s="223"/>
      <c r="D33" s="224"/>
      <c r="E33" s="224"/>
      <c r="F33" s="224"/>
      <c r="G33" s="224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</row>
    <row r="34" spans="1:23" ht="12" customHeight="1" x14ac:dyDescent="0.25">
      <c r="A34" s="41"/>
      <c r="B34" s="307" t="s">
        <v>145</v>
      </c>
      <c r="C34" s="307"/>
      <c r="D34" s="307"/>
      <c r="E34" s="307"/>
      <c r="F34" s="307"/>
      <c r="G34" s="307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</sheetData>
  <mergeCells count="6">
    <mergeCell ref="B34:G34"/>
    <mergeCell ref="B7:B9"/>
    <mergeCell ref="D7:E8"/>
    <mergeCell ref="G7:K7"/>
    <mergeCell ref="G8:H8"/>
    <mergeCell ref="J8:K8"/>
  </mergeCells>
  <hyperlinks>
    <hyperlink ref="K1" location="ÍNDICE!A1" tooltip="Ir a ÍNDICE" display="ÍNDICE" xr:uid="{35FE89EE-E416-48B0-87BE-CA3C80F7BA5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81B65-3B1E-45BB-9424-1C25355089DE}">
  <dimension ref="A1:W53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85" t="s">
        <v>214</v>
      </c>
      <c r="C1" s="31"/>
      <c r="D1" s="31"/>
      <c r="E1" s="30"/>
      <c r="F1" s="30"/>
      <c r="G1" s="30"/>
      <c r="H1" s="30"/>
      <c r="I1" s="30"/>
      <c r="J1" s="30"/>
      <c r="K1" s="284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30" customHeight="1" x14ac:dyDescent="0.2">
      <c r="A5" s="32"/>
      <c r="B5" s="322" t="s">
        <v>191</v>
      </c>
      <c r="C5" s="322"/>
      <c r="D5" s="322"/>
      <c r="E5" s="322"/>
      <c r="F5" s="322"/>
      <c r="G5" s="322"/>
      <c r="H5" s="34"/>
      <c r="I5" s="32"/>
      <c r="J5" s="32"/>
      <c r="K5" s="40" t="s">
        <v>81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1" t="s">
        <v>69</v>
      </c>
      <c r="C7" s="42"/>
      <c r="D7" s="308" t="s">
        <v>182</v>
      </c>
      <c r="E7" s="308"/>
      <c r="F7" s="43"/>
      <c r="G7" s="310" t="s">
        <v>170</v>
      </c>
      <c r="H7" s="310"/>
      <c r="I7" s="310"/>
      <c r="J7" s="310"/>
      <c r="K7" s="310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2"/>
      <c r="C8" s="47"/>
      <c r="D8" s="309"/>
      <c r="E8" s="309"/>
      <c r="F8" s="26"/>
      <c r="G8" s="309" t="s">
        <v>12</v>
      </c>
      <c r="H8" s="309"/>
      <c r="I8" s="26"/>
      <c r="J8" s="309" t="s">
        <v>0</v>
      </c>
      <c r="K8" s="309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13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140"/>
      <c r="C10" s="140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ht="15" customHeight="1" x14ac:dyDescent="0.25">
      <c r="A11" s="41"/>
      <c r="B11" s="139" t="s">
        <v>1</v>
      </c>
      <c r="C11" s="225"/>
      <c r="D11" s="60">
        <v>55898795.798616096</v>
      </c>
      <c r="E11" s="61">
        <v>100</v>
      </c>
      <c r="F11" s="62"/>
      <c r="G11" s="60">
        <v>28249073.615063</v>
      </c>
      <c r="H11" s="61">
        <v>100</v>
      </c>
      <c r="I11" s="57"/>
      <c r="J11" s="60">
        <v>28271015.049400002</v>
      </c>
      <c r="K11" s="61">
        <v>100</v>
      </c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</row>
    <row r="12" spans="1:23" ht="6.95" customHeight="1" x14ac:dyDescent="0.25">
      <c r="A12" s="41"/>
      <c r="B12" s="139"/>
      <c r="C12" s="225"/>
      <c r="D12" s="67"/>
      <c r="E12" s="68"/>
      <c r="F12" s="62"/>
      <c r="G12" s="67"/>
      <c r="H12" s="68"/>
      <c r="I12" s="57"/>
      <c r="J12" s="67"/>
      <c r="K12" s="68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ht="30" customHeight="1" x14ac:dyDescent="0.25">
      <c r="A13" s="41"/>
      <c r="B13" s="226" t="s">
        <v>151</v>
      </c>
      <c r="C13" s="227"/>
      <c r="D13" s="60">
        <v>10825864.7247</v>
      </c>
      <c r="E13" s="61">
        <v>19.750746526185399</v>
      </c>
      <c r="F13" s="62"/>
      <c r="G13" s="60">
        <v>4518360.4029403003</v>
      </c>
      <c r="H13" s="61">
        <v>16.489304726476099</v>
      </c>
      <c r="I13" s="57"/>
      <c r="J13" s="60">
        <v>6533624.0535244597</v>
      </c>
      <c r="K13" s="61">
        <v>23.724007672782399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</row>
    <row r="14" spans="1:23" ht="6.95" customHeight="1" x14ac:dyDescent="0.25">
      <c r="A14" s="41"/>
      <c r="B14" s="149"/>
      <c r="C14" s="227"/>
      <c r="D14" s="67"/>
      <c r="E14" s="68"/>
      <c r="F14" s="70"/>
      <c r="G14" s="67"/>
      <c r="H14" s="68"/>
      <c r="I14" s="41"/>
      <c r="J14" s="67"/>
      <c r="K14" s="68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30" customHeight="1" x14ac:dyDescent="0.25">
      <c r="A15" s="41"/>
      <c r="B15" s="162" t="s">
        <v>50</v>
      </c>
      <c r="C15" s="227"/>
      <c r="D15" s="67">
        <v>9253309.2504491694</v>
      </c>
      <c r="E15" s="68">
        <v>87.335261701994995</v>
      </c>
      <c r="F15" s="70"/>
      <c r="G15" s="67">
        <v>3791702.4765482401</v>
      </c>
      <c r="H15" s="68">
        <v>86.766335055530803</v>
      </c>
      <c r="I15" s="41"/>
      <c r="J15" s="67">
        <v>5670724.9954367699</v>
      </c>
      <c r="K15" s="68">
        <v>88.960932863248303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15" customHeight="1" x14ac:dyDescent="0.25">
      <c r="A16" s="41"/>
      <c r="B16" s="162" t="s">
        <v>51</v>
      </c>
      <c r="C16" s="227"/>
      <c r="D16" s="67">
        <v>5398067.2101159701</v>
      </c>
      <c r="E16" s="68">
        <v>51.888506457300203</v>
      </c>
      <c r="F16" s="70"/>
      <c r="G16" s="67">
        <v>2511866.4769370998</v>
      </c>
      <c r="H16" s="68">
        <v>58.988576492870202</v>
      </c>
      <c r="I16" s="41"/>
      <c r="J16" s="67">
        <v>3047312.8670739001</v>
      </c>
      <c r="K16" s="68">
        <v>49.224741958065401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30" customHeight="1" x14ac:dyDescent="0.25">
      <c r="A17" s="41"/>
      <c r="B17" s="162" t="s">
        <v>149</v>
      </c>
      <c r="C17" s="227"/>
      <c r="D17" s="67">
        <v>2619758.1413172502</v>
      </c>
      <c r="E17" s="68">
        <v>25.7512295057969</v>
      </c>
      <c r="F17" s="70"/>
      <c r="G17" s="67">
        <v>920633.77860373806</v>
      </c>
      <c r="H17" s="68">
        <v>21.9743089907982</v>
      </c>
      <c r="I17" s="41"/>
      <c r="J17" s="67">
        <v>1804359.74773425</v>
      </c>
      <c r="K17" s="68">
        <v>29.852998767885101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30" customHeight="1" x14ac:dyDescent="0.25">
      <c r="A18" s="41"/>
      <c r="B18" s="162" t="s">
        <v>48</v>
      </c>
      <c r="C18" s="227"/>
      <c r="D18" s="67">
        <v>2843561.9111658698</v>
      </c>
      <c r="E18" s="68">
        <v>27.6381704123757</v>
      </c>
      <c r="F18" s="70"/>
      <c r="G18" s="67">
        <v>1018416.62733134</v>
      </c>
      <c r="H18" s="68">
        <v>24.229511176081999</v>
      </c>
      <c r="I18" s="41"/>
      <c r="J18" s="67">
        <v>1941595.4550850401</v>
      </c>
      <c r="K18" s="68">
        <v>31.772611516291999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15" customHeight="1" x14ac:dyDescent="0.25">
      <c r="A19" s="41"/>
      <c r="B19" s="162" t="s">
        <v>49</v>
      </c>
      <c r="C19" s="227"/>
      <c r="D19" s="67">
        <v>1497861.28703076</v>
      </c>
      <c r="E19" s="68">
        <v>14.729421948313901</v>
      </c>
      <c r="F19" s="70"/>
      <c r="G19" s="67">
        <v>595270.96767503605</v>
      </c>
      <c r="H19" s="68">
        <v>14.287367504529101</v>
      </c>
      <c r="I19" s="41"/>
      <c r="J19" s="67">
        <v>974980.43856676505</v>
      </c>
      <c r="K19" s="68">
        <v>16.207739664637899</v>
      </c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ht="15" customHeight="1" x14ac:dyDescent="0.25">
      <c r="A20" s="41"/>
      <c r="B20" s="162" t="s">
        <v>159</v>
      </c>
      <c r="C20" s="227"/>
      <c r="D20" s="67">
        <v>1069808.61888021</v>
      </c>
      <c r="E20" s="68">
        <v>10.497148852582599</v>
      </c>
      <c r="F20" s="70"/>
      <c r="G20" s="67">
        <v>285009.97235040099</v>
      </c>
      <c r="H20" s="68">
        <v>6.8709941471818698</v>
      </c>
      <c r="I20" s="41"/>
      <c r="J20" s="67">
        <v>834899.53169432096</v>
      </c>
      <c r="K20" s="68">
        <v>13.7809169584341</v>
      </c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1:23" ht="6.95" customHeight="1" x14ac:dyDescent="0.25">
      <c r="A21" s="41"/>
      <c r="B21" s="162"/>
      <c r="C21" s="227"/>
      <c r="D21" s="67"/>
      <c r="E21" s="68"/>
      <c r="F21" s="70"/>
      <c r="G21" s="67"/>
      <c r="H21" s="68"/>
      <c r="I21" s="41"/>
      <c r="J21" s="67"/>
      <c r="K21" s="68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s="6" customFormat="1" ht="30" customHeight="1" x14ac:dyDescent="0.25">
      <c r="A22" s="57"/>
      <c r="B22" s="226" t="s">
        <v>150</v>
      </c>
      <c r="C22" s="227"/>
      <c r="D22" s="60">
        <v>45678316.840370797</v>
      </c>
      <c r="E22" s="61">
        <v>82.594948024753506</v>
      </c>
      <c r="F22" s="62"/>
      <c r="G22" s="60">
        <v>24051753.749302901</v>
      </c>
      <c r="H22" s="61">
        <v>86.147117365088107</v>
      </c>
      <c r="I22" s="57"/>
      <c r="J22" s="60">
        <v>22169861.664755099</v>
      </c>
      <c r="K22" s="61">
        <v>79.765056041273795</v>
      </c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</row>
    <row r="23" spans="1:23" ht="6.95" customHeight="1" x14ac:dyDescent="0.25">
      <c r="A23" s="41"/>
      <c r="B23" s="228"/>
      <c r="C23" s="227"/>
      <c r="D23" s="131"/>
      <c r="E23" s="131"/>
      <c r="F23" s="229"/>
      <c r="G23" s="131"/>
      <c r="H23" s="131"/>
      <c r="I23" s="131"/>
      <c r="J23" s="131"/>
      <c r="K23" s="13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</row>
    <row r="24" spans="1:23" s="5" customFormat="1" ht="15" customHeight="1" x14ac:dyDescent="0.25">
      <c r="A24" s="143"/>
      <c r="B24" s="230" t="s">
        <v>2</v>
      </c>
      <c r="C24" s="231"/>
      <c r="D24" s="60">
        <v>16672676.8615909</v>
      </c>
      <c r="E24" s="61">
        <v>100</v>
      </c>
      <c r="F24" s="62"/>
      <c r="G24" s="60">
        <v>8598763.4025228899</v>
      </c>
      <c r="H24" s="61">
        <v>100</v>
      </c>
      <c r="I24" s="57"/>
      <c r="J24" s="60">
        <v>8294212.0790849403</v>
      </c>
      <c r="K24" s="61">
        <v>100</v>
      </c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</row>
    <row r="25" spans="1:23" s="5" customFormat="1" ht="6.95" customHeight="1" x14ac:dyDescent="0.25">
      <c r="A25" s="143"/>
      <c r="B25" s="232"/>
      <c r="C25" s="231"/>
      <c r="D25" s="67"/>
      <c r="E25" s="68"/>
      <c r="F25" s="62"/>
      <c r="G25" s="67"/>
      <c r="H25" s="68"/>
      <c r="I25" s="57"/>
      <c r="J25" s="67"/>
      <c r="K25" s="68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</row>
    <row r="26" spans="1:23" s="6" customFormat="1" ht="30" customHeight="1" x14ac:dyDescent="0.25">
      <c r="A26" s="57"/>
      <c r="B26" s="226" t="s">
        <v>151</v>
      </c>
      <c r="C26" s="227"/>
      <c r="D26" s="60">
        <v>2286062.5553431599</v>
      </c>
      <c r="E26" s="61">
        <v>14.5698436458075</v>
      </c>
      <c r="F26" s="62"/>
      <c r="G26" s="60">
        <v>885483.36476648296</v>
      </c>
      <c r="H26" s="61">
        <v>11.077942640852401</v>
      </c>
      <c r="I26" s="57"/>
      <c r="J26" s="60">
        <v>1476295.4106926899</v>
      </c>
      <c r="K26" s="61">
        <v>19.127844111015399</v>
      </c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</row>
    <row r="27" spans="1:23" s="6" customFormat="1" ht="6.95" customHeight="1" x14ac:dyDescent="0.25">
      <c r="A27" s="57"/>
      <c r="B27" s="149"/>
      <c r="C27" s="227"/>
      <c r="D27" s="67"/>
      <c r="E27" s="68"/>
      <c r="F27" s="70"/>
      <c r="G27" s="67"/>
      <c r="H27" s="68"/>
      <c r="I27" s="41"/>
      <c r="J27" s="67"/>
      <c r="K27" s="68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</row>
    <row r="28" spans="1:23" ht="30" customHeight="1" x14ac:dyDescent="0.25">
      <c r="A28" s="41"/>
      <c r="B28" s="162" t="s">
        <v>50</v>
      </c>
      <c r="C28" s="227"/>
      <c r="D28" s="67">
        <v>1892033.95552987</v>
      </c>
      <c r="E28" s="68">
        <v>88.806857638740894</v>
      </c>
      <c r="F28" s="70"/>
      <c r="G28" s="67">
        <v>691725.17756938795</v>
      </c>
      <c r="H28" s="68">
        <v>87.132537907038497</v>
      </c>
      <c r="I28" s="41"/>
      <c r="J28" s="67">
        <v>1262474.6845807401</v>
      </c>
      <c r="K28" s="68">
        <v>92.258154258089704</v>
      </c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ht="15" customHeight="1" x14ac:dyDescent="0.25">
      <c r="A29" s="41"/>
      <c r="B29" s="162" t="s">
        <v>51</v>
      </c>
      <c r="C29" s="227"/>
      <c r="D29" s="67">
        <v>1153210.76390802</v>
      </c>
      <c r="E29" s="68">
        <v>57.564900750468198</v>
      </c>
      <c r="F29" s="70"/>
      <c r="G29" s="67">
        <v>598293.53706447303</v>
      </c>
      <c r="H29" s="68">
        <v>74.380238632202193</v>
      </c>
      <c r="I29" s="41"/>
      <c r="J29" s="67">
        <v>619676.69123888097</v>
      </c>
      <c r="K29" s="68">
        <v>50.803883678357003</v>
      </c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</row>
    <row r="30" spans="1:23" ht="30" customHeight="1" x14ac:dyDescent="0.25">
      <c r="A30" s="41"/>
      <c r="B30" s="162" t="s">
        <v>149</v>
      </c>
      <c r="C30" s="227"/>
      <c r="D30" s="67">
        <v>501699.885193464</v>
      </c>
      <c r="E30" s="68">
        <v>26.492717506576899</v>
      </c>
      <c r="F30" s="70"/>
      <c r="G30" s="67">
        <v>111422.59405299</v>
      </c>
      <c r="H30" s="68">
        <v>15.1707072059772</v>
      </c>
      <c r="I30" s="41"/>
      <c r="J30" s="67">
        <v>419840.95375707798</v>
      </c>
      <c r="K30" s="68">
        <v>35.882837321383697</v>
      </c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ht="30" customHeight="1" x14ac:dyDescent="0.25">
      <c r="A31" s="41"/>
      <c r="B31" s="162" t="s">
        <v>48</v>
      </c>
      <c r="C31" s="227"/>
      <c r="D31" s="67">
        <v>582785.832664949</v>
      </c>
      <c r="E31" s="68">
        <v>29.880058612402799</v>
      </c>
      <c r="F31" s="70"/>
      <c r="G31" s="67">
        <v>199571.93054849599</v>
      </c>
      <c r="H31" s="68">
        <v>27.140257782271799</v>
      </c>
      <c r="I31" s="41"/>
      <c r="J31" s="67">
        <v>426143.73564596102</v>
      </c>
      <c r="K31" s="68">
        <v>34.812132984884499</v>
      </c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 spans="1:23" ht="15" customHeight="1" x14ac:dyDescent="0.25">
      <c r="A32" s="41"/>
      <c r="B32" s="162" t="s">
        <v>49</v>
      </c>
      <c r="C32" s="227"/>
      <c r="D32" s="67">
        <v>308120.49705208698</v>
      </c>
      <c r="E32" s="68">
        <v>16.349376457305301</v>
      </c>
      <c r="F32" s="70"/>
      <c r="G32" s="67">
        <v>154861.96705502301</v>
      </c>
      <c r="H32" s="68">
        <v>20.8631703729843</v>
      </c>
      <c r="I32" s="41"/>
      <c r="J32" s="67">
        <v>188593.82885777799</v>
      </c>
      <c r="K32" s="68">
        <v>16.3337617431879</v>
      </c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ht="15" customHeight="1" x14ac:dyDescent="0.25">
      <c r="A33" s="41"/>
      <c r="B33" s="162" t="s">
        <v>159</v>
      </c>
      <c r="C33" s="227"/>
      <c r="D33" s="67">
        <v>246007.90558934101</v>
      </c>
      <c r="E33" s="68">
        <v>12.3791471271741</v>
      </c>
      <c r="F33" s="70"/>
      <c r="G33" s="67">
        <v>65451.273931554999</v>
      </c>
      <c r="H33" s="68">
        <v>8.8987928398119003</v>
      </c>
      <c r="I33" s="41"/>
      <c r="J33" s="67">
        <v>206522.88637853001</v>
      </c>
      <c r="K33" s="68">
        <v>16.477435223494101</v>
      </c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</row>
    <row r="34" spans="1:23" ht="6.95" customHeight="1" x14ac:dyDescent="0.25">
      <c r="A34" s="41"/>
      <c r="B34" s="162"/>
      <c r="C34" s="227"/>
      <c r="D34" s="67"/>
      <c r="E34" s="68"/>
      <c r="F34" s="70"/>
      <c r="G34" s="67"/>
      <c r="H34" s="68"/>
      <c r="I34" s="41"/>
      <c r="J34" s="67"/>
      <c r="K34" s="68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 spans="1:23" s="6" customFormat="1" ht="30" customHeight="1" x14ac:dyDescent="0.25">
      <c r="A35" s="57"/>
      <c r="B35" s="226" t="s">
        <v>150</v>
      </c>
      <c r="C35" s="227"/>
      <c r="D35" s="60">
        <v>14651818.207286</v>
      </c>
      <c r="E35" s="61">
        <v>90.011792211628403</v>
      </c>
      <c r="F35" s="62"/>
      <c r="G35" s="60">
        <v>7820503.7210409697</v>
      </c>
      <c r="H35" s="61">
        <v>92.710139046349795</v>
      </c>
      <c r="I35" s="57"/>
      <c r="J35" s="60">
        <v>7042204.3658611001</v>
      </c>
      <c r="K35" s="61">
        <v>88.140969300748097</v>
      </c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</row>
    <row r="36" spans="1:23" s="5" customFormat="1" ht="6.95" customHeight="1" x14ac:dyDescent="0.25">
      <c r="A36" s="143"/>
      <c r="B36" s="232"/>
      <c r="C36" s="231"/>
      <c r="D36" s="131"/>
      <c r="E36" s="131"/>
      <c r="F36" s="94"/>
      <c r="G36" s="205"/>
      <c r="H36" s="131"/>
      <c r="I36" s="131"/>
      <c r="J36" s="131"/>
      <c r="K36" s="131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</row>
    <row r="37" spans="1:23" s="5" customFormat="1" ht="15" customHeight="1" x14ac:dyDescent="0.25">
      <c r="A37" s="143"/>
      <c r="B37" s="230" t="s">
        <v>3</v>
      </c>
      <c r="C37" s="233"/>
      <c r="D37" s="60">
        <v>40633939.285328098</v>
      </c>
      <c r="E37" s="61">
        <v>100</v>
      </c>
      <c r="F37" s="62"/>
      <c r="G37" s="60">
        <v>20396126.481792301</v>
      </c>
      <c r="H37" s="61">
        <v>100</v>
      </c>
      <c r="I37" s="57"/>
      <c r="J37" s="60">
        <v>20679308.144212801</v>
      </c>
      <c r="K37" s="61">
        <v>100</v>
      </c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</row>
    <row r="38" spans="1:23" s="5" customFormat="1" ht="6.95" customHeight="1" x14ac:dyDescent="0.25">
      <c r="A38" s="143"/>
      <c r="B38" s="232"/>
      <c r="C38" s="234"/>
      <c r="D38" s="67"/>
      <c r="E38" s="68"/>
      <c r="F38" s="62"/>
      <c r="G38" s="67"/>
      <c r="H38" s="68"/>
      <c r="I38" s="57"/>
      <c r="J38" s="67"/>
      <c r="K38" s="68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</row>
    <row r="39" spans="1:23" s="6" customFormat="1" ht="30" customHeight="1" x14ac:dyDescent="0.25">
      <c r="A39" s="57"/>
      <c r="B39" s="226" t="s">
        <v>151</v>
      </c>
      <c r="C39" s="227"/>
      <c r="D39" s="60">
        <v>8840003.6391086895</v>
      </c>
      <c r="E39" s="61">
        <v>22.403619212392599</v>
      </c>
      <c r="F39" s="62"/>
      <c r="G39" s="60">
        <v>3769060.0108455098</v>
      </c>
      <c r="H39" s="61">
        <v>19.273123160688801</v>
      </c>
      <c r="I39" s="57"/>
      <c r="J39" s="60">
        <v>5277357.0784670003</v>
      </c>
      <c r="K39" s="61">
        <v>26.3814763149025</v>
      </c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</row>
    <row r="40" spans="1:23" s="6" customFormat="1" ht="6.95" customHeight="1" x14ac:dyDescent="0.25">
      <c r="A40" s="57"/>
      <c r="B40" s="149"/>
      <c r="C40" s="227"/>
      <c r="D40" s="67"/>
      <c r="E40" s="68"/>
      <c r="F40" s="70"/>
      <c r="G40" s="67"/>
      <c r="H40" s="68"/>
      <c r="I40" s="41"/>
      <c r="J40" s="67"/>
      <c r="K40" s="68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</row>
    <row r="41" spans="1:23" ht="30" customHeight="1" x14ac:dyDescent="0.25">
      <c r="A41" s="41"/>
      <c r="B41" s="162" t="s">
        <v>50</v>
      </c>
      <c r="C41" s="227"/>
      <c r="D41" s="67">
        <v>7619069.9680032805</v>
      </c>
      <c r="E41" s="68">
        <v>87.997673525337603</v>
      </c>
      <c r="F41" s="70"/>
      <c r="G41" s="67">
        <v>3211968.5749555798</v>
      </c>
      <c r="H41" s="68">
        <v>88.124885168674098</v>
      </c>
      <c r="I41" s="41"/>
      <c r="J41" s="67">
        <v>4602529.1273574298</v>
      </c>
      <c r="K41" s="68">
        <v>89.348076566028297</v>
      </c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</row>
    <row r="42" spans="1:23" ht="15" customHeight="1" x14ac:dyDescent="0.25">
      <c r="A42" s="41"/>
      <c r="B42" s="162" t="s">
        <v>51</v>
      </c>
      <c r="C42" s="227"/>
      <c r="D42" s="67">
        <v>4432791.4009732604</v>
      </c>
      <c r="E42" s="68">
        <v>52.130071850455799</v>
      </c>
      <c r="F42" s="70"/>
      <c r="G42" s="67">
        <v>2022475.9974700699</v>
      </c>
      <c r="H42" s="68">
        <v>57.499213621501198</v>
      </c>
      <c r="I42" s="41"/>
      <c r="J42" s="67">
        <v>2557556.47957166</v>
      </c>
      <c r="K42" s="68">
        <v>50.867273913633603</v>
      </c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</row>
    <row r="43" spans="1:23" ht="30" customHeight="1" x14ac:dyDescent="0.25">
      <c r="A43" s="41"/>
      <c r="B43" s="162" t="s">
        <v>149</v>
      </c>
      <c r="C43" s="227"/>
      <c r="D43" s="67">
        <v>2215027.8265542202</v>
      </c>
      <c r="E43" s="68">
        <v>26.668822839679699</v>
      </c>
      <c r="F43" s="70"/>
      <c r="G43" s="67">
        <v>843985.53475667001</v>
      </c>
      <c r="H43" s="68">
        <v>24.338108519604599</v>
      </c>
      <c r="I43" s="41"/>
      <c r="J43" s="67">
        <v>1467880.85850671</v>
      </c>
      <c r="K43" s="68">
        <v>30.035002471605999</v>
      </c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</row>
    <row r="44" spans="1:23" ht="30" customHeight="1" x14ac:dyDescent="0.25">
      <c r="A44" s="41"/>
      <c r="B44" s="162" t="s">
        <v>48</v>
      </c>
      <c r="C44" s="227"/>
      <c r="D44" s="67">
        <v>2363898.5980352499</v>
      </c>
      <c r="E44" s="68">
        <v>28.147242235076298</v>
      </c>
      <c r="F44" s="70"/>
      <c r="G44" s="67">
        <v>866142.26496110403</v>
      </c>
      <c r="H44" s="68">
        <v>24.896523382215101</v>
      </c>
      <c r="I44" s="41"/>
      <c r="J44" s="67">
        <v>1604027.51249466</v>
      </c>
      <c r="K44" s="68">
        <v>32.529678434395201</v>
      </c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</row>
    <row r="45" spans="1:23" ht="15" customHeight="1" x14ac:dyDescent="0.25">
      <c r="A45" s="41"/>
      <c r="B45" s="162" t="s">
        <v>49</v>
      </c>
      <c r="C45" s="227"/>
      <c r="D45" s="67">
        <v>1255813.1147416199</v>
      </c>
      <c r="E45" s="68">
        <v>15.1229409742344</v>
      </c>
      <c r="F45" s="70"/>
      <c r="G45" s="67">
        <v>482663.16006326198</v>
      </c>
      <c r="H45" s="68">
        <v>13.9929568181135</v>
      </c>
      <c r="I45" s="41"/>
      <c r="J45" s="67">
        <v>835240.29463260295</v>
      </c>
      <c r="K45" s="68">
        <v>17.159503093526698</v>
      </c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</row>
    <row r="46" spans="1:23" ht="15" customHeight="1" x14ac:dyDescent="0.25">
      <c r="A46" s="41"/>
      <c r="B46" s="162" t="s">
        <v>159</v>
      </c>
      <c r="C46" s="227"/>
      <c r="D46" s="67">
        <v>885914.59163217898</v>
      </c>
      <c r="E46" s="68">
        <v>10.728329375065</v>
      </c>
      <c r="F46" s="70"/>
      <c r="G46" s="67">
        <v>246163.23008461401</v>
      </c>
      <c r="H46" s="68">
        <v>7.1987657917032903</v>
      </c>
      <c r="I46" s="41"/>
      <c r="J46" s="67">
        <v>682077.68506992504</v>
      </c>
      <c r="K46" s="68">
        <v>14.0826026298749</v>
      </c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</row>
    <row r="47" spans="1:23" ht="6.95" customHeight="1" x14ac:dyDescent="0.25">
      <c r="A47" s="41"/>
      <c r="B47" s="162"/>
      <c r="C47" s="227"/>
      <c r="D47" s="67"/>
      <c r="E47" s="68"/>
      <c r="F47" s="70"/>
      <c r="G47" s="67"/>
      <c r="H47" s="68"/>
      <c r="I47" s="41"/>
      <c r="J47" s="67"/>
      <c r="K47" s="68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</row>
    <row r="48" spans="1:23" s="6" customFormat="1" ht="30" customHeight="1" x14ac:dyDescent="0.25">
      <c r="A48" s="57"/>
      <c r="B48" s="226" t="s">
        <v>150</v>
      </c>
      <c r="C48" s="227"/>
      <c r="D48" s="60">
        <v>32231050.3849204</v>
      </c>
      <c r="E48" s="61">
        <v>80.303054742107193</v>
      </c>
      <c r="F48" s="62"/>
      <c r="G48" s="60">
        <v>16904899.992249399</v>
      </c>
      <c r="H48" s="61">
        <v>84.100979973333807</v>
      </c>
      <c r="I48" s="57"/>
      <c r="J48" s="60">
        <v>15712658.2974994</v>
      </c>
      <c r="K48" s="61">
        <v>77.469148773188493</v>
      </c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</row>
    <row r="49" spans="1:23" ht="6.95" customHeight="1" x14ac:dyDescent="0.25">
      <c r="A49" s="41"/>
      <c r="B49" s="235"/>
      <c r="C49" s="236"/>
      <c r="D49" s="80"/>
      <c r="E49" s="80"/>
      <c r="F49" s="237"/>
      <c r="G49" s="80"/>
      <c r="H49" s="80"/>
      <c r="I49" s="80"/>
      <c r="J49" s="80"/>
      <c r="K49" s="80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</row>
    <row r="50" spans="1:23" ht="7.15" customHeight="1" x14ac:dyDescent="0.25">
      <c r="A50" s="41"/>
      <c r="B50" s="238"/>
      <c r="C50" s="97"/>
      <c r="D50" s="239"/>
      <c r="E50" s="239"/>
      <c r="F50" s="240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</row>
    <row r="51" spans="1:23" ht="12" customHeight="1" x14ac:dyDescent="0.25">
      <c r="A51" s="41"/>
      <c r="B51" s="241" t="s">
        <v>199</v>
      </c>
      <c r="C51" s="242"/>
      <c r="D51" s="243"/>
      <c r="E51" s="243"/>
      <c r="F51" s="244"/>
      <c r="G51" s="143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</row>
    <row r="52" spans="1:23" ht="12" customHeight="1" x14ac:dyDescent="0.25">
      <c r="A52" s="41"/>
      <c r="B52" s="241" t="s">
        <v>213</v>
      </c>
      <c r="C52" s="242"/>
      <c r="D52" s="243"/>
      <c r="E52" s="243"/>
      <c r="F52" s="244"/>
      <c r="G52" s="143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</row>
    <row r="53" spans="1:23" ht="12" customHeight="1" x14ac:dyDescent="0.25">
      <c r="A53" s="41"/>
      <c r="B53" s="307" t="s">
        <v>145</v>
      </c>
      <c r="C53" s="307"/>
      <c r="D53" s="307"/>
      <c r="E53" s="307"/>
      <c r="F53" s="307"/>
      <c r="G53" s="307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</row>
  </sheetData>
  <mergeCells count="7">
    <mergeCell ref="B53:G53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ÍNDICE" xr:uid="{E5D4C05F-5B0F-402C-961E-F5D5EC439014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CAA25-8D04-47F5-B82A-EF4ABD3433BD}">
  <dimension ref="A1:W55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85" t="s">
        <v>214</v>
      </c>
      <c r="C1" s="31"/>
      <c r="D1" s="31"/>
      <c r="E1" s="30"/>
      <c r="F1" s="30"/>
      <c r="G1" s="30"/>
      <c r="H1" s="30"/>
      <c r="I1" s="30"/>
      <c r="J1" s="30"/>
      <c r="K1" s="284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15" customHeight="1" x14ac:dyDescent="0.2">
      <c r="A5" s="32"/>
      <c r="B5" s="245" t="s">
        <v>152</v>
      </c>
      <c r="C5" s="37"/>
      <c r="D5" s="39"/>
      <c r="E5" s="39"/>
      <c r="F5" s="39"/>
      <c r="G5" s="38"/>
      <c r="H5" s="34"/>
      <c r="I5" s="32"/>
      <c r="J5" s="32"/>
      <c r="K5" s="40" t="s">
        <v>80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1" t="s">
        <v>70</v>
      </c>
      <c r="C7" s="42"/>
      <c r="D7" s="308" t="s">
        <v>194</v>
      </c>
      <c r="E7" s="308"/>
      <c r="F7" s="43"/>
      <c r="G7" s="310" t="s">
        <v>170</v>
      </c>
      <c r="H7" s="310"/>
      <c r="I7" s="310"/>
      <c r="J7" s="310"/>
      <c r="K7" s="310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2"/>
      <c r="C8" s="47"/>
      <c r="D8" s="309"/>
      <c r="E8" s="309"/>
      <c r="F8" s="26"/>
      <c r="G8" s="309" t="s">
        <v>12</v>
      </c>
      <c r="H8" s="309"/>
      <c r="I8" s="26"/>
      <c r="J8" s="309" t="s">
        <v>0</v>
      </c>
      <c r="K8" s="309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13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87"/>
      <c r="C10" s="87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s="6" customFormat="1" ht="15" customHeight="1" x14ac:dyDescent="0.25">
      <c r="A11" s="57"/>
      <c r="B11" s="109" t="s">
        <v>1</v>
      </c>
      <c r="C11" s="89"/>
      <c r="D11" s="60">
        <v>23255932.018181399</v>
      </c>
      <c r="E11" s="61">
        <v>100</v>
      </c>
      <c r="F11" s="62"/>
      <c r="G11" s="60">
        <v>14280028.641295301</v>
      </c>
      <c r="H11" s="61">
        <v>100</v>
      </c>
      <c r="I11" s="57"/>
      <c r="J11" s="60">
        <v>9379406.3234161604</v>
      </c>
      <c r="K11" s="61">
        <v>100</v>
      </c>
      <c r="L11" s="246"/>
      <c r="M11" s="246"/>
      <c r="N11" s="246"/>
      <c r="O11" s="246"/>
      <c r="P11" s="246"/>
      <c r="Q11" s="246"/>
      <c r="R11" s="57"/>
      <c r="S11" s="57"/>
      <c r="T11" s="57"/>
      <c r="U11" s="57"/>
      <c r="V11" s="57"/>
      <c r="W11" s="57"/>
    </row>
    <row r="12" spans="1:23" ht="6.95" customHeight="1" x14ac:dyDescent="0.25">
      <c r="A12" s="41"/>
      <c r="B12" s="109"/>
      <c r="C12" s="89"/>
      <c r="D12" s="67"/>
      <c r="E12" s="68"/>
      <c r="F12" s="70"/>
      <c r="G12" s="67"/>
      <c r="H12" s="68"/>
      <c r="I12" s="41"/>
      <c r="J12" s="67"/>
      <c r="K12" s="68"/>
      <c r="L12" s="247"/>
      <c r="M12" s="247"/>
      <c r="N12" s="247"/>
      <c r="O12" s="247"/>
      <c r="P12" s="247"/>
      <c r="Q12" s="247"/>
      <c r="R12" s="41"/>
      <c r="S12" s="41"/>
      <c r="T12" s="41"/>
      <c r="U12" s="41"/>
      <c r="V12" s="41"/>
      <c r="W12" s="41"/>
    </row>
    <row r="13" spans="1:23" ht="15" customHeight="1" x14ac:dyDescent="0.25">
      <c r="A13" s="41"/>
      <c r="B13" s="110" t="s">
        <v>52</v>
      </c>
      <c r="C13" s="91"/>
      <c r="D13" s="67">
        <v>397081.60832491599</v>
      </c>
      <c r="E13" s="68">
        <v>1.7844483569960901</v>
      </c>
      <c r="F13" s="70"/>
      <c r="G13" s="67">
        <v>163936.097681869</v>
      </c>
      <c r="H13" s="68">
        <v>1.21618173781356</v>
      </c>
      <c r="I13" s="41"/>
      <c r="J13" s="67">
        <v>275853.87621726101</v>
      </c>
      <c r="K13" s="68">
        <v>3.1519165014309198</v>
      </c>
      <c r="L13" s="247"/>
      <c r="M13" s="247"/>
      <c r="N13" s="247"/>
      <c r="O13" s="247"/>
      <c r="P13" s="247"/>
      <c r="Q13" s="247"/>
      <c r="R13" s="41"/>
      <c r="S13" s="41"/>
      <c r="T13" s="41"/>
      <c r="U13" s="41"/>
      <c r="V13" s="41"/>
      <c r="W13" s="41"/>
    </row>
    <row r="14" spans="1:23" ht="15" customHeight="1" x14ac:dyDescent="0.25">
      <c r="A14" s="41"/>
      <c r="B14" s="110" t="s">
        <v>53</v>
      </c>
      <c r="C14" s="95"/>
      <c r="D14" s="67">
        <v>872581.80786097702</v>
      </c>
      <c r="E14" s="68">
        <v>3.9135365856170301</v>
      </c>
      <c r="F14" s="70"/>
      <c r="G14" s="67">
        <v>550690.112862273</v>
      </c>
      <c r="H14" s="68">
        <v>4.0615677618742296</v>
      </c>
      <c r="I14" s="41"/>
      <c r="J14" s="67">
        <v>397780.2022227</v>
      </c>
      <c r="K14" s="68">
        <v>4.5251105154397298</v>
      </c>
      <c r="L14" s="247"/>
      <c r="M14" s="247"/>
      <c r="N14" s="247"/>
      <c r="O14" s="247"/>
      <c r="P14" s="247"/>
      <c r="Q14" s="247"/>
      <c r="R14" s="41"/>
      <c r="S14" s="41"/>
      <c r="T14" s="41"/>
      <c r="U14" s="41"/>
      <c r="V14" s="41"/>
      <c r="W14" s="41"/>
    </row>
    <row r="15" spans="1:23" ht="15" customHeight="1" x14ac:dyDescent="0.25">
      <c r="A15" s="41"/>
      <c r="B15" s="110" t="s">
        <v>54</v>
      </c>
      <c r="C15" s="95"/>
      <c r="D15" s="67">
        <v>1452542.7736673299</v>
      </c>
      <c r="E15" s="68">
        <v>6.5115645800742499</v>
      </c>
      <c r="F15" s="70"/>
      <c r="G15" s="67">
        <v>736947.42065589002</v>
      </c>
      <c r="H15" s="68">
        <v>5.4672576243908404</v>
      </c>
      <c r="I15" s="41"/>
      <c r="J15" s="67">
        <v>800772.64761099196</v>
      </c>
      <c r="K15" s="68">
        <v>9.0668538203263296</v>
      </c>
      <c r="L15" s="247"/>
      <c r="M15" s="247"/>
      <c r="N15" s="247"/>
      <c r="O15" s="247"/>
      <c r="P15" s="247"/>
      <c r="Q15" s="247"/>
      <c r="R15" s="41"/>
      <c r="S15" s="41"/>
      <c r="T15" s="41"/>
      <c r="U15" s="41"/>
      <c r="V15" s="41"/>
      <c r="W15" s="41"/>
    </row>
    <row r="16" spans="1:23" ht="15" customHeight="1" x14ac:dyDescent="0.25">
      <c r="A16" s="41"/>
      <c r="B16" s="110" t="s">
        <v>55</v>
      </c>
      <c r="C16" s="95"/>
      <c r="D16" s="67">
        <v>2108754.4805677598</v>
      </c>
      <c r="E16" s="68">
        <v>9.4239421600487105</v>
      </c>
      <c r="F16" s="70"/>
      <c r="G16" s="67">
        <v>1341059.1858335801</v>
      </c>
      <c r="H16" s="68">
        <v>9.8208354432185292</v>
      </c>
      <c r="I16" s="41"/>
      <c r="J16" s="67">
        <v>891741.09164162399</v>
      </c>
      <c r="K16" s="68">
        <v>10.174031413140501</v>
      </c>
      <c r="L16" s="247"/>
      <c r="M16" s="247"/>
      <c r="N16" s="247"/>
      <c r="O16" s="247"/>
      <c r="P16" s="247"/>
      <c r="Q16" s="247"/>
      <c r="R16" s="41"/>
      <c r="S16" s="41"/>
      <c r="T16" s="41"/>
      <c r="U16" s="41"/>
      <c r="V16" s="41"/>
      <c r="W16" s="41"/>
    </row>
    <row r="17" spans="1:23" ht="15" customHeight="1" x14ac:dyDescent="0.25">
      <c r="A17" s="41"/>
      <c r="B17" s="110" t="s">
        <v>56</v>
      </c>
      <c r="C17" s="95"/>
      <c r="D17" s="67">
        <v>1305848.3680309299</v>
      </c>
      <c r="E17" s="68">
        <v>5.8665234695000503</v>
      </c>
      <c r="F17" s="70"/>
      <c r="G17" s="67">
        <v>875094.68754494004</v>
      </c>
      <c r="H17" s="68">
        <v>6.4671167215008003</v>
      </c>
      <c r="I17" s="41"/>
      <c r="J17" s="67">
        <v>508774.60284037702</v>
      </c>
      <c r="K17" s="68">
        <v>5.8032640338368804</v>
      </c>
      <c r="L17" s="247"/>
      <c r="M17" s="247"/>
      <c r="N17" s="247"/>
      <c r="O17" s="247"/>
      <c r="P17" s="247"/>
      <c r="Q17" s="247"/>
      <c r="R17" s="41"/>
      <c r="S17" s="41"/>
      <c r="T17" s="41"/>
      <c r="U17" s="41"/>
      <c r="V17" s="41"/>
      <c r="W17" s="41"/>
    </row>
    <row r="18" spans="1:23" ht="15" customHeight="1" x14ac:dyDescent="0.25">
      <c r="A18" s="41"/>
      <c r="B18" s="110" t="s">
        <v>57</v>
      </c>
      <c r="C18" s="95"/>
      <c r="D18" s="67">
        <v>8554654.3299195897</v>
      </c>
      <c r="E18" s="68">
        <v>37.955063495405597</v>
      </c>
      <c r="F18" s="70"/>
      <c r="G18" s="67">
        <v>5210834.7128207404</v>
      </c>
      <c r="H18" s="68">
        <v>37.930774460998002</v>
      </c>
      <c r="I18" s="41"/>
      <c r="J18" s="67">
        <v>3602059.4619694999</v>
      </c>
      <c r="K18" s="68">
        <v>40.233591826702302</v>
      </c>
      <c r="L18" s="247"/>
      <c r="M18" s="247"/>
      <c r="N18" s="247"/>
      <c r="O18" s="247"/>
      <c r="P18" s="247"/>
      <c r="Q18" s="247"/>
      <c r="R18" s="41"/>
      <c r="S18" s="41"/>
      <c r="T18" s="41"/>
      <c r="U18" s="41"/>
      <c r="V18" s="41"/>
      <c r="W18" s="41"/>
    </row>
    <row r="19" spans="1:23" ht="15" customHeight="1" x14ac:dyDescent="0.25">
      <c r="A19" s="41"/>
      <c r="B19" s="110" t="s">
        <v>58</v>
      </c>
      <c r="C19" s="95"/>
      <c r="D19" s="67">
        <v>7250578.0647752797</v>
      </c>
      <c r="E19" s="68">
        <v>32.138635741803199</v>
      </c>
      <c r="F19" s="70"/>
      <c r="G19" s="67">
        <v>4781915.1710079797</v>
      </c>
      <c r="H19" s="68">
        <v>34.794491779092503</v>
      </c>
      <c r="I19" s="41"/>
      <c r="J19" s="67">
        <v>2663157.8207998001</v>
      </c>
      <c r="K19" s="68">
        <v>30.047817813701201</v>
      </c>
      <c r="L19" s="247"/>
      <c r="M19" s="247"/>
      <c r="N19" s="247"/>
      <c r="O19" s="247"/>
      <c r="P19" s="247"/>
      <c r="Q19" s="247"/>
      <c r="R19" s="41"/>
      <c r="S19" s="41"/>
      <c r="T19" s="41"/>
      <c r="U19" s="41"/>
      <c r="V19" s="41"/>
      <c r="W19" s="41"/>
    </row>
    <row r="20" spans="1:23" ht="15" customHeight="1" x14ac:dyDescent="0.25">
      <c r="A20" s="41"/>
      <c r="B20" s="110" t="s">
        <v>59</v>
      </c>
      <c r="C20" s="95"/>
      <c r="D20" s="67">
        <v>2265721.8309106701</v>
      </c>
      <c r="E20" s="68">
        <v>10.1525310026705</v>
      </c>
      <c r="F20" s="70"/>
      <c r="G20" s="67">
        <v>1507427.4674831301</v>
      </c>
      <c r="H20" s="68">
        <v>11.108933661593101</v>
      </c>
      <c r="I20" s="41"/>
      <c r="J20" s="67">
        <v>848445.43550806097</v>
      </c>
      <c r="K20" s="68">
        <v>9.6455709376323604</v>
      </c>
      <c r="L20" s="247"/>
      <c r="M20" s="247"/>
      <c r="N20" s="247"/>
      <c r="O20" s="247"/>
      <c r="P20" s="247"/>
      <c r="Q20" s="247"/>
      <c r="R20" s="41"/>
      <c r="S20" s="41"/>
      <c r="T20" s="41"/>
      <c r="U20" s="41"/>
      <c r="V20" s="41"/>
      <c r="W20" s="41"/>
    </row>
    <row r="21" spans="1:23" ht="15" customHeight="1" x14ac:dyDescent="0.25">
      <c r="A21" s="41"/>
      <c r="B21" s="110" t="s">
        <v>60</v>
      </c>
      <c r="C21" s="95"/>
      <c r="D21" s="67">
        <v>224880.828221131</v>
      </c>
      <c r="E21" s="68">
        <v>1.01135424892923</v>
      </c>
      <c r="F21" s="70"/>
      <c r="G21" s="67">
        <v>142154.095998998</v>
      </c>
      <c r="H21" s="68">
        <v>1.05133166021862</v>
      </c>
      <c r="I21" s="41"/>
      <c r="J21" s="67">
        <v>112639.20913654901</v>
      </c>
      <c r="K21" s="68">
        <v>1.2898470711133501</v>
      </c>
      <c r="L21" s="247"/>
      <c r="M21" s="247"/>
      <c r="N21" s="247"/>
      <c r="O21" s="247"/>
      <c r="P21" s="247"/>
      <c r="Q21" s="247"/>
      <c r="R21" s="41"/>
      <c r="S21" s="41"/>
      <c r="T21" s="41"/>
      <c r="U21" s="41"/>
      <c r="V21" s="41"/>
      <c r="W21" s="41"/>
    </row>
    <row r="22" spans="1:23" ht="15" customHeight="1" x14ac:dyDescent="0.25">
      <c r="A22" s="41"/>
      <c r="B22" s="110" t="s">
        <v>41</v>
      </c>
      <c r="C22" s="95"/>
      <c r="D22" s="67">
        <v>403135.67171196098</v>
      </c>
      <c r="E22" s="68">
        <v>1.8130658011601799</v>
      </c>
      <c r="F22" s="70"/>
      <c r="G22" s="67">
        <v>175670.215167127</v>
      </c>
      <c r="H22" s="68">
        <v>1.2987941870491599</v>
      </c>
      <c r="I22" s="41"/>
      <c r="J22" s="67">
        <v>268620.44785848202</v>
      </c>
      <c r="K22" s="68">
        <v>3.0675851329498598</v>
      </c>
      <c r="L22" s="247"/>
      <c r="M22" s="247"/>
      <c r="N22" s="247"/>
      <c r="O22" s="247"/>
      <c r="P22" s="247"/>
      <c r="Q22" s="247"/>
      <c r="R22" s="41"/>
      <c r="S22" s="41"/>
      <c r="T22" s="41"/>
      <c r="U22" s="41"/>
      <c r="V22" s="41"/>
      <c r="W22" s="41"/>
    </row>
    <row r="23" spans="1:23" ht="15" customHeight="1" x14ac:dyDescent="0.25">
      <c r="A23" s="41"/>
      <c r="B23" s="110" t="s">
        <v>42</v>
      </c>
      <c r="C23" s="95"/>
      <c r="D23" s="67">
        <v>0</v>
      </c>
      <c r="E23" s="68">
        <v>0</v>
      </c>
      <c r="F23" s="70"/>
      <c r="G23" s="67">
        <v>0</v>
      </c>
      <c r="H23" s="68">
        <v>0</v>
      </c>
      <c r="I23" s="41"/>
      <c r="J23" s="67">
        <v>0</v>
      </c>
      <c r="K23" s="68">
        <v>0</v>
      </c>
      <c r="L23" s="247"/>
      <c r="M23" s="247"/>
      <c r="N23" s="247"/>
      <c r="O23" s="247"/>
      <c r="P23" s="247"/>
      <c r="Q23" s="247"/>
      <c r="R23" s="41"/>
      <c r="S23" s="41"/>
      <c r="T23" s="41"/>
      <c r="U23" s="41"/>
      <c r="V23" s="41"/>
      <c r="W23" s="41"/>
    </row>
    <row r="24" spans="1:23" ht="6.95" customHeight="1" x14ac:dyDescent="0.25">
      <c r="A24" s="41"/>
      <c r="B24" s="176"/>
      <c r="C24" s="95"/>
      <c r="D24" s="67"/>
      <c r="E24" s="68"/>
      <c r="F24" s="70"/>
      <c r="G24" s="67"/>
      <c r="H24" s="68"/>
      <c r="I24" s="41"/>
      <c r="J24" s="67"/>
      <c r="K24" s="68"/>
      <c r="L24" s="247"/>
      <c r="M24" s="247"/>
      <c r="N24" s="247"/>
      <c r="O24" s="247"/>
      <c r="P24" s="247"/>
      <c r="Q24" s="247"/>
      <c r="R24" s="41"/>
      <c r="S24" s="41"/>
      <c r="T24" s="41"/>
      <c r="U24" s="41"/>
      <c r="V24" s="41"/>
      <c r="W24" s="41"/>
    </row>
    <row r="25" spans="1:23" s="6" customFormat="1" ht="15" customHeight="1" x14ac:dyDescent="0.25">
      <c r="A25" s="57"/>
      <c r="B25" s="248" t="s">
        <v>2</v>
      </c>
      <c r="C25" s="95"/>
      <c r="D25" s="60">
        <v>11436262.154056899</v>
      </c>
      <c r="E25" s="61">
        <v>100</v>
      </c>
      <c r="F25" s="62"/>
      <c r="G25" s="60">
        <v>6828204.6626542397</v>
      </c>
      <c r="H25" s="61">
        <v>100</v>
      </c>
      <c r="I25" s="57"/>
      <c r="J25" s="60">
        <v>4836492.3777896697</v>
      </c>
      <c r="K25" s="61">
        <v>100</v>
      </c>
      <c r="L25" s="246"/>
      <c r="M25" s="246"/>
      <c r="N25" s="246"/>
      <c r="O25" s="246"/>
      <c r="P25" s="246"/>
      <c r="Q25" s="246"/>
      <c r="R25" s="57"/>
      <c r="S25" s="57"/>
      <c r="T25" s="57"/>
      <c r="U25" s="57"/>
      <c r="V25" s="57"/>
      <c r="W25" s="57"/>
    </row>
    <row r="26" spans="1:23" ht="6.95" customHeight="1" x14ac:dyDescent="0.25">
      <c r="A26" s="41"/>
      <c r="B26" s="249"/>
      <c r="C26" s="95"/>
      <c r="D26" s="67"/>
      <c r="E26" s="68"/>
      <c r="F26" s="70"/>
      <c r="G26" s="67"/>
      <c r="H26" s="68"/>
      <c r="I26" s="41"/>
      <c r="J26" s="67"/>
      <c r="K26" s="68"/>
      <c r="L26" s="247"/>
      <c r="M26" s="247"/>
      <c r="N26" s="247"/>
      <c r="O26" s="247"/>
      <c r="P26" s="247"/>
      <c r="Q26" s="247"/>
      <c r="R26" s="41"/>
      <c r="S26" s="41"/>
      <c r="T26" s="41"/>
      <c r="U26" s="41"/>
      <c r="V26" s="41"/>
      <c r="W26" s="41"/>
    </row>
    <row r="27" spans="1:23" ht="15" customHeight="1" x14ac:dyDescent="0.25">
      <c r="A27" s="41"/>
      <c r="B27" s="110" t="s">
        <v>52</v>
      </c>
      <c r="C27" s="91"/>
      <c r="D27" s="67">
        <v>374916.65423169202</v>
      </c>
      <c r="E27" s="68">
        <v>3.5422448767198502</v>
      </c>
      <c r="F27" s="70"/>
      <c r="G27" s="67">
        <v>143887.45139199699</v>
      </c>
      <c r="H27" s="68">
        <v>2.3211691500621598</v>
      </c>
      <c r="I27" s="41"/>
      <c r="J27" s="67">
        <v>272347.71378440701</v>
      </c>
      <c r="K27" s="68">
        <v>6.2387251483362398</v>
      </c>
      <c r="L27" s="247"/>
      <c r="M27" s="247"/>
      <c r="N27" s="247"/>
      <c r="O27" s="247"/>
      <c r="P27" s="247"/>
      <c r="Q27" s="247"/>
      <c r="R27" s="41"/>
      <c r="S27" s="41"/>
      <c r="T27" s="41"/>
      <c r="U27" s="41"/>
      <c r="V27" s="41"/>
      <c r="W27" s="41"/>
    </row>
    <row r="28" spans="1:23" ht="15" customHeight="1" x14ac:dyDescent="0.25">
      <c r="A28" s="41"/>
      <c r="B28" s="110" t="s">
        <v>53</v>
      </c>
      <c r="C28" s="95"/>
      <c r="D28" s="67">
        <v>411592.10320131702</v>
      </c>
      <c r="E28" s="68">
        <v>3.8674102005944002</v>
      </c>
      <c r="F28" s="70"/>
      <c r="G28" s="67">
        <v>248398.218195792</v>
      </c>
      <c r="H28" s="68">
        <v>3.99482229043068</v>
      </c>
      <c r="I28" s="41"/>
      <c r="J28" s="67">
        <v>201355.537120842</v>
      </c>
      <c r="K28" s="68">
        <v>4.5850723294579199</v>
      </c>
      <c r="L28" s="247"/>
      <c r="M28" s="247"/>
      <c r="N28" s="247"/>
      <c r="O28" s="247"/>
      <c r="P28" s="247"/>
      <c r="Q28" s="247"/>
      <c r="R28" s="41"/>
      <c r="S28" s="41"/>
      <c r="T28" s="41"/>
      <c r="U28" s="41"/>
      <c r="V28" s="41"/>
      <c r="W28" s="41"/>
    </row>
    <row r="29" spans="1:23" ht="15" customHeight="1" x14ac:dyDescent="0.25">
      <c r="A29" s="41"/>
      <c r="B29" s="110" t="s">
        <v>54</v>
      </c>
      <c r="C29" s="95"/>
      <c r="D29" s="67">
        <v>606935.43452652497</v>
      </c>
      <c r="E29" s="68">
        <v>5.71619207189043</v>
      </c>
      <c r="F29" s="70"/>
      <c r="G29" s="67">
        <v>286993.62963576702</v>
      </c>
      <c r="H29" s="68">
        <v>4.6620729952113704</v>
      </c>
      <c r="I29" s="41"/>
      <c r="J29" s="67">
        <v>368393.70892210398</v>
      </c>
      <c r="K29" s="68">
        <v>8.3253979699676997</v>
      </c>
      <c r="L29" s="247"/>
      <c r="M29" s="247"/>
      <c r="N29" s="247"/>
      <c r="O29" s="247"/>
      <c r="P29" s="247"/>
      <c r="Q29" s="247"/>
      <c r="R29" s="41"/>
      <c r="S29" s="41"/>
      <c r="T29" s="41"/>
      <c r="U29" s="41"/>
      <c r="V29" s="41"/>
      <c r="W29" s="41"/>
    </row>
    <row r="30" spans="1:23" ht="15" customHeight="1" x14ac:dyDescent="0.25">
      <c r="A30" s="41"/>
      <c r="B30" s="110" t="s">
        <v>55</v>
      </c>
      <c r="C30" s="95"/>
      <c r="D30" s="67">
        <v>739302.62802096305</v>
      </c>
      <c r="E30" s="68">
        <v>6.8945593514485797</v>
      </c>
      <c r="F30" s="70"/>
      <c r="G30" s="67">
        <v>560394.06797334203</v>
      </c>
      <c r="H30" s="68">
        <v>8.7694421696170206</v>
      </c>
      <c r="I30" s="41"/>
      <c r="J30" s="67">
        <v>229726.638668275</v>
      </c>
      <c r="K30" s="68">
        <v>5.3314052549175903</v>
      </c>
      <c r="L30" s="247"/>
      <c r="M30" s="247"/>
      <c r="N30" s="247"/>
      <c r="O30" s="247"/>
      <c r="P30" s="247"/>
      <c r="Q30" s="247"/>
      <c r="R30" s="41"/>
      <c r="S30" s="41"/>
      <c r="T30" s="41"/>
      <c r="U30" s="41"/>
      <c r="V30" s="41"/>
      <c r="W30" s="41"/>
    </row>
    <row r="31" spans="1:23" ht="15" customHeight="1" x14ac:dyDescent="0.25">
      <c r="A31" s="41"/>
      <c r="B31" s="110" t="s">
        <v>56</v>
      </c>
      <c r="C31" s="95"/>
      <c r="D31" s="67">
        <v>421096.23108061799</v>
      </c>
      <c r="E31" s="68">
        <v>3.9635137883707401</v>
      </c>
      <c r="F31" s="70"/>
      <c r="G31" s="67">
        <v>238478.96435783699</v>
      </c>
      <c r="H31" s="68">
        <v>3.8549616665289199</v>
      </c>
      <c r="I31" s="41"/>
      <c r="J31" s="67">
        <v>215398.56614432199</v>
      </c>
      <c r="K31" s="68">
        <v>4.9003095097710503</v>
      </c>
      <c r="L31" s="247"/>
      <c r="M31" s="247"/>
      <c r="N31" s="247"/>
      <c r="O31" s="247"/>
      <c r="P31" s="247"/>
      <c r="Q31" s="247"/>
      <c r="R31" s="41"/>
      <c r="S31" s="41"/>
      <c r="T31" s="41"/>
      <c r="U31" s="41"/>
      <c r="V31" s="41"/>
      <c r="W31" s="41"/>
    </row>
    <row r="32" spans="1:23" ht="15" customHeight="1" x14ac:dyDescent="0.25">
      <c r="A32" s="41"/>
      <c r="B32" s="110" t="s">
        <v>57</v>
      </c>
      <c r="C32" s="95"/>
      <c r="D32" s="67">
        <v>3860575.2439923501</v>
      </c>
      <c r="E32" s="68">
        <v>35.357616420755001</v>
      </c>
      <c r="F32" s="70"/>
      <c r="G32" s="67">
        <v>2248794.8260003701</v>
      </c>
      <c r="H32" s="68">
        <v>34.815683914374297</v>
      </c>
      <c r="I32" s="41"/>
      <c r="J32" s="67">
        <v>1753547.4874114301</v>
      </c>
      <c r="K32" s="68">
        <v>38.725216506622402</v>
      </c>
      <c r="L32" s="247"/>
      <c r="M32" s="247"/>
      <c r="N32" s="247"/>
      <c r="O32" s="247"/>
      <c r="P32" s="247"/>
      <c r="Q32" s="247"/>
      <c r="R32" s="41"/>
      <c r="S32" s="41"/>
      <c r="T32" s="41"/>
      <c r="U32" s="41"/>
      <c r="V32" s="41"/>
      <c r="W32" s="41"/>
    </row>
    <row r="33" spans="1:23" ht="15" customHeight="1" x14ac:dyDescent="0.25">
      <c r="A33" s="41"/>
      <c r="B33" s="110" t="s">
        <v>58</v>
      </c>
      <c r="C33" s="95"/>
      <c r="D33" s="67">
        <v>4380111.9765224</v>
      </c>
      <c r="E33" s="68">
        <v>40.540478498841097</v>
      </c>
      <c r="F33" s="70"/>
      <c r="G33" s="67">
        <v>2737940.50835456</v>
      </c>
      <c r="H33" s="68">
        <v>42.927271261790501</v>
      </c>
      <c r="I33" s="41"/>
      <c r="J33" s="67">
        <v>1787597.2424721201</v>
      </c>
      <c r="K33" s="68">
        <v>40.070147547099303</v>
      </c>
      <c r="L33" s="247"/>
      <c r="M33" s="247"/>
      <c r="N33" s="247"/>
      <c r="O33" s="247"/>
      <c r="P33" s="247"/>
      <c r="Q33" s="247"/>
      <c r="R33" s="41"/>
      <c r="S33" s="41"/>
      <c r="T33" s="41"/>
      <c r="U33" s="41"/>
      <c r="V33" s="41"/>
      <c r="W33" s="41"/>
    </row>
    <row r="34" spans="1:23" ht="15" customHeight="1" x14ac:dyDescent="0.25">
      <c r="A34" s="41"/>
      <c r="B34" s="110" t="s">
        <v>59</v>
      </c>
      <c r="C34" s="95"/>
      <c r="D34" s="67">
        <v>1304351.0526391801</v>
      </c>
      <c r="E34" s="68">
        <v>12.2634891534777</v>
      </c>
      <c r="F34" s="70"/>
      <c r="G34" s="67">
        <v>924711.17831689701</v>
      </c>
      <c r="H34" s="68">
        <v>14.695975538172201</v>
      </c>
      <c r="I34" s="41"/>
      <c r="J34" s="67">
        <v>433873.14944147202</v>
      </c>
      <c r="K34" s="68">
        <v>9.8753759671243699</v>
      </c>
      <c r="L34" s="247"/>
      <c r="M34" s="247"/>
      <c r="N34" s="247"/>
      <c r="O34" s="247"/>
      <c r="P34" s="247"/>
      <c r="Q34" s="247"/>
      <c r="R34" s="41"/>
      <c r="S34" s="41"/>
      <c r="T34" s="41"/>
      <c r="U34" s="41"/>
      <c r="V34" s="41"/>
      <c r="W34" s="41"/>
    </row>
    <row r="35" spans="1:23" ht="15" customHeight="1" x14ac:dyDescent="0.25">
      <c r="A35" s="41"/>
      <c r="B35" s="110" t="s">
        <v>60</v>
      </c>
      <c r="C35" s="95"/>
      <c r="D35" s="67">
        <v>112516.01303042199</v>
      </c>
      <c r="E35" s="68">
        <v>1.06816753053255</v>
      </c>
      <c r="F35" s="70"/>
      <c r="G35" s="67">
        <v>72865.434792802102</v>
      </c>
      <c r="H35" s="68">
        <v>1.17241049429969</v>
      </c>
      <c r="I35" s="41"/>
      <c r="J35" s="67">
        <v>56091.617213347199</v>
      </c>
      <c r="K35" s="68">
        <v>1.2896752445363</v>
      </c>
      <c r="L35" s="247"/>
      <c r="M35" s="247"/>
      <c r="N35" s="247"/>
      <c r="O35" s="247"/>
      <c r="P35" s="247"/>
      <c r="Q35" s="247"/>
      <c r="R35" s="41"/>
      <c r="S35" s="41"/>
      <c r="T35" s="41"/>
      <c r="U35" s="41"/>
      <c r="V35" s="41"/>
      <c r="W35" s="41"/>
    </row>
    <row r="36" spans="1:23" ht="15" customHeight="1" x14ac:dyDescent="0.25">
      <c r="A36" s="41"/>
      <c r="B36" s="110" t="s">
        <v>41</v>
      </c>
      <c r="C36" s="95"/>
      <c r="D36" s="67">
        <v>140138.53323800399</v>
      </c>
      <c r="E36" s="68">
        <v>1.33098485636523</v>
      </c>
      <c r="F36" s="70"/>
      <c r="G36" s="67">
        <v>90350.691777255197</v>
      </c>
      <c r="H36" s="68">
        <v>1.4532001311749401</v>
      </c>
      <c r="I36" s="41"/>
      <c r="J36" s="67">
        <v>69117.436045391296</v>
      </c>
      <c r="K36" s="68">
        <v>1.5907972205079199</v>
      </c>
      <c r="L36" s="247"/>
      <c r="M36" s="247"/>
      <c r="N36" s="247"/>
      <c r="O36" s="247"/>
      <c r="P36" s="247"/>
      <c r="Q36" s="247"/>
      <c r="R36" s="41"/>
      <c r="S36" s="41"/>
      <c r="T36" s="41"/>
      <c r="U36" s="41"/>
      <c r="V36" s="41"/>
      <c r="W36" s="41"/>
    </row>
    <row r="37" spans="1:23" ht="15" customHeight="1" x14ac:dyDescent="0.25">
      <c r="A37" s="41"/>
      <c r="B37" s="110" t="s">
        <v>42</v>
      </c>
      <c r="C37" s="95"/>
      <c r="D37" s="67">
        <v>0</v>
      </c>
      <c r="E37" s="68">
        <v>0</v>
      </c>
      <c r="F37" s="70"/>
      <c r="G37" s="67">
        <v>0</v>
      </c>
      <c r="H37" s="68">
        <v>0</v>
      </c>
      <c r="I37" s="41"/>
      <c r="J37" s="67">
        <v>0</v>
      </c>
      <c r="K37" s="68">
        <v>0</v>
      </c>
      <c r="L37" s="247"/>
      <c r="M37" s="247"/>
      <c r="N37" s="247"/>
      <c r="O37" s="247"/>
      <c r="P37" s="247"/>
      <c r="Q37" s="247"/>
      <c r="R37" s="41"/>
      <c r="S37" s="41"/>
      <c r="T37" s="41"/>
      <c r="U37" s="41"/>
      <c r="V37" s="41"/>
      <c r="W37" s="41"/>
    </row>
    <row r="38" spans="1:23" ht="6.95" customHeight="1" x14ac:dyDescent="0.25">
      <c r="A38" s="41"/>
      <c r="B38" s="249"/>
      <c r="C38" s="95"/>
      <c r="D38" s="131"/>
      <c r="E38" s="131"/>
      <c r="F38" s="131"/>
      <c r="G38" s="131"/>
      <c r="H38" s="131"/>
      <c r="I38" s="131"/>
      <c r="J38" s="131"/>
      <c r="K38" s="131"/>
      <c r="L38" s="247"/>
      <c r="M38" s="247"/>
      <c r="N38" s="247"/>
      <c r="O38" s="247"/>
      <c r="P38" s="247"/>
      <c r="Q38" s="247"/>
      <c r="R38" s="41"/>
      <c r="S38" s="41"/>
      <c r="T38" s="41"/>
      <c r="U38" s="41"/>
      <c r="V38" s="41"/>
      <c r="W38" s="41"/>
    </row>
    <row r="39" spans="1:23" s="6" customFormat="1" ht="15" customHeight="1" x14ac:dyDescent="0.25">
      <c r="A39" s="57"/>
      <c r="B39" s="248" t="s">
        <v>3</v>
      </c>
      <c r="C39" s="95"/>
      <c r="D39" s="60">
        <v>12529279.047052501</v>
      </c>
      <c r="E39" s="61">
        <v>100</v>
      </c>
      <c r="F39" s="62"/>
      <c r="G39" s="60">
        <v>7931046.89109834</v>
      </c>
      <c r="H39" s="61">
        <v>100</v>
      </c>
      <c r="I39" s="57"/>
      <c r="J39" s="60">
        <v>4880932.3953272197</v>
      </c>
      <c r="K39" s="61">
        <v>100</v>
      </c>
      <c r="L39" s="246"/>
      <c r="M39" s="246"/>
      <c r="N39" s="246"/>
      <c r="O39" s="246"/>
      <c r="P39" s="246"/>
      <c r="Q39" s="246"/>
      <c r="R39" s="57"/>
      <c r="S39" s="57"/>
      <c r="T39" s="57"/>
      <c r="U39" s="57"/>
      <c r="V39" s="57"/>
      <c r="W39" s="57"/>
    </row>
    <row r="40" spans="1:23" ht="6.95" customHeight="1" x14ac:dyDescent="0.25">
      <c r="A40" s="41"/>
      <c r="B40" s="249"/>
      <c r="C40" s="95"/>
      <c r="D40" s="67"/>
      <c r="E40" s="68"/>
      <c r="F40" s="70"/>
      <c r="G40" s="67"/>
      <c r="H40" s="68"/>
      <c r="I40" s="41"/>
      <c r="J40" s="67"/>
      <c r="K40" s="68"/>
      <c r="L40" s="247"/>
      <c r="M40" s="247"/>
      <c r="N40" s="247"/>
      <c r="O40" s="247"/>
      <c r="P40" s="247"/>
      <c r="Q40" s="247"/>
      <c r="R40" s="41"/>
      <c r="S40" s="41"/>
      <c r="T40" s="41"/>
      <c r="U40" s="41"/>
      <c r="V40" s="41"/>
      <c r="W40" s="41"/>
    </row>
    <row r="41" spans="1:23" ht="15" customHeight="1" x14ac:dyDescent="0.25">
      <c r="A41" s="41"/>
      <c r="B41" s="110" t="s">
        <v>52</v>
      </c>
      <c r="C41" s="91"/>
      <c r="D41" s="67">
        <v>40327.250471564599</v>
      </c>
      <c r="E41" s="68">
        <v>0.34525033196782401</v>
      </c>
      <c r="F41" s="70"/>
      <c r="G41" s="67">
        <v>36249.722182640202</v>
      </c>
      <c r="H41" s="68">
        <v>0.49670000276708098</v>
      </c>
      <c r="I41" s="41"/>
      <c r="J41" s="67">
        <v>8794.1383096136396</v>
      </c>
      <c r="K41" s="68">
        <v>0.20057759967684199</v>
      </c>
      <c r="L41" s="247"/>
      <c r="M41" s="247"/>
      <c r="N41" s="247"/>
      <c r="O41" s="247"/>
      <c r="P41" s="247"/>
      <c r="Q41" s="247"/>
      <c r="R41" s="41"/>
      <c r="S41" s="41"/>
      <c r="T41" s="41"/>
      <c r="U41" s="41"/>
      <c r="V41" s="41"/>
      <c r="W41" s="41"/>
    </row>
    <row r="42" spans="1:23" ht="15" customHeight="1" x14ac:dyDescent="0.25">
      <c r="A42" s="41"/>
      <c r="B42" s="110" t="s">
        <v>53</v>
      </c>
      <c r="C42" s="95"/>
      <c r="D42" s="67">
        <v>537572.93825440796</v>
      </c>
      <c r="E42" s="68">
        <v>4.5517914376658197</v>
      </c>
      <c r="F42" s="70"/>
      <c r="G42" s="67">
        <v>352747.695178792</v>
      </c>
      <c r="H42" s="68">
        <v>4.76352111209318</v>
      </c>
      <c r="I42" s="41"/>
      <c r="J42" s="67">
        <v>243955.714675011</v>
      </c>
      <c r="K42" s="68">
        <v>5.4844640942030898</v>
      </c>
      <c r="L42" s="247"/>
      <c r="M42" s="247"/>
      <c r="N42" s="247"/>
      <c r="O42" s="247"/>
      <c r="P42" s="247"/>
      <c r="Q42" s="247"/>
      <c r="R42" s="41"/>
      <c r="S42" s="41"/>
      <c r="T42" s="41"/>
      <c r="U42" s="41"/>
      <c r="V42" s="41"/>
      <c r="W42" s="41"/>
    </row>
    <row r="43" spans="1:23" ht="15" customHeight="1" x14ac:dyDescent="0.25">
      <c r="A43" s="41"/>
      <c r="B43" s="110" t="s">
        <v>54</v>
      </c>
      <c r="C43" s="95"/>
      <c r="D43" s="67">
        <v>926715.60169797204</v>
      </c>
      <c r="E43" s="68">
        <v>7.8830443498758198</v>
      </c>
      <c r="F43" s="70"/>
      <c r="G43" s="67">
        <v>499616.91146565398</v>
      </c>
      <c r="H43" s="68">
        <v>6.8175063856953004</v>
      </c>
      <c r="I43" s="41"/>
      <c r="J43" s="67">
        <v>495048.88994467998</v>
      </c>
      <c r="K43" s="68">
        <v>11.126901604220301</v>
      </c>
      <c r="L43" s="247"/>
      <c r="M43" s="247"/>
      <c r="N43" s="247"/>
      <c r="O43" s="247"/>
      <c r="P43" s="247"/>
      <c r="Q43" s="247"/>
      <c r="R43" s="41"/>
      <c r="S43" s="41"/>
      <c r="T43" s="41"/>
      <c r="U43" s="41"/>
      <c r="V43" s="41"/>
      <c r="W43" s="41"/>
    </row>
    <row r="44" spans="1:23" ht="15" customHeight="1" x14ac:dyDescent="0.25">
      <c r="A44" s="41"/>
      <c r="B44" s="110" t="s">
        <v>55</v>
      </c>
      <c r="C44" s="95"/>
      <c r="D44" s="67">
        <v>1490112.3180249899</v>
      </c>
      <c r="E44" s="68">
        <v>12.6582016798579</v>
      </c>
      <c r="F44" s="70"/>
      <c r="G44" s="67">
        <v>880124.74353157997</v>
      </c>
      <c r="H44" s="68">
        <v>11.973742708611599</v>
      </c>
      <c r="I44" s="41"/>
      <c r="J44" s="67">
        <v>715406.39019978803</v>
      </c>
      <c r="K44" s="68">
        <v>16.067069378650999</v>
      </c>
      <c r="L44" s="247"/>
      <c r="M44" s="247"/>
      <c r="N44" s="247"/>
      <c r="O44" s="247"/>
      <c r="P44" s="247"/>
      <c r="Q44" s="247"/>
      <c r="R44" s="41"/>
      <c r="S44" s="41"/>
      <c r="T44" s="41"/>
      <c r="U44" s="41"/>
      <c r="V44" s="41"/>
      <c r="W44" s="41"/>
    </row>
    <row r="45" spans="1:23" ht="15" customHeight="1" x14ac:dyDescent="0.25">
      <c r="A45" s="41"/>
      <c r="B45" s="110" t="s">
        <v>56</v>
      </c>
      <c r="C45" s="95"/>
      <c r="D45" s="67">
        <v>974601.74770803296</v>
      </c>
      <c r="E45" s="68">
        <v>8.2958123169470692</v>
      </c>
      <c r="F45" s="70"/>
      <c r="G45" s="67">
        <v>713837.99225250201</v>
      </c>
      <c r="H45" s="68">
        <v>9.6782626128576492</v>
      </c>
      <c r="I45" s="41"/>
      <c r="J45" s="67">
        <v>333514.08769013197</v>
      </c>
      <c r="K45" s="68">
        <v>7.5677823428867699</v>
      </c>
      <c r="L45" s="247"/>
      <c r="M45" s="247"/>
      <c r="N45" s="247"/>
      <c r="O45" s="247"/>
      <c r="P45" s="247"/>
      <c r="Q45" s="247"/>
      <c r="R45" s="41"/>
      <c r="S45" s="41"/>
      <c r="T45" s="41"/>
      <c r="U45" s="41"/>
      <c r="V45" s="41"/>
      <c r="W45" s="41"/>
    </row>
    <row r="46" spans="1:23" ht="15" customHeight="1" x14ac:dyDescent="0.25">
      <c r="A46" s="41"/>
      <c r="B46" s="110" t="s">
        <v>57</v>
      </c>
      <c r="C46" s="95"/>
      <c r="D46" s="67">
        <v>5028125.8281808896</v>
      </c>
      <c r="E46" s="68">
        <v>42.098549804962197</v>
      </c>
      <c r="F46" s="70"/>
      <c r="G46" s="67">
        <v>3184090.5585907302</v>
      </c>
      <c r="H46" s="68">
        <v>42.734162154769201</v>
      </c>
      <c r="I46" s="41"/>
      <c r="J46" s="67">
        <v>2039695.66198964</v>
      </c>
      <c r="K46" s="68">
        <v>44.704103618230597</v>
      </c>
      <c r="L46" s="247"/>
      <c r="M46" s="247"/>
      <c r="N46" s="247"/>
      <c r="O46" s="247"/>
      <c r="P46" s="247"/>
      <c r="Q46" s="247"/>
      <c r="R46" s="41"/>
      <c r="S46" s="41"/>
      <c r="T46" s="41"/>
      <c r="U46" s="41"/>
      <c r="V46" s="41"/>
      <c r="W46" s="41"/>
    </row>
    <row r="47" spans="1:23" ht="15" customHeight="1" x14ac:dyDescent="0.25">
      <c r="A47" s="41"/>
      <c r="B47" s="110" t="s">
        <v>58</v>
      </c>
      <c r="C47" s="95"/>
      <c r="D47" s="67">
        <v>3158518.2350324201</v>
      </c>
      <c r="E47" s="68">
        <v>26.317737437823901</v>
      </c>
      <c r="F47" s="70"/>
      <c r="G47" s="67">
        <v>2264773.4146014201</v>
      </c>
      <c r="H47" s="68">
        <v>30.094211662349199</v>
      </c>
      <c r="I47" s="41"/>
      <c r="J47" s="67">
        <v>1012925.76159644</v>
      </c>
      <c r="K47" s="68">
        <v>22.590662242634099</v>
      </c>
      <c r="L47" s="247"/>
      <c r="M47" s="247"/>
      <c r="N47" s="247"/>
      <c r="O47" s="247"/>
      <c r="P47" s="247"/>
      <c r="Q47" s="247"/>
      <c r="R47" s="41"/>
      <c r="S47" s="41"/>
      <c r="T47" s="41"/>
      <c r="U47" s="41"/>
      <c r="V47" s="41"/>
      <c r="W47" s="41"/>
    </row>
    <row r="48" spans="1:23" ht="15" customHeight="1" x14ac:dyDescent="0.25">
      <c r="A48" s="41"/>
      <c r="B48" s="110" t="s">
        <v>59</v>
      </c>
      <c r="C48" s="95"/>
      <c r="D48" s="67">
        <v>1080942.4165346799</v>
      </c>
      <c r="E48" s="68">
        <v>9.1892710463448797</v>
      </c>
      <c r="F48" s="70"/>
      <c r="G48" s="67">
        <v>668355.25325275899</v>
      </c>
      <c r="H48" s="68">
        <v>9.1242225039529607</v>
      </c>
      <c r="I48" s="41"/>
      <c r="J48" s="67">
        <v>481026.54573164502</v>
      </c>
      <c r="K48" s="68">
        <v>10.839211560794601</v>
      </c>
      <c r="L48" s="247"/>
      <c r="M48" s="247"/>
      <c r="N48" s="247"/>
      <c r="O48" s="247"/>
      <c r="P48" s="247"/>
      <c r="Q48" s="247"/>
      <c r="R48" s="41"/>
      <c r="S48" s="41"/>
      <c r="T48" s="41"/>
      <c r="U48" s="41"/>
      <c r="V48" s="41"/>
      <c r="W48" s="41"/>
    </row>
    <row r="49" spans="1:23" ht="15" customHeight="1" x14ac:dyDescent="0.25">
      <c r="A49" s="41"/>
      <c r="B49" s="110" t="s">
        <v>60</v>
      </c>
      <c r="C49" s="95"/>
      <c r="D49" s="67">
        <v>139622.85899933</v>
      </c>
      <c r="E49" s="68">
        <v>1.1934662296087899</v>
      </c>
      <c r="F49" s="70"/>
      <c r="G49" s="67">
        <v>91327.014255903996</v>
      </c>
      <c r="H49" s="68">
        <v>1.2492518125038501</v>
      </c>
      <c r="I49" s="41"/>
      <c r="J49" s="67">
        <v>73129.515979008502</v>
      </c>
      <c r="K49" s="68">
        <v>1.66414881073021</v>
      </c>
      <c r="L49" s="247"/>
      <c r="M49" s="247"/>
      <c r="N49" s="247"/>
      <c r="O49" s="247"/>
      <c r="P49" s="247"/>
      <c r="Q49" s="247"/>
      <c r="R49" s="41"/>
      <c r="S49" s="41"/>
      <c r="T49" s="41"/>
      <c r="U49" s="41"/>
      <c r="V49" s="41"/>
      <c r="W49" s="41"/>
    </row>
    <row r="50" spans="1:23" ht="15" customHeight="1" x14ac:dyDescent="0.25">
      <c r="A50" s="41"/>
      <c r="B50" s="110" t="s">
        <v>41</v>
      </c>
      <c r="C50" s="95"/>
      <c r="D50" s="67">
        <v>299994.39283336297</v>
      </c>
      <c r="E50" s="68">
        <v>2.56274404890581</v>
      </c>
      <c r="F50" s="70"/>
      <c r="G50" s="67">
        <v>109057.866263777</v>
      </c>
      <c r="H50" s="68">
        <v>1.49134312173858</v>
      </c>
      <c r="I50" s="41"/>
      <c r="J50" s="67">
        <v>225325.65537832899</v>
      </c>
      <c r="K50" s="68">
        <v>5.0932563088617497</v>
      </c>
      <c r="L50" s="247"/>
      <c r="M50" s="247"/>
      <c r="N50" s="247"/>
      <c r="O50" s="247"/>
      <c r="P50" s="247"/>
      <c r="Q50" s="247"/>
      <c r="R50" s="41"/>
      <c r="S50" s="41"/>
      <c r="T50" s="41"/>
      <c r="U50" s="41"/>
      <c r="V50" s="41"/>
      <c r="W50" s="41"/>
    </row>
    <row r="51" spans="1:23" ht="15" customHeight="1" x14ac:dyDescent="0.25">
      <c r="A51" s="41"/>
      <c r="B51" s="110" t="s">
        <v>42</v>
      </c>
      <c r="C51" s="95"/>
      <c r="D51" s="67">
        <v>0</v>
      </c>
      <c r="E51" s="68">
        <v>0</v>
      </c>
      <c r="F51" s="70"/>
      <c r="G51" s="67">
        <v>0</v>
      </c>
      <c r="H51" s="68">
        <v>0</v>
      </c>
      <c r="I51" s="41"/>
      <c r="J51" s="67">
        <v>0</v>
      </c>
      <c r="K51" s="68">
        <v>0</v>
      </c>
      <c r="L51" s="247"/>
      <c r="M51" s="247"/>
      <c r="N51" s="247"/>
      <c r="O51" s="247"/>
      <c r="P51" s="247"/>
      <c r="Q51" s="247"/>
      <c r="R51" s="41"/>
      <c r="S51" s="41"/>
      <c r="T51" s="41"/>
      <c r="U51" s="41"/>
      <c r="V51" s="41"/>
      <c r="W51" s="41"/>
    </row>
    <row r="52" spans="1:23" ht="6.95" customHeight="1" x14ac:dyDescent="0.25">
      <c r="A52" s="41"/>
      <c r="B52" s="52"/>
      <c r="C52" s="52"/>
      <c r="D52" s="80"/>
      <c r="E52" s="80"/>
      <c r="F52" s="102"/>
      <c r="G52" s="80"/>
      <c r="H52" s="80"/>
      <c r="I52" s="80"/>
      <c r="J52" s="80"/>
      <c r="K52" s="80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</row>
    <row r="53" spans="1:23" ht="6.95" customHeight="1" x14ac:dyDescent="0.25">
      <c r="A53" s="41"/>
      <c r="B53" s="87"/>
      <c r="C53" s="87"/>
      <c r="D53" s="250"/>
      <c r="E53" s="250"/>
      <c r="F53" s="250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</row>
    <row r="54" spans="1:23" ht="12" customHeight="1" x14ac:dyDescent="0.25">
      <c r="A54" s="41"/>
      <c r="B54" s="191" t="s">
        <v>102</v>
      </c>
      <c r="C54" s="251"/>
      <c r="D54" s="252"/>
      <c r="E54" s="252"/>
      <c r="F54" s="252"/>
      <c r="G54" s="143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</row>
    <row r="55" spans="1:23" ht="12" customHeight="1" x14ac:dyDescent="0.25">
      <c r="A55" s="41"/>
      <c r="B55" s="307" t="s">
        <v>145</v>
      </c>
      <c r="C55" s="307"/>
      <c r="D55" s="307"/>
      <c r="E55" s="307"/>
      <c r="F55" s="307"/>
      <c r="G55" s="307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</row>
  </sheetData>
  <mergeCells count="6">
    <mergeCell ref="B55:G55"/>
    <mergeCell ref="B7:B9"/>
    <mergeCell ref="D7:E8"/>
    <mergeCell ref="G7:K7"/>
    <mergeCell ref="G8:H8"/>
    <mergeCell ref="J8:K8"/>
  </mergeCells>
  <hyperlinks>
    <hyperlink ref="K1" location="ÍNDICE!A1" tooltip="Ir a ÍNDICE" display="ÍNDICE" xr:uid="{772C55A4-367F-4D9B-A787-1ED074C91865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1ADCA-7C17-4C4F-A6BF-EF9154B37BF3}">
  <dimension ref="A1:W58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85" t="s">
        <v>214</v>
      </c>
      <c r="C1" s="31"/>
      <c r="D1" s="31"/>
      <c r="E1" s="30"/>
      <c r="F1" s="30"/>
      <c r="G1" s="30"/>
      <c r="H1" s="30"/>
      <c r="I1" s="30"/>
      <c r="J1" s="30"/>
      <c r="K1" s="284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30" customHeight="1" x14ac:dyDescent="0.2">
      <c r="A5" s="32"/>
      <c r="B5" s="323" t="s">
        <v>153</v>
      </c>
      <c r="C5" s="323"/>
      <c r="D5" s="323"/>
      <c r="E5" s="323"/>
      <c r="F5" s="323"/>
      <c r="G5" s="323"/>
      <c r="H5" s="34"/>
      <c r="I5" s="32"/>
      <c r="J5" s="32"/>
      <c r="K5" s="40" t="s">
        <v>79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1" t="s">
        <v>154</v>
      </c>
      <c r="C7" s="42"/>
      <c r="D7" s="308" t="s">
        <v>169</v>
      </c>
      <c r="E7" s="308"/>
      <c r="F7" s="43"/>
      <c r="G7" s="310" t="s">
        <v>170</v>
      </c>
      <c r="H7" s="310"/>
      <c r="I7" s="310"/>
      <c r="J7" s="310"/>
      <c r="K7" s="310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2"/>
      <c r="C8" s="47"/>
      <c r="D8" s="309"/>
      <c r="E8" s="309"/>
      <c r="F8" s="26"/>
      <c r="G8" s="309" t="s">
        <v>12</v>
      </c>
      <c r="H8" s="309"/>
      <c r="I8" s="26"/>
      <c r="J8" s="309" t="s">
        <v>0</v>
      </c>
      <c r="K8" s="309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13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253"/>
      <c r="C10" s="254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ht="15" customHeight="1" x14ac:dyDescent="0.25">
      <c r="A11" s="41"/>
      <c r="B11" s="255" t="s">
        <v>4</v>
      </c>
      <c r="C11" s="89"/>
      <c r="D11" s="60">
        <v>88168959.549554095</v>
      </c>
      <c r="E11" s="61">
        <v>100</v>
      </c>
      <c r="F11" s="62"/>
      <c r="G11" s="60">
        <v>47788866.463474698</v>
      </c>
      <c r="H11" s="61">
        <v>100</v>
      </c>
      <c r="I11" s="57"/>
      <c r="J11" s="60">
        <v>41315778.788891397</v>
      </c>
      <c r="K11" s="61">
        <v>100</v>
      </c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</row>
    <row r="12" spans="1:23" ht="6.95" customHeight="1" x14ac:dyDescent="0.25">
      <c r="A12" s="41"/>
      <c r="B12" s="255"/>
      <c r="C12" s="89"/>
      <c r="D12" s="67"/>
      <c r="E12" s="68"/>
      <c r="F12" s="70"/>
      <c r="G12" s="67"/>
      <c r="H12" s="68"/>
      <c r="I12" s="41"/>
      <c r="J12" s="67"/>
      <c r="K12" s="68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ht="15" customHeight="1" x14ac:dyDescent="0.25">
      <c r="A13" s="41"/>
      <c r="B13" s="256" t="s">
        <v>61</v>
      </c>
      <c r="C13" s="91"/>
      <c r="D13" s="60">
        <v>27767913.468472201</v>
      </c>
      <c r="E13" s="61">
        <v>31.991356608953399</v>
      </c>
      <c r="F13" s="62"/>
      <c r="G13" s="60">
        <v>13259897.5696472</v>
      </c>
      <c r="H13" s="61">
        <v>28.357166521603599</v>
      </c>
      <c r="I13" s="57"/>
      <c r="J13" s="60">
        <v>14905000.5296383</v>
      </c>
      <c r="K13" s="61">
        <v>36.898358085936202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</row>
    <row r="14" spans="1:23" ht="6.95" customHeight="1" x14ac:dyDescent="0.25">
      <c r="A14" s="41"/>
      <c r="B14" s="257"/>
      <c r="C14" s="91"/>
      <c r="D14" s="67"/>
      <c r="E14" s="68"/>
      <c r="F14" s="70"/>
      <c r="G14" s="67"/>
      <c r="H14" s="68"/>
      <c r="I14" s="41"/>
      <c r="J14" s="67"/>
      <c r="K14" s="68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15" customHeight="1" x14ac:dyDescent="0.25">
      <c r="A15" s="41"/>
      <c r="B15" s="69" t="s">
        <v>62</v>
      </c>
      <c r="C15" s="95"/>
      <c r="D15" s="67">
        <v>2941773.3145727399</v>
      </c>
      <c r="E15" s="68">
        <v>10.956072090017299</v>
      </c>
      <c r="F15" s="70"/>
      <c r="G15" s="67">
        <v>1188645.01973766</v>
      </c>
      <c r="H15" s="68">
        <v>9.3633522842091299</v>
      </c>
      <c r="I15" s="41"/>
      <c r="J15" s="67">
        <v>1879736.30173166</v>
      </c>
      <c r="K15" s="68">
        <v>13.1843306857748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15" customHeight="1" x14ac:dyDescent="0.25">
      <c r="A16" s="41"/>
      <c r="B16" s="258" t="s">
        <v>124</v>
      </c>
      <c r="C16" s="95"/>
      <c r="D16" s="67">
        <v>415003.28627188603</v>
      </c>
      <c r="E16" s="68">
        <v>1.5482797350890301</v>
      </c>
      <c r="F16" s="70"/>
      <c r="G16" s="67">
        <v>235502.71724941701</v>
      </c>
      <c r="H16" s="68">
        <v>1.86717335807755</v>
      </c>
      <c r="I16" s="41"/>
      <c r="J16" s="67">
        <v>213657.95148257099</v>
      </c>
      <c r="K16" s="68">
        <v>1.5049394443786901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15" customHeight="1" x14ac:dyDescent="0.25">
      <c r="A17" s="41"/>
      <c r="B17" s="258" t="s">
        <v>125</v>
      </c>
      <c r="C17" s="95"/>
      <c r="D17" s="67">
        <v>377294.10817271698</v>
      </c>
      <c r="E17" s="68">
        <v>1.4094758031591601</v>
      </c>
      <c r="F17" s="70"/>
      <c r="G17" s="67">
        <v>115914.66036749299</v>
      </c>
      <c r="H17" s="68">
        <v>0.92039641588546695</v>
      </c>
      <c r="I17" s="41"/>
      <c r="J17" s="67">
        <v>290686.82505084598</v>
      </c>
      <c r="K17" s="68">
        <v>2.04997786965665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15" customHeight="1" x14ac:dyDescent="0.25">
      <c r="A18" s="41"/>
      <c r="B18" s="258" t="s">
        <v>200</v>
      </c>
      <c r="C18" s="95"/>
      <c r="D18" s="67">
        <v>2865522.36135882</v>
      </c>
      <c r="E18" s="68">
        <v>10.651550585951901</v>
      </c>
      <c r="F18" s="70"/>
      <c r="G18" s="67">
        <v>1248123.3261542299</v>
      </c>
      <c r="H18" s="68">
        <v>9.8845842087150402</v>
      </c>
      <c r="I18" s="41"/>
      <c r="J18" s="67">
        <v>1728154.4058967601</v>
      </c>
      <c r="K18" s="68">
        <v>12.1085957824437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15" customHeight="1" x14ac:dyDescent="0.25">
      <c r="A19" s="41"/>
      <c r="B19" s="258" t="s">
        <v>201</v>
      </c>
      <c r="C19" s="95"/>
      <c r="D19" s="67">
        <v>1118227.2644201999</v>
      </c>
      <c r="E19" s="68">
        <v>4.16768666385956</v>
      </c>
      <c r="F19" s="70"/>
      <c r="G19" s="67">
        <v>336418.30037185299</v>
      </c>
      <c r="H19" s="68">
        <v>2.6637325523325002</v>
      </c>
      <c r="I19" s="41"/>
      <c r="J19" s="67">
        <v>845484.58198716003</v>
      </c>
      <c r="K19" s="68">
        <v>5.93781613447364</v>
      </c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ht="15" customHeight="1" x14ac:dyDescent="0.25">
      <c r="A20" s="41"/>
      <c r="B20" s="258" t="s">
        <v>63</v>
      </c>
      <c r="C20" s="95"/>
      <c r="D20" s="67">
        <v>300830.53827488603</v>
      </c>
      <c r="E20" s="68">
        <v>1.12360011057884</v>
      </c>
      <c r="F20" s="70"/>
      <c r="G20" s="67">
        <v>134921.705070728</v>
      </c>
      <c r="H20" s="68">
        <v>1.07098411941695</v>
      </c>
      <c r="I20" s="41"/>
      <c r="J20" s="67">
        <v>198168.18384306101</v>
      </c>
      <c r="K20" s="68">
        <v>1.39789155997716</v>
      </c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1:23" ht="15" customHeight="1" x14ac:dyDescent="0.25">
      <c r="A21" s="41"/>
      <c r="B21" s="258" t="s">
        <v>64</v>
      </c>
      <c r="C21" s="95"/>
      <c r="D21" s="67">
        <v>20971588.364594098</v>
      </c>
      <c r="E21" s="68">
        <v>76.839962952123102</v>
      </c>
      <c r="F21" s="70"/>
      <c r="G21" s="67">
        <v>10657488.1135215</v>
      </c>
      <c r="H21" s="68">
        <v>82.033010143952097</v>
      </c>
      <c r="I21" s="41"/>
      <c r="J21" s="67">
        <v>10645912.2010266</v>
      </c>
      <c r="K21" s="68">
        <v>73.281450243838094</v>
      </c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ht="6.95" customHeight="1" x14ac:dyDescent="0.25">
      <c r="A22" s="41"/>
      <c r="B22" s="257"/>
      <c r="C22" s="91"/>
      <c r="D22" s="67"/>
      <c r="E22" s="68"/>
      <c r="F22" s="70"/>
      <c r="G22" s="67"/>
      <c r="H22" s="68"/>
      <c r="I22" s="41"/>
      <c r="J22" s="67"/>
      <c r="K22" s="68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</row>
    <row r="23" spans="1:23" s="6" customFormat="1" ht="15" customHeight="1" x14ac:dyDescent="0.25">
      <c r="A23" s="57"/>
      <c r="B23" s="256" t="s">
        <v>65</v>
      </c>
      <c r="C23" s="95"/>
      <c r="D23" s="60">
        <v>61418166.556090601</v>
      </c>
      <c r="E23" s="61">
        <v>70.258850036257101</v>
      </c>
      <c r="F23" s="62"/>
      <c r="G23" s="60">
        <v>35057172.763861999</v>
      </c>
      <c r="H23" s="61">
        <v>74.220650727968206</v>
      </c>
      <c r="I23" s="57"/>
      <c r="J23" s="60">
        <v>27021479.052500099</v>
      </c>
      <c r="K23" s="61">
        <v>66.366779351676996</v>
      </c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</row>
    <row r="24" spans="1:23" ht="6.95" customHeight="1" x14ac:dyDescent="0.25">
      <c r="A24" s="41"/>
      <c r="B24" s="257"/>
      <c r="C24" s="97"/>
      <c r="D24" s="259"/>
      <c r="E24" s="259"/>
      <c r="F24" s="97"/>
      <c r="G24" s="259"/>
      <c r="H24" s="259"/>
      <c r="I24" s="259"/>
      <c r="J24" s="259"/>
      <c r="K24" s="259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</row>
    <row r="25" spans="1:23" ht="15" customHeight="1" x14ac:dyDescent="0.25">
      <c r="A25" s="41"/>
      <c r="B25" s="260" t="s">
        <v>2</v>
      </c>
      <c r="C25" s="97"/>
      <c r="D25" s="60">
        <v>31876327.629939102</v>
      </c>
      <c r="E25" s="61">
        <v>100</v>
      </c>
      <c r="F25" s="62"/>
      <c r="G25" s="60">
        <v>17557347.996399298</v>
      </c>
      <c r="H25" s="61">
        <v>100</v>
      </c>
      <c r="I25" s="57"/>
      <c r="J25" s="60">
        <v>14624214.675651999</v>
      </c>
      <c r="K25" s="61">
        <v>100</v>
      </c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 spans="1:23" ht="6.95" customHeight="1" x14ac:dyDescent="0.25">
      <c r="A26" s="41"/>
      <c r="B26" s="261"/>
      <c r="C26" s="97"/>
      <c r="D26" s="60"/>
      <c r="E26" s="61"/>
      <c r="F26" s="62"/>
      <c r="G26" s="60"/>
      <c r="H26" s="61"/>
      <c r="I26" s="57"/>
      <c r="J26" s="60"/>
      <c r="K26" s="6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</row>
    <row r="27" spans="1:23" s="6" customFormat="1" ht="15" customHeight="1" x14ac:dyDescent="0.25">
      <c r="A27" s="57"/>
      <c r="B27" s="256" t="s">
        <v>61</v>
      </c>
      <c r="C27" s="91"/>
      <c r="D27" s="60">
        <v>7322392.6723515</v>
      </c>
      <c r="E27" s="61">
        <v>23.932822825607602</v>
      </c>
      <c r="F27" s="62"/>
      <c r="G27" s="60">
        <v>3556926.14302069</v>
      </c>
      <c r="H27" s="61">
        <v>21.228182519390501</v>
      </c>
      <c r="I27" s="57"/>
      <c r="J27" s="60">
        <v>3922163.7931463402</v>
      </c>
      <c r="K27" s="61">
        <v>28.285168722606901</v>
      </c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</row>
    <row r="28" spans="1:23" ht="6.95" customHeight="1" x14ac:dyDescent="0.25">
      <c r="A28" s="41"/>
      <c r="B28" s="257"/>
      <c r="C28" s="91"/>
      <c r="D28" s="67"/>
      <c r="E28" s="68"/>
      <c r="F28" s="70"/>
      <c r="G28" s="67"/>
      <c r="H28" s="68"/>
      <c r="I28" s="41"/>
      <c r="J28" s="67"/>
      <c r="K28" s="68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ht="15" customHeight="1" x14ac:dyDescent="0.25">
      <c r="A29" s="41"/>
      <c r="B29" s="69" t="s">
        <v>62</v>
      </c>
      <c r="C29" s="95"/>
      <c r="D29" s="67">
        <v>350621.78454017302</v>
      </c>
      <c r="E29" s="68">
        <v>5.2436669690956501</v>
      </c>
      <c r="F29" s="70"/>
      <c r="G29" s="67">
        <v>124642.55289296</v>
      </c>
      <c r="H29" s="68">
        <v>3.8971747855283501</v>
      </c>
      <c r="I29" s="41"/>
      <c r="J29" s="67">
        <v>259131.219446706</v>
      </c>
      <c r="K29" s="68">
        <v>7.4785008588661501</v>
      </c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</row>
    <row r="30" spans="1:23" ht="15" customHeight="1" x14ac:dyDescent="0.25">
      <c r="A30" s="41"/>
      <c r="B30" s="258" t="s">
        <v>124</v>
      </c>
      <c r="C30" s="95"/>
      <c r="D30" s="67">
        <v>59630.519670500602</v>
      </c>
      <c r="E30" s="68">
        <v>0.90237654088118902</v>
      </c>
      <c r="F30" s="70"/>
      <c r="G30" s="67">
        <v>39239.122215712399</v>
      </c>
      <c r="H30" s="68">
        <v>1.24345770640876</v>
      </c>
      <c r="I30" s="41"/>
      <c r="J30" s="67">
        <v>30800.453977202</v>
      </c>
      <c r="K30" s="68">
        <v>0.89252626747568498</v>
      </c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ht="15" customHeight="1" x14ac:dyDescent="0.25">
      <c r="A31" s="41"/>
      <c r="B31" s="258" t="s">
        <v>125</v>
      </c>
      <c r="C31" s="95"/>
      <c r="D31" s="67">
        <v>42584.753334190202</v>
      </c>
      <c r="E31" s="68">
        <v>0.64504082982074595</v>
      </c>
      <c r="F31" s="70"/>
      <c r="G31" s="67">
        <v>19738.542617938801</v>
      </c>
      <c r="H31" s="68">
        <v>0.62313352232840702</v>
      </c>
      <c r="I31" s="41"/>
      <c r="J31" s="67">
        <v>30275.748715060301</v>
      </c>
      <c r="K31" s="68">
        <v>0.88202279614314705</v>
      </c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 spans="1:23" ht="15" customHeight="1" x14ac:dyDescent="0.25">
      <c r="A32" s="41"/>
      <c r="B32" s="258" t="s">
        <v>200</v>
      </c>
      <c r="C32" s="95"/>
      <c r="D32" s="67">
        <v>684708.43046054</v>
      </c>
      <c r="E32" s="68">
        <v>10.190374146084199</v>
      </c>
      <c r="F32" s="70"/>
      <c r="G32" s="67">
        <v>337020.051716068</v>
      </c>
      <c r="H32" s="68">
        <v>10.5187972933292</v>
      </c>
      <c r="I32" s="41"/>
      <c r="J32" s="67">
        <v>394146.42430604802</v>
      </c>
      <c r="K32" s="68">
        <v>11.2340681413007</v>
      </c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ht="15" customHeight="1" x14ac:dyDescent="0.25">
      <c r="A33" s="41"/>
      <c r="B33" s="258" t="s">
        <v>201</v>
      </c>
      <c r="C33" s="95"/>
      <c r="D33" s="67">
        <v>107519.22057744001</v>
      </c>
      <c r="E33" s="68">
        <v>1.62516528373707</v>
      </c>
      <c r="F33" s="70"/>
      <c r="G33" s="67">
        <v>41177.6921364226</v>
      </c>
      <c r="H33" s="68">
        <v>1.30516632343714</v>
      </c>
      <c r="I33" s="41"/>
      <c r="J33" s="67">
        <v>79251.954397335503</v>
      </c>
      <c r="K33" s="68">
        <v>2.2915477292131698</v>
      </c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</row>
    <row r="34" spans="1:23" ht="15" customHeight="1" x14ac:dyDescent="0.25">
      <c r="A34" s="41"/>
      <c r="B34" s="258" t="s">
        <v>63</v>
      </c>
      <c r="C34" s="95"/>
      <c r="D34" s="67">
        <v>58708.287004662903</v>
      </c>
      <c r="E34" s="68">
        <v>0.88905625129987698</v>
      </c>
      <c r="F34" s="70"/>
      <c r="G34" s="67">
        <v>44652.433368417303</v>
      </c>
      <c r="H34" s="68">
        <v>1.4131897330185299</v>
      </c>
      <c r="I34" s="41"/>
      <c r="J34" s="67">
        <v>23062.863362189099</v>
      </c>
      <c r="K34" s="68">
        <v>0.66996610682317104</v>
      </c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 spans="1:23" ht="15" customHeight="1" x14ac:dyDescent="0.25">
      <c r="A35" s="41"/>
      <c r="B35" s="258" t="s">
        <v>64</v>
      </c>
      <c r="C35" s="95"/>
      <c r="D35" s="67">
        <v>6334797.0129018202</v>
      </c>
      <c r="E35" s="68">
        <v>89.034550501073298</v>
      </c>
      <c r="F35" s="70"/>
      <c r="G35" s="67">
        <v>3154622.7193505699</v>
      </c>
      <c r="H35" s="68">
        <v>91.896801241620693</v>
      </c>
      <c r="I35" s="41"/>
      <c r="J35" s="67">
        <v>3333961.2886498901</v>
      </c>
      <c r="K35" s="68">
        <v>87.948955602107404</v>
      </c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</row>
    <row r="36" spans="1:23" ht="6.95" customHeight="1" x14ac:dyDescent="0.25">
      <c r="A36" s="41"/>
      <c r="B36" s="257"/>
      <c r="C36" s="91"/>
      <c r="D36" s="67"/>
      <c r="E36" s="68"/>
      <c r="F36" s="70"/>
      <c r="G36" s="67"/>
      <c r="H36" s="68"/>
      <c r="I36" s="41"/>
      <c r="J36" s="67"/>
      <c r="K36" s="68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  <row r="37" spans="1:23" s="6" customFormat="1" ht="15" customHeight="1" x14ac:dyDescent="0.25">
      <c r="A37" s="57"/>
      <c r="B37" s="256" t="s">
        <v>65</v>
      </c>
      <c r="C37" s="95"/>
      <c r="D37" s="60">
        <v>24906735.775409698</v>
      </c>
      <c r="E37" s="61">
        <v>79.745947606780803</v>
      </c>
      <c r="F37" s="62"/>
      <c r="G37" s="60">
        <v>14202229.288049901</v>
      </c>
      <c r="H37" s="61">
        <v>82.608678381498606</v>
      </c>
      <c r="I37" s="57"/>
      <c r="J37" s="60">
        <v>10984440.5563056</v>
      </c>
      <c r="K37" s="61">
        <v>77.377216598446097</v>
      </c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</row>
    <row r="38" spans="1:23" ht="6.95" customHeight="1" x14ac:dyDescent="0.25">
      <c r="A38" s="41"/>
      <c r="B38" s="261"/>
      <c r="C38" s="97"/>
      <c r="D38" s="259"/>
      <c r="E38" s="259"/>
      <c r="F38" s="97"/>
      <c r="G38" s="259"/>
      <c r="H38" s="259"/>
      <c r="I38" s="259"/>
      <c r="J38" s="259"/>
      <c r="K38" s="259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</row>
    <row r="39" spans="1:23" s="6" customFormat="1" ht="15" customHeight="1" x14ac:dyDescent="0.25">
      <c r="A39" s="57"/>
      <c r="B39" s="260" t="s">
        <v>3</v>
      </c>
      <c r="C39" s="97"/>
      <c r="D39" s="60">
        <v>58722602.216376103</v>
      </c>
      <c r="E39" s="61">
        <v>100</v>
      </c>
      <c r="F39" s="62"/>
      <c r="G39" s="60">
        <v>31539784.224373799</v>
      </c>
      <c r="H39" s="61">
        <v>100</v>
      </c>
      <c r="I39" s="57"/>
      <c r="J39" s="60">
        <v>27745562.505176</v>
      </c>
      <c r="K39" s="61">
        <v>100</v>
      </c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</row>
    <row r="40" spans="1:23" ht="6.95" customHeight="1" x14ac:dyDescent="0.25">
      <c r="A40" s="41"/>
      <c r="B40" s="261"/>
      <c r="C40" s="97"/>
      <c r="D40" s="60"/>
      <c r="E40" s="61"/>
      <c r="F40" s="62"/>
      <c r="G40" s="60"/>
      <c r="H40" s="61"/>
      <c r="I40" s="57"/>
      <c r="J40" s="60"/>
      <c r="K40" s="6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</row>
    <row r="41" spans="1:23" s="6" customFormat="1" ht="15" customHeight="1" x14ac:dyDescent="0.25">
      <c r="A41" s="57"/>
      <c r="B41" s="256" t="s">
        <v>61</v>
      </c>
      <c r="C41" s="91"/>
      <c r="D41" s="60">
        <v>21113892.123112202</v>
      </c>
      <c r="E41" s="61">
        <v>36.924119289198899</v>
      </c>
      <c r="F41" s="62"/>
      <c r="G41" s="60">
        <v>10055716.622276099</v>
      </c>
      <c r="H41" s="61">
        <v>32.9820015737522</v>
      </c>
      <c r="I41" s="57"/>
      <c r="J41" s="60">
        <v>11383340.787773799</v>
      </c>
      <c r="K41" s="61">
        <v>42.275749537387703</v>
      </c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</row>
    <row r="42" spans="1:23" ht="6.95" customHeight="1" x14ac:dyDescent="0.25">
      <c r="A42" s="41"/>
      <c r="B42" s="257"/>
      <c r="C42" s="91"/>
      <c r="D42" s="67"/>
      <c r="E42" s="68"/>
      <c r="F42" s="70"/>
      <c r="G42" s="67"/>
      <c r="H42" s="68"/>
      <c r="I42" s="41"/>
      <c r="J42" s="67"/>
      <c r="K42" s="68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</row>
    <row r="43" spans="1:23" ht="15" customHeight="1" x14ac:dyDescent="0.25">
      <c r="A43" s="41"/>
      <c r="B43" s="69" t="s">
        <v>62</v>
      </c>
      <c r="C43" s="95"/>
      <c r="D43" s="67">
        <v>2690414.63334801</v>
      </c>
      <c r="E43" s="68">
        <v>13.281033091658299</v>
      </c>
      <c r="F43" s="70"/>
      <c r="G43" s="67">
        <v>1117577.81420859</v>
      </c>
      <c r="H43" s="68">
        <v>11.708095981524</v>
      </c>
      <c r="I43" s="41"/>
      <c r="J43" s="67">
        <v>1695608.0432398899</v>
      </c>
      <c r="K43" s="68">
        <v>15.6654164321788</v>
      </c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</row>
    <row r="44" spans="1:23" ht="15" customHeight="1" x14ac:dyDescent="0.25">
      <c r="A44" s="41"/>
      <c r="B44" s="258" t="s">
        <v>124</v>
      </c>
      <c r="C44" s="95"/>
      <c r="D44" s="67">
        <v>377609.46099969198</v>
      </c>
      <c r="E44" s="68">
        <v>1.8705707796341999</v>
      </c>
      <c r="F44" s="70"/>
      <c r="G44" s="67">
        <v>213260.972680534</v>
      </c>
      <c r="H44" s="68">
        <v>2.2562572180389702</v>
      </c>
      <c r="I44" s="41"/>
      <c r="J44" s="67">
        <v>196915.47350413699</v>
      </c>
      <c r="K44" s="68">
        <v>1.8326769061727</v>
      </c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</row>
    <row r="45" spans="1:23" ht="15" customHeight="1" x14ac:dyDescent="0.25">
      <c r="A45" s="41"/>
      <c r="B45" s="258" t="s">
        <v>125</v>
      </c>
      <c r="C45" s="95"/>
      <c r="D45" s="67">
        <v>350846.24438305601</v>
      </c>
      <c r="E45" s="68">
        <v>1.7394978773812</v>
      </c>
      <c r="F45" s="70"/>
      <c r="G45" s="67">
        <v>106560.77902782999</v>
      </c>
      <c r="H45" s="68">
        <v>1.1300866316876601</v>
      </c>
      <c r="I45" s="41"/>
      <c r="J45" s="67">
        <v>272409.25009136001</v>
      </c>
      <c r="K45" s="68">
        <v>2.5366549732759802</v>
      </c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</row>
    <row r="46" spans="1:23" ht="15" customHeight="1" x14ac:dyDescent="0.25">
      <c r="A46" s="41"/>
      <c r="B46" s="258" t="s">
        <v>200</v>
      </c>
      <c r="C46" s="95"/>
      <c r="D46" s="67">
        <v>2298896.46570476</v>
      </c>
      <c r="E46" s="68">
        <v>11.3166929333595</v>
      </c>
      <c r="F46" s="70"/>
      <c r="G46" s="67">
        <v>983335.42405276105</v>
      </c>
      <c r="H46" s="68">
        <v>10.377634582015199</v>
      </c>
      <c r="I46" s="41"/>
      <c r="J46" s="67">
        <v>1416153.59771746</v>
      </c>
      <c r="K46" s="68">
        <v>13.0930590256302</v>
      </c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</row>
    <row r="47" spans="1:23" ht="15" customHeight="1" x14ac:dyDescent="0.25">
      <c r="A47" s="41"/>
      <c r="B47" s="258" t="s">
        <v>201</v>
      </c>
      <c r="C47" s="95"/>
      <c r="D47" s="67">
        <v>1050623.45211958</v>
      </c>
      <c r="E47" s="68">
        <v>5.1904561017728197</v>
      </c>
      <c r="F47" s="70"/>
      <c r="G47" s="67">
        <v>312787.75221742399</v>
      </c>
      <c r="H47" s="68">
        <v>3.2998926508756301</v>
      </c>
      <c r="I47" s="41"/>
      <c r="J47" s="67">
        <v>800432.96660767705</v>
      </c>
      <c r="K47" s="68">
        <v>7.4101411651735098</v>
      </c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</row>
    <row r="48" spans="1:23" ht="15" customHeight="1" x14ac:dyDescent="0.25">
      <c r="A48" s="41"/>
      <c r="B48" s="258" t="s">
        <v>63</v>
      </c>
      <c r="C48" s="95"/>
      <c r="D48" s="67">
        <v>265654.80731088098</v>
      </c>
      <c r="E48" s="68">
        <v>1.3158295100134201</v>
      </c>
      <c r="F48" s="70"/>
      <c r="G48" s="67">
        <v>109224.109723555</v>
      </c>
      <c r="H48" s="68">
        <v>1.15656573298787</v>
      </c>
      <c r="I48" s="41"/>
      <c r="J48" s="67">
        <v>185344.17272397899</v>
      </c>
      <c r="K48" s="68">
        <v>1.7275516679570599</v>
      </c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</row>
    <row r="49" spans="1:23" ht="15" customHeight="1" x14ac:dyDescent="0.25">
      <c r="A49" s="41"/>
      <c r="B49" s="258" t="s">
        <v>64</v>
      </c>
      <c r="C49" s="95"/>
      <c r="D49" s="67">
        <v>15196737.101829501</v>
      </c>
      <c r="E49" s="68">
        <v>73.555494694892801</v>
      </c>
      <c r="F49" s="70"/>
      <c r="G49" s="67">
        <v>7804579.7696882803</v>
      </c>
      <c r="H49" s="68">
        <v>79.623639498921804</v>
      </c>
      <c r="I49" s="41"/>
      <c r="J49" s="67">
        <v>7654744.83940937</v>
      </c>
      <c r="K49" s="68">
        <v>69.495593269271296</v>
      </c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</row>
    <row r="50" spans="1:23" ht="6.95" customHeight="1" x14ac:dyDescent="0.25">
      <c r="A50" s="41"/>
      <c r="B50" s="257"/>
      <c r="C50" s="91"/>
      <c r="D50" s="67"/>
      <c r="E50" s="68"/>
      <c r="F50" s="70"/>
      <c r="G50" s="67"/>
      <c r="H50" s="68"/>
      <c r="I50" s="41"/>
      <c r="J50" s="67"/>
      <c r="K50" s="68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</row>
    <row r="51" spans="1:23" s="6" customFormat="1" ht="15" customHeight="1" x14ac:dyDescent="0.25">
      <c r="A51" s="57"/>
      <c r="B51" s="256" t="s">
        <v>65</v>
      </c>
      <c r="C51" s="95"/>
      <c r="D51" s="60">
        <v>38231434.877131201</v>
      </c>
      <c r="E51" s="61">
        <v>65.943591400044099</v>
      </c>
      <c r="F51" s="62"/>
      <c r="G51" s="60">
        <v>21861595.56639</v>
      </c>
      <c r="H51" s="61">
        <v>70.425701810508698</v>
      </c>
      <c r="I51" s="57"/>
      <c r="J51" s="60">
        <v>16792626.252809301</v>
      </c>
      <c r="K51" s="61">
        <v>61.746363222896001</v>
      </c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</row>
    <row r="52" spans="1:23" ht="6.95" customHeight="1" x14ac:dyDescent="0.25">
      <c r="A52" s="41"/>
      <c r="B52" s="262"/>
      <c r="C52" s="262"/>
      <c r="D52" s="80"/>
      <c r="E52" s="80"/>
      <c r="F52" s="209"/>
      <c r="G52" s="80"/>
      <c r="H52" s="80"/>
      <c r="I52" s="80"/>
      <c r="J52" s="80"/>
      <c r="K52" s="80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</row>
    <row r="53" spans="1:23" ht="6.95" customHeight="1" x14ac:dyDescent="0.25">
      <c r="A53" s="41"/>
      <c r="B53" s="263"/>
      <c r="C53" s="263"/>
      <c r="D53" s="211"/>
      <c r="E53" s="211"/>
      <c r="F53" s="21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</row>
    <row r="54" spans="1:23" ht="12" customHeight="1" x14ac:dyDescent="0.25">
      <c r="A54" s="41"/>
      <c r="B54" s="264" t="s">
        <v>142</v>
      </c>
      <c r="C54" s="265"/>
      <c r="D54" s="266"/>
      <c r="E54" s="266"/>
      <c r="F54" s="266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</row>
    <row r="55" spans="1:23" ht="12" customHeight="1" x14ac:dyDescent="0.25">
      <c r="A55" s="41"/>
      <c r="B55" s="307" t="s">
        <v>145</v>
      </c>
      <c r="C55" s="307"/>
      <c r="D55" s="307"/>
      <c r="E55" s="307"/>
      <c r="F55" s="307"/>
      <c r="G55" s="307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</row>
    <row r="56" spans="1:23" x14ac:dyDescent="0.25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</row>
    <row r="57" spans="1:23" x14ac:dyDescent="0.25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</row>
    <row r="58" spans="1:23" ht="6.95" customHeight="1" x14ac:dyDescent="0.25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</row>
  </sheetData>
  <mergeCells count="7">
    <mergeCell ref="B55:G55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ÍNDICE" xr:uid="{B7C0777D-D0AD-49DE-8ACC-048F3B82914B}"/>
  </hyperlink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4B9C1-451C-4F0A-876C-1B162DA5C521}">
  <dimension ref="A1:W45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50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85" t="s">
        <v>214</v>
      </c>
      <c r="C1" s="31"/>
      <c r="D1" s="31"/>
      <c r="E1" s="30"/>
      <c r="F1" s="30"/>
      <c r="G1" s="30"/>
      <c r="H1" s="30"/>
      <c r="I1" s="30"/>
      <c r="J1" s="30"/>
      <c r="K1" s="284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15" customHeight="1" x14ac:dyDescent="0.2">
      <c r="A5" s="32"/>
      <c r="B5" s="245" t="s">
        <v>168</v>
      </c>
      <c r="C5" s="245"/>
      <c r="D5" s="245"/>
      <c r="E5" s="245"/>
      <c r="F5" s="245"/>
      <c r="G5" s="245"/>
      <c r="H5" s="34"/>
      <c r="I5" s="32"/>
      <c r="J5" s="32"/>
      <c r="K5" s="40" t="s">
        <v>78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1" t="s">
        <v>195</v>
      </c>
      <c r="C7" s="42"/>
      <c r="D7" s="308" t="s">
        <v>178</v>
      </c>
      <c r="E7" s="308"/>
      <c r="F7" s="43"/>
      <c r="G7" s="310" t="s">
        <v>170</v>
      </c>
      <c r="H7" s="310"/>
      <c r="I7" s="310"/>
      <c r="J7" s="310"/>
      <c r="K7" s="310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2"/>
      <c r="C8" s="47"/>
      <c r="D8" s="309"/>
      <c r="E8" s="309"/>
      <c r="F8" s="26"/>
      <c r="G8" s="309" t="s">
        <v>12</v>
      </c>
      <c r="H8" s="309"/>
      <c r="I8" s="26"/>
      <c r="J8" s="309" t="s">
        <v>0</v>
      </c>
      <c r="K8" s="309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13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87"/>
      <c r="C10" s="87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ht="15" customHeight="1" x14ac:dyDescent="0.25">
      <c r="A11" s="41"/>
      <c r="B11" s="109" t="s">
        <v>1</v>
      </c>
      <c r="C11" s="89"/>
      <c r="D11" s="60">
        <v>55898795.798616096</v>
      </c>
      <c r="E11" s="61">
        <v>100</v>
      </c>
      <c r="F11" s="62"/>
      <c r="G11" s="60">
        <v>28249073.615063</v>
      </c>
      <c r="H11" s="61">
        <v>100</v>
      </c>
      <c r="I11" s="57"/>
      <c r="J11" s="60">
        <v>28271015.049400002</v>
      </c>
      <c r="K11" s="61">
        <v>100</v>
      </c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</row>
    <row r="12" spans="1:23" ht="6.95" customHeight="1" x14ac:dyDescent="0.25">
      <c r="A12" s="41"/>
      <c r="B12" s="109"/>
      <c r="C12" s="89"/>
      <c r="D12" s="67"/>
      <c r="E12" s="68"/>
      <c r="F12" s="70"/>
      <c r="G12" s="67"/>
      <c r="H12" s="68"/>
      <c r="I12" s="41"/>
      <c r="J12" s="67"/>
      <c r="K12" s="68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ht="15" customHeight="1" x14ac:dyDescent="0.25">
      <c r="A13" s="41"/>
      <c r="B13" s="267" t="s">
        <v>155</v>
      </c>
      <c r="C13" s="91"/>
      <c r="D13" s="67">
        <v>25808337.856878702</v>
      </c>
      <c r="E13" s="68">
        <v>46.8608249783613</v>
      </c>
      <c r="F13" s="70"/>
      <c r="G13" s="67">
        <v>13176696.5922971</v>
      </c>
      <c r="H13" s="68">
        <v>47.6469834194992</v>
      </c>
      <c r="I13" s="41"/>
      <c r="J13" s="67">
        <v>13010500.8705373</v>
      </c>
      <c r="K13" s="68">
        <v>47.105908776274397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</row>
    <row r="14" spans="1:23" ht="15" customHeight="1" x14ac:dyDescent="0.25">
      <c r="A14" s="41"/>
      <c r="B14" s="268" t="s">
        <v>71</v>
      </c>
      <c r="C14" s="95"/>
      <c r="D14" s="67">
        <v>15529464.4180259</v>
      </c>
      <c r="E14" s="68">
        <v>28.334265827689801</v>
      </c>
      <c r="F14" s="70"/>
      <c r="G14" s="67">
        <v>6853336.32239749</v>
      </c>
      <c r="H14" s="68">
        <v>24.987712085172099</v>
      </c>
      <c r="I14" s="41"/>
      <c r="J14" s="67">
        <v>8950902.39524417</v>
      </c>
      <c r="K14" s="68">
        <v>32.532802601183299</v>
      </c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30" customHeight="1" x14ac:dyDescent="0.25">
      <c r="A15" s="41"/>
      <c r="B15" s="269" t="s">
        <v>196</v>
      </c>
      <c r="C15" s="95"/>
      <c r="D15" s="67">
        <v>5749447.4775198204</v>
      </c>
      <c r="E15" s="68">
        <v>10.5009023547128</v>
      </c>
      <c r="F15" s="70"/>
      <c r="G15" s="67">
        <v>2603399.4684906201</v>
      </c>
      <c r="H15" s="68">
        <v>9.5039678356981003</v>
      </c>
      <c r="I15" s="41"/>
      <c r="J15" s="67">
        <v>3375145.0606255801</v>
      </c>
      <c r="K15" s="68">
        <v>12.2611257433157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30" customHeight="1" x14ac:dyDescent="0.25">
      <c r="A16" s="41"/>
      <c r="B16" s="269" t="s">
        <v>215</v>
      </c>
      <c r="C16" s="95"/>
      <c r="D16" s="67">
        <v>1815501.90860201</v>
      </c>
      <c r="E16" s="68">
        <v>3.3277162952006201</v>
      </c>
      <c r="F16" s="70"/>
      <c r="G16" s="67">
        <v>1122920.5155064401</v>
      </c>
      <c r="H16" s="68">
        <v>4.1186921153427596</v>
      </c>
      <c r="I16" s="41"/>
      <c r="J16" s="67">
        <v>778357.57499141002</v>
      </c>
      <c r="K16" s="68">
        <v>2.85323177270311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15" customHeight="1" x14ac:dyDescent="0.25">
      <c r="A17" s="41"/>
      <c r="B17" s="269" t="s">
        <v>203</v>
      </c>
      <c r="C17" s="95"/>
      <c r="D17" s="67">
        <v>958466.19444244599</v>
      </c>
      <c r="E17" s="68">
        <v>1.75799282241207</v>
      </c>
      <c r="F17" s="70"/>
      <c r="G17" s="67">
        <v>594795.50446137798</v>
      </c>
      <c r="H17" s="68">
        <v>2.1813111398922</v>
      </c>
      <c r="I17" s="41"/>
      <c r="J17" s="67">
        <v>435079.02806326299</v>
      </c>
      <c r="K17" s="68">
        <v>1.59491986937216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15" customHeight="1" x14ac:dyDescent="0.25">
      <c r="A18" s="41"/>
      <c r="B18" s="269" t="s">
        <v>204</v>
      </c>
      <c r="C18" s="95"/>
      <c r="D18" s="67">
        <v>7943213.5080772303</v>
      </c>
      <c r="E18" s="68">
        <v>14.5175498345917</v>
      </c>
      <c r="F18" s="70"/>
      <c r="G18" s="67">
        <v>5168527.3416170701</v>
      </c>
      <c r="H18" s="68">
        <v>18.8420293235238</v>
      </c>
      <c r="I18" s="41"/>
      <c r="J18" s="67">
        <v>3017437.5079458999</v>
      </c>
      <c r="K18" s="68">
        <v>11.004759181788399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15" customHeight="1" x14ac:dyDescent="0.25">
      <c r="A19" s="41"/>
      <c r="B19" s="269" t="s">
        <v>202</v>
      </c>
      <c r="C19" s="95"/>
      <c r="D19" s="67">
        <v>97306.895960803493</v>
      </c>
      <c r="E19" s="68">
        <v>0.17848627209152401</v>
      </c>
      <c r="F19" s="70"/>
      <c r="G19" s="67">
        <v>85887.027113020697</v>
      </c>
      <c r="H19" s="68">
        <v>0.31542376897875302</v>
      </c>
      <c r="I19" s="41"/>
      <c r="J19" s="67">
        <v>20794.859190644202</v>
      </c>
      <c r="K19" s="68">
        <v>7.6177520206497207E-2</v>
      </c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ht="15" customHeight="1" x14ac:dyDescent="0.25">
      <c r="A20" s="41"/>
      <c r="B20" s="110" t="s">
        <v>118</v>
      </c>
      <c r="C20" s="95"/>
      <c r="D20" s="67">
        <v>9922.9363176598108</v>
      </c>
      <c r="E20" s="68">
        <v>1.8191276069422599E-2</v>
      </c>
      <c r="F20" s="70"/>
      <c r="G20" s="67">
        <v>4483.0268976827401</v>
      </c>
      <c r="H20" s="68">
        <v>1.64496401831985E-2</v>
      </c>
      <c r="I20" s="41"/>
      <c r="J20" s="67">
        <v>7359.7962518419899</v>
      </c>
      <c r="K20" s="68">
        <v>2.6967611812482702E-2</v>
      </c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1:23" ht="6.95" customHeight="1" x14ac:dyDescent="0.25">
      <c r="A21" s="41"/>
      <c r="B21" s="270"/>
      <c r="C21" s="95"/>
      <c r="D21" s="131"/>
      <c r="E21" s="131"/>
      <c r="F21" s="94"/>
      <c r="G21" s="131"/>
      <c r="H21" s="131"/>
      <c r="I21" s="131"/>
      <c r="J21" s="131"/>
      <c r="K21" s="13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ht="15" customHeight="1" x14ac:dyDescent="0.25">
      <c r="A22" s="41"/>
      <c r="B22" s="271" t="s">
        <v>2</v>
      </c>
      <c r="C22" s="95"/>
      <c r="D22" s="60">
        <v>16672676.8615909</v>
      </c>
      <c r="E22" s="61">
        <v>100</v>
      </c>
      <c r="F22" s="62"/>
      <c r="G22" s="60">
        <v>8598763.4025228899</v>
      </c>
      <c r="H22" s="61">
        <v>100</v>
      </c>
      <c r="I22" s="57"/>
      <c r="J22" s="60">
        <v>8294212.0790849403</v>
      </c>
      <c r="K22" s="61">
        <v>100</v>
      </c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</row>
    <row r="23" spans="1:23" ht="6.95" customHeight="1" x14ac:dyDescent="0.25">
      <c r="A23" s="41"/>
      <c r="B23" s="272"/>
      <c r="C23" s="95"/>
      <c r="D23" s="67"/>
      <c r="E23" s="68"/>
      <c r="F23" s="70"/>
      <c r="G23" s="67"/>
      <c r="H23" s="68"/>
      <c r="I23" s="41"/>
      <c r="J23" s="67"/>
      <c r="K23" s="68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</row>
    <row r="24" spans="1:23" ht="15" customHeight="1" x14ac:dyDescent="0.25">
      <c r="A24" s="41"/>
      <c r="B24" s="267" t="s">
        <v>155</v>
      </c>
      <c r="C24" s="91"/>
      <c r="D24" s="67">
        <v>6641827.7110520601</v>
      </c>
      <c r="E24" s="68">
        <v>41.375431815424399</v>
      </c>
      <c r="F24" s="70"/>
      <c r="G24" s="67">
        <v>3453428.8673163299</v>
      </c>
      <c r="H24" s="68">
        <v>42.173665858445297</v>
      </c>
      <c r="I24" s="41"/>
      <c r="J24" s="67">
        <v>3344164.9860624298</v>
      </c>
      <c r="K24" s="68">
        <v>42.697370541103801</v>
      </c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</row>
    <row r="25" spans="1:23" ht="15" customHeight="1" x14ac:dyDescent="0.25">
      <c r="A25" s="41"/>
      <c r="B25" s="268" t="s">
        <v>71</v>
      </c>
      <c r="C25" s="95"/>
      <c r="D25" s="67">
        <v>3880844.2687706701</v>
      </c>
      <c r="E25" s="68">
        <v>24.541112425747201</v>
      </c>
      <c r="F25" s="70"/>
      <c r="G25" s="67">
        <v>1404916.5914376599</v>
      </c>
      <c r="H25" s="68">
        <v>17.639817280148101</v>
      </c>
      <c r="I25" s="41"/>
      <c r="J25" s="67">
        <v>2566665.5697327401</v>
      </c>
      <c r="K25" s="68">
        <v>32.814804999043403</v>
      </c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 spans="1:23" ht="30" customHeight="1" x14ac:dyDescent="0.25">
      <c r="A26" s="41"/>
      <c r="B26" s="269" t="s">
        <v>196</v>
      </c>
      <c r="C26" s="95"/>
      <c r="D26" s="67">
        <v>1421194.3455759301</v>
      </c>
      <c r="E26" s="68">
        <v>9.0684807211829295</v>
      </c>
      <c r="F26" s="70"/>
      <c r="G26" s="67">
        <v>830799.28200282098</v>
      </c>
      <c r="H26" s="68">
        <v>10.3739562731534</v>
      </c>
      <c r="I26" s="41"/>
      <c r="J26" s="67">
        <v>734258.58552563901</v>
      </c>
      <c r="K26" s="68">
        <v>9.4856149230020996</v>
      </c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</row>
    <row r="27" spans="1:23" ht="30" customHeight="1" x14ac:dyDescent="0.25">
      <c r="A27" s="41"/>
      <c r="B27" s="269" t="s">
        <v>215</v>
      </c>
      <c r="C27" s="95"/>
      <c r="D27" s="67">
        <v>812544.91201387497</v>
      </c>
      <c r="E27" s="68">
        <v>5.2553887608964196</v>
      </c>
      <c r="F27" s="70"/>
      <c r="G27" s="67">
        <v>532205.34857048898</v>
      </c>
      <c r="H27" s="68">
        <v>6.7682302593787202</v>
      </c>
      <c r="I27" s="41"/>
      <c r="J27" s="67">
        <v>338545.32860119001</v>
      </c>
      <c r="K27" s="68">
        <v>4.4719404967795002</v>
      </c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</row>
    <row r="28" spans="1:23" ht="15" customHeight="1" x14ac:dyDescent="0.25">
      <c r="A28" s="41"/>
      <c r="B28" s="269" t="s">
        <v>203</v>
      </c>
      <c r="C28" s="95"/>
      <c r="D28" s="67">
        <v>397435.76456554403</v>
      </c>
      <c r="E28" s="68">
        <v>2.5883258402258602</v>
      </c>
      <c r="F28" s="70"/>
      <c r="G28" s="67">
        <v>287968.73607811797</v>
      </c>
      <c r="H28" s="68">
        <v>3.6834472396360201</v>
      </c>
      <c r="I28" s="41"/>
      <c r="J28" s="67">
        <v>148478.23957032399</v>
      </c>
      <c r="K28" s="68">
        <v>1.9682978346544</v>
      </c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ht="15" customHeight="1" x14ac:dyDescent="0.25">
      <c r="A29" s="41"/>
      <c r="B29" s="269" t="s">
        <v>204</v>
      </c>
      <c r="C29" s="95"/>
      <c r="D29" s="67">
        <v>4504850.6935288301</v>
      </c>
      <c r="E29" s="68">
        <v>29.142358504418699</v>
      </c>
      <c r="F29" s="70"/>
      <c r="G29" s="67">
        <v>2831934.8510487899</v>
      </c>
      <c r="H29" s="68">
        <v>35.693947469255697</v>
      </c>
      <c r="I29" s="41"/>
      <c r="J29" s="67">
        <v>1812585.0565007301</v>
      </c>
      <c r="K29" s="68">
        <v>23.9564164982907</v>
      </c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</row>
    <row r="30" spans="1:23" ht="15" customHeight="1" x14ac:dyDescent="0.25">
      <c r="A30" s="41"/>
      <c r="B30" s="269" t="s">
        <v>202</v>
      </c>
      <c r="C30" s="95"/>
      <c r="D30" s="67">
        <v>21463.927633149</v>
      </c>
      <c r="E30" s="68">
        <v>0.13986750212724</v>
      </c>
      <c r="F30" s="70"/>
      <c r="G30" s="67">
        <v>21463.927633149</v>
      </c>
      <c r="H30" s="68">
        <v>0.27394568826540799</v>
      </c>
      <c r="I30" s="41"/>
      <c r="J30" s="67">
        <v>0</v>
      </c>
      <c r="K30" s="68">
        <v>0</v>
      </c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ht="15" customHeight="1" x14ac:dyDescent="0.25">
      <c r="A31" s="41"/>
      <c r="B31" s="110" t="s">
        <v>118</v>
      </c>
      <c r="C31" s="95"/>
      <c r="D31" s="67">
        <v>6193.0255017806803</v>
      </c>
      <c r="E31" s="68">
        <v>4.0331368566578998E-2</v>
      </c>
      <c r="F31" s="70"/>
      <c r="G31" s="67">
        <v>4483.0268976827401</v>
      </c>
      <c r="H31" s="68">
        <v>5.7283395484640801E-2</v>
      </c>
      <c r="I31" s="41"/>
      <c r="J31" s="67">
        <v>3012.4882810977301</v>
      </c>
      <c r="K31" s="68">
        <v>3.9988862999750102E-2</v>
      </c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 spans="1:23" ht="6.95" customHeight="1" x14ac:dyDescent="0.25">
      <c r="A32" s="41"/>
      <c r="B32" s="272"/>
      <c r="C32" s="95"/>
      <c r="D32" s="131"/>
      <c r="E32" s="131"/>
      <c r="F32" s="94"/>
      <c r="G32" s="131"/>
      <c r="H32" s="131"/>
      <c r="I32" s="131"/>
      <c r="J32" s="131"/>
      <c r="K32" s="13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ht="15" customHeight="1" x14ac:dyDescent="0.25">
      <c r="A33" s="41"/>
      <c r="B33" s="271" t="s">
        <v>3</v>
      </c>
      <c r="C33" s="95"/>
      <c r="D33" s="60">
        <v>40633939.285328098</v>
      </c>
      <c r="E33" s="61">
        <v>100</v>
      </c>
      <c r="F33" s="62"/>
      <c r="G33" s="60">
        <v>20396126.481792301</v>
      </c>
      <c r="H33" s="61">
        <v>100</v>
      </c>
      <c r="I33" s="57"/>
      <c r="J33" s="60">
        <v>20679308.144212801</v>
      </c>
      <c r="K33" s="61">
        <v>100</v>
      </c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</row>
    <row r="34" spans="1:23" ht="6.95" customHeight="1" x14ac:dyDescent="0.25">
      <c r="A34" s="41"/>
      <c r="B34" s="272"/>
      <c r="C34" s="95"/>
      <c r="D34" s="67"/>
      <c r="E34" s="68"/>
      <c r="F34" s="70"/>
      <c r="G34" s="67"/>
      <c r="H34" s="68"/>
      <c r="I34" s="41"/>
      <c r="J34" s="67"/>
      <c r="K34" s="68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 spans="1:23" ht="15" customHeight="1" x14ac:dyDescent="0.25">
      <c r="A35" s="41"/>
      <c r="B35" s="267" t="s">
        <v>155</v>
      </c>
      <c r="C35" s="91"/>
      <c r="D35" s="67">
        <v>19845512.750944301</v>
      </c>
      <c r="E35" s="68">
        <v>49.786511399762198</v>
      </c>
      <c r="F35" s="70"/>
      <c r="G35" s="67">
        <v>10144615.616502</v>
      </c>
      <c r="H35" s="68">
        <v>50.943829882982001</v>
      </c>
      <c r="I35" s="41"/>
      <c r="J35" s="67">
        <v>10005571.7443478</v>
      </c>
      <c r="K35" s="68">
        <v>49.807190888624703</v>
      </c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</row>
    <row r="36" spans="1:23" ht="15" customHeight="1" x14ac:dyDescent="0.25">
      <c r="A36" s="41"/>
      <c r="B36" s="268" t="s">
        <v>71</v>
      </c>
      <c r="C36" s="95"/>
      <c r="D36" s="67">
        <v>12110418.2185368</v>
      </c>
      <c r="E36" s="68">
        <v>30.668316466742102</v>
      </c>
      <c r="F36" s="70"/>
      <c r="G36" s="67">
        <v>5666255.53092728</v>
      </c>
      <c r="H36" s="68">
        <v>28.8867837385116</v>
      </c>
      <c r="I36" s="41"/>
      <c r="J36" s="67">
        <v>6690024.4044020697</v>
      </c>
      <c r="K36" s="68">
        <v>33.502896556300797</v>
      </c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  <row r="37" spans="1:23" ht="30" customHeight="1" x14ac:dyDescent="0.25">
      <c r="A37" s="41"/>
      <c r="B37" s="269" t="s">
        <v>196</v>
      </c>
      <c r="C37" s="95"/>
      <c r="D37" s="67">
        <v>4552799.9637625096</v>
      </c>
      <c r="E37" s="68">
        <v>11.5400201779114</v>
      </c>
      <c r="F37" s="70"/>
      <c r="G37" s="67">
        <v>1921448.0678020201</v>
      </c>
      <c r="H37" s="68">
        <v>9.8592701188778609</v>
      </c>
      <c r="I37" s="41"/>
      <c r="J37" s="67">
        <v>2785383.3198109898</v>
      </c>
      <c r="K37" s="68">
        <v>13.936420934186</v>
      </c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</row>
    <row r="38" spans="1:23" ht="30" customHeight="1" x14ac:dyDescent="0.25">
      <c r="A38" s="41"/>
      <c r="B38" s="269" t="s">
        <v>215</v>
      </c>
      <c r="C38" s="95"/>
      <c r="D38" s="67">
        <v>1099686.0291398901</v>
      </c>
      <c r="E38" s="68">
        <v>2.8024603476485099</v>
      </c>
      <c r="F38" s="70"/>
      <c r="G38" s="67">
        <v>660495.89953638997</v>
      </c>
      <c r="H38" s="68">
        <v>3.4009695637334101</v>
      </c>
      <c r="I38" s="41"/>
      <c r="J38" s="67">
        <v>496327.95943943103</v>
      </c>
      <c r="K38" s="68">
        <v>2.50685537562316</v>
      </c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</row>
    <row r="39" spans="1:23" ht="15" customHeight="1" x14ac:dyDescent="0.25">
      <c r="A39" s="41"/>
      <c r="B39" s="269" t="s">
        <v>203</v>
      </c>
      <c r="C39" s="95"/>
      <c r="D39" s="67">
        <v>629475.58995030995</v>
      </c>
      <c r="E39" s="68">
        <v>1.60616597319971</v>
      </c>
      <c r="F39" s="70"/>
      <c r="G39" s="67">
        <v>359127.55217122397</v>
      </c>
      <c r="H39" s="68">
        <v>1.84461170133536</v>
      </c>
      <c r="I39" s="41"/>
      <c r="J39" s="67">
        <v>329327.58646487899</v>
      </c>
      <c r="K39" s="68">
        <v>1.66865642176905</v>
      </c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</row>
    <row r="40" spans="1:23" ht="15" customHeight="1" x14ac:dyDescent="0.25">
      <c r="A40" s="41"/>
      <c r="B40" s="269" t="s">
        <v>204</v>
      </c>
      <c r="C40" s="95"/>
      <c r="D40" s="67">
        <v>3708545.5140223401</v>
      </c>
      <c r="E40" s="68">
        <v>9.4084307618061391</v>
      </c>
      <c r="F40" s="70"/>
      <c r="G40" s="67">
        <v>2542688.7856658399</v>
      </c>
      <c r="H40" s="68">
        <v>12.971980276742</v>
      </c>
      <c r="I40" s="41"/>
      <c r="J40" s="67">
        <v>1358414.4933683099</v>
      </c>
      <c r="K40" s="68">
        <v>6.8278807237177501</v>
      </c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</row>
    <row r="41" spans="1:23" ht="15" customHeight="1" x14ac:dyDescent="0.25">
      <c r="A41" s="41"/>
      <c r="B41" s="269" t="s">
        <v>202</v>
      </c>
      <c r="C41" s="95"/>
      <c r="D41" s="67">
        <v>85914.155825303606</v>
      </c>
      <c r="E41" s="68">
        <v>0.21906567896350401</v>
      </c>
      <c r="F41" s="70"/>
      <c r="G41" s="67">
        <v>74321.010491937603</v>
      </c>
      <c r="H41" s="68">
        <v>0.38265437101390698</v>
      </c>
      <c r="I41" s="41"/>
      <c r="J41" s="67">
        <v>20794.859190644202</v>
      </c>
      <c r="K41" s="68">
        <v>0.105273424798028</v>
      </c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</row>
    <row r="42" spans="1:23" ht="15" customHeight="1" x14ac:dyDescent="0.25">
      <c r="A42" s="41"/>
      <c r="B42" s="110" t="s">
        <v>118</v>
      </c>
      <c r="C42" s="95"/>
      <c r="D42" s="67">
        <v>5760.4911995003004</v>
      </c>
      <c r="E42" s="68">
        <v>1.4705095393059199E-2</v>
      </c>
      <c r="F42" s="70"/>
      <c r="G42" s="67">
        <v>0</v>
      </c>
      <c r="H42" s="68">
        <v>0</v>
      </c>
      <c r="I42" s="41"/>
      <c r="J42" s="67">
        <v>5760.4911995003004</v>
      </c>
      <c r="K42" s="68">
        <v>2.91669324639817E-2</v>
      </c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</row>
    <row r="43" spans="1:23" ht="6.95" customHeight="1" x14ac:dyDescent="0.25">
      <c r="A43" s="41"/>
      <c r="B43" s="52"/>
      <c r="C43" s="52"/>
      <c r="D43" s="80"/>
      <c r="E43" s="80"/>
      <c r="F43" s="102"/>
      <c r="G43" s="80"/>
      <c r="H43" s="80"/>
      <c r="I43" s="80"/>
      <c r="J43" s="80"/>
      <c r="K43" s="80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</row>
    <row r="44" spans="1:23" ht="6.95" customHeight="1" x14ac:dyDescent="0.25">
      <c r="A44" s="41"/>
      <c r="B44" s="87"/>
      <c r="C44" s="87"/>
      <c r="D44" s="250"/>
      <c r="E44" s="250"/>
      <c r="F44" s="250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</row>
    <row r="45" spans="1:23" ht="12" customHeight="1" x14ac:dyDescent="0.25">
      <c r="A45" s="41"/>
      <c r="B45" s="307" t="s">
        <v>145</v>
      </c>
      <c r="C45" s="307"/>
      <c r="D45" s="307"/>
      <c r="E45" s="307"/>
      <c r="F45" s="307"/>
      <c r="G45" s="307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</row>
  </sheetData>
  <mergeCells count="6">
    <mergeCell ref="B45:G45"/>
    <mergeCell ref="B7:B9"/>
    <mergeCell ref="D7:E8"/>
    <mergeCell ref="G7:K7"/>
    <mergeCell ref="G8:H8"/>
    <mergeCell ref="J8:K8"/>
  </mergeCells>
  <hyperlinks>
    <hyperlink ref="K1" location="ÍNDICE!A1" tooltip="Ir a ÍNDICE" display="ÍNDICE" xr:uid="{8527340A-5862-44E9-A225-6FA0ABDD9281}"/>
  </hyperlink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D7591-4781-411B-B7B8-8CA7F6127AE0}">
  <dimension ref="A1:W40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85" t="s">
        <v>214</v>
      </c>
      <c r="C1" s="31"/>
      <c r="D1" s="31"/>
      <c r="E1" s="30"/>
      <c r="F1" s="30"/>
      <c r="G1" s="30"/>
      <c r="H1" s="30"/>
      <c r="I1" s="30"/>
      <c r="J1" s="30"/>
      <c r="K1" s="284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15" customHeight="1" x14ac:dyDescent="0.2">
      <c r="A5" s="32"/>
      <c r="B5" s="245" t="s">
        <v>167</v>
      </c>
      <c r="C5" s="245"/>
      <c r="D5" s="245"/>
      <c r="E5" s="245"/>
      <c r="F5" s="245"/>
      <c r="G5" s="245"/>
      <c r="H5" s="34"/>
      <c r="I5" s="32"/>
      <c r="J5" s="32"/>
      <c r="K5" s="40" t="s">
        <v>77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1" t="s">
        <v>156</v>
      </c>
      <c r="C7" s="42"/>
      <c r="D7" s="308" t="s">
        <v>178</v>
      </c>
      <c r="E7" s="308"/>
      <c r="F7" s="43"/>
      <c r="G7" s="310" t="s">
        <v>170</v>
      </c>
      <c r="H7" s="310"/>
      <c r="I7" s="310"/>
      <c r="J7" s="310"/>
      <c r="K7" s="310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2"/>
      <c r="C8" s="47"/>
      <c r="D8" s="309"/>
      <c r="E8" s="309"/>
      <c r="F8" s="26"/>
      <c r="G8" s="309" t="s">
        <v>12</v>
      </c>
      <c r="H8" s="309"/>
      <c r="I8" s="26"/>
      <c r="J8" s="309" t="s">
        <v>0</v>
      </c>
      <c r="K8" s="309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13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87"/>
      <c r="C10" s="87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s="6" customFormat="1" ht="15" customHeight="1" x14ac:dyDescent="0.25">
      <c r="A11" s="57"/>
      <c r="B11" s="109" t="s">
        <v>1</v>
      </c>
      <c r="C11" s="89"/>
      <c r="D11" s="60">
        <v>55898795.798616096</v>
      </c>
      <c r="E11" s="61">
        <v>100</v>
      </c>
      <c r="F11" s="62"/>
      <c r="G11" s="60">
        <v>28249073.615063</v>
      </c>
      <c r="H11" s="61">
        <v>100</v>
      </c>
      <c r="I11" s="57"/>
      <c r="J11" s="60">
        <v>28271015.049400002</v>
      </c>
      <c r="K11" s="61">
        <v>100</v>
      </c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</row>
    <row r="12" spans="1:23" ht="6.95" customHeight="1" x14ac:dyDescent="0.25">
      <c r="A12" s="41"/>
      <c r="B12" s="109"/>
      <c r="C12" s="89"/>
      <c r="D12" s="67"/>
      <c r="E12" s="68"/>
      <c r="F12" s="70"/>
      <c r="G12" s="67"/>
      <c r="H12" s="68"/>
      <c r="I12" s="41"/>
      <c r="J12" s="67"/>
      <c r="K12" s="68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ht="15" customHeight="1" x14ac:dyDescent="0.25">
      <c r="A13" s="41"/>
      <c r="B13" s="110" t="s">
        <v>72</v>
      </c>
      <c r="C13" s="91"/>
      <c r="D13" s="67">
        <v>2286964.6832296699</v>
      </c>
      <c r="E13" s="68">
        <v>4.1794271612158598</v>
      </c>
      <c r="F13" s="70"/>
      <c r="G13" s="67">
        <v>988709.07622760499</v>
      </c>
      <c r="H13" s="68">
        <v>3.6122659362876899</v>
      </c>
      <c r="I13" s="41"/>
      <c r="J13" s="67">
        <v>1429924.5376891</v>
      </c>
      <c r="K13" s="68">
        <v>5.2125186317904904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</row>
    <row r="14" spans="1:23" ht="15" customHeight="1" x14ac:dyDescent="0.25">
      <c r="A14" s="41"/>
      <c r="B14" s="110" t="s">
        <v>73</v>
      </c>
      <c r="C14" s="95"/>
      <c r="D14" s="67">
        <v>38888543.219697602</v>
      </c>
      <c r="E14" s="68">
        <v>70.440476244274805</v>
      </c>
      <c r="F14" s="70"/>
      <c r="G14" s="67">
        <v>19436740.686137799</v>
      </c>
      <c r="H14" s="68">
        <v>70.015095084166603</v>
      </c>
      <c r="I14" s="41"/>
      <c r="J14" s="67">
        <v>19929742.8889869</v>
      </c>
      <c r="K14" s="68">
        <v>71.785937445815804</v>
      </c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15" customHeight="1" x14ac:dyDescent="0.25">
      <c r="A15" s="41"/>
      <c r="B15" s="110" t="s">
        <v>74</v>
      </c>
      <c r="C15" s="95"/>
      <c r="D15" s="67">
        <v>11853653.5697878</v>
      </c>
      <c r="E15" s="68">
        <v>21.6104729643179</v>
      </c>
      <c r="F15" s="70"/>
      <c r="G15" s="67">
        <v>5588975.6608042195</v>
      </c>
      <c r="H15" s="68">
        <v>20.319564632423202</v>
      </c>
      <c r="I15" s="41"/>
      <c r="J15" s="67">
        <v>6502475.6723566996</v>
      </c>
      <c r="K15" s="68">
        <v>23.624527579362201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15" customHeight="1" x14ac:dyDescent="0.25">
      <c r="A16" s="41"/>
      <c r="B16" s="110" t="s">
        <v>75</v>
      </c>
      <c r="C16" s="95"/>
      <c r="D16" s="67">
        <v>6928835.5329334997</v>
      </c>
      <c r="E16" s="68">
        <v>12.6601923440899</v>
      </c>
      <c r="F16" s="70"/>
      <c r="G16" s="67">
        <v>3671855.7495779502</v>
      </c>
      <c r="H16" s="68">
        <v>13.4086955618112</v>
      </c>
      <c r="I16" s="41"/>
      <c r="J16" s="67">
        <v>3461065.8988680602</v>
      </c>
      <c r="K16" s="68">
        <v>12.607487170791201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15" customHeight="1" x14ac:dyDescent="0.25">
      <c r="A17" s="41"/>
      <c r="B17" s="273" t="s">
        <v>136</v>
      </c>
      <c r="C17" s="95"/>
      <c r="D17" s="67">
        <v>1266760.71327563</v>
      </c>
      <c r="E17" s="68">
        <v>2.3178141473457998</v>
      </c>
      <c r="F17" s="70"/>
      <c r="G17" s="67">
        <v>775664.88363662804</v>
      </c>
      <c r="H17" s="68">
        <v>2.83902117856486</v>
      </c>
      <c r="I17" s="41"/>
      <c r="J17" s="67">
        <v>556518.29788003606</v>
      </c>
      <c r="K17" s="68">
        <v>2.0365838196449002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15" customHeight="1" x14ac:dyDescent="0.25">
      <c r="A18" s="41"/>
      <c r="B18" s="273" t="s">
        <v>126</v>
      </c>
      <c r="C18" s="95"/>
      <c r="D18" s="67">
        <v>3791159.9306362201</v>
      </c>
      <c r="E18" s="68">
        <v>6.9314039146516802</v>
      </c>
      <c r="F18" s="70"/>
      <c r="G18" s="67">
        <v>2236479.7113777199</v>
      </c>
      <c r="H18" s="68">
        <v>8.1650427063758393</v>
      </c>
      <c r="I18" s="41"/>
      <c r="J18" s="67">
        <v>1700743.6247495599</v>
      </c>
      <c r="K18" s="68">
        <v>6.2086091289036602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6.95" customHeight="1" x14ac:dyDescent="0.25">
      <c r="A19" s="41"/>
      <c r="B19" s="176"/>
      <c r="C19" s="95"/>
      <c r="D19" s="131"/>
      <c r="E19" s="131"/>
      <c r="F19" s="94"/>
      <c r="G19" s="131"/>
      <c r="H19" s="131"/>
      <c r="I19" s="131"/>
      <c r="J19" s="131"/>
      <c r="K19" s="13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s="6" customFormat="1" ht="15" customHeight="1" x14ac:dyDescent="0.25">
      <c r="A20" s="57"/>
      <c r="B20" s="274" t="s">
        <v>2</v>
      </c>
      <c r="C20" s="95"/>
      <c r="D20" s="60">
        <v>16672676.8615909</v>
      </c>
      <c r="E20" s="61">
        <v>100</v>
      </c>
      <c r="F20" s="62"/>
      <c r="G20" s="60">
        <v>8598763.4025228899</v>
      </c>
      <c r="H20" s="61">
        <v>100</v>
      </c>
      <c r="I20" s="57"/>
      <c r="J20" s="60">
        <v>8294212.0790849403</v>
      </c>
      <c r="K20" s="61">
        <v>100</v>
      </c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</row>
    <row r="21" spans="1:23" ht="6.95" customHeight="1" x14ac:dyDescent="0.25">
      <c r="A21" s="41"/>
      <c r="B21" s="275"/>
      <c r="C21" s="95"/>
      <c r="D21" s="67"/>
      <c r="E21" s="68"/>
      <c r="F21" s="70"/>
      <c r="G21" s="67"/>
      <c r="H21" s="68"/>
      <c r="I21" s="41"/>
      <c r="J21" s="67"/>
      <c r="K21" s="68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ht="15" customHeight="1" x14ac:dyDescent="0.25">
      <c r="A22" s="41"/>
      <c r="B22" s="110" t="s">
        <v>72</v>
      </c>
      <c r="C22" s="91"/>
      <c r="D22" s="67">
        <v>699252.63124935899</v>
      </c>
      <c r="E22" s="68">
        <v>4.5075374457449202</v>
      </c>
      <c r="F22" s="70"/>
      <c r="G22" s="67">
        <v>332936.17302689102</v>
      </c>
      <c r="H22" s="68">
        <v>4.1651874532857898</v>
      </c>
      <c r="I22" s="41"/>
      <c r="J22" s="67">
        <v>434375.28916684201</v>
      </c>
      <c r="K22" s="68">
        <v>5.7145257914613303</v>
      </c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</row>
    <row r="23" spans="1:23" ht="15" customHeight="1" x14ac:dyDescent="0.25">
      <c r="A23" s="41"/>
      <c r="B23" s="110" t="s">
        <v>73</v>
      </c>
      <c r="C23" s="95"/>
      <c r="D23" s="67">
        <v>9472994.8841112908</v>
      </c>
      <c r="E23" s="68">
        <v>58.4039753725705</v>
      </c>
      <c r="F23" s="70"/>
      <c r="G23" s="67">
        <v>4978360.2499399995</v>
      </c>
      <c r="H23" s="68">
        <v>59.894881665447897</v>
      </c>
      <c r="I23" s="41"/>
      <c r="J23" s="67">
        <v>4688049.9436831102</v>
      </c>
      <c r="K23" s="68">
        <v>58.986463659005203</v>
      </c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</row>
    <row r="24" spans="1:23" ht="15" customHeight="1" x14ac:dyDescent="0.25">
      <c r="A24" s="41"/>
      <c r="B24" s="110" t="s">
        <v>74</v>
      </c>
      <c r="C24" s="95"/>
      <c r="D24" s="67">
        <v>3590468.21552076</v>
      </c>
      <c r="E24" s="68">
        <v>22.7743243777951</v>
      </c>
      <c r="F24" s="70"/>
      <c r="G24" s="67">
        <v>1797813.95725157</v>
      </c>
      <c r="H24" s="68">
        <v>22.309504180324801</v>
      </c>
      <c r="I24" s="41"/>
      <c r="J24" s="67">
        <v>1900428.1474836201</v>
      </c>
      <c r="K24" s="68">
        <v>24.531475932257699</v>
      </c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</row>
    <row r="25" spans="1:23" ht="15" customHeight="1" x14ac:dyDescent="0.25">
      <c r="A25" s="41"/>
      <c r="B25" s="110" t="s">
        <v>75</v>
      </c>
      <c r="C25" s="95"/>
      <c r="D25" s="67">
        <v>2745835.99028577</v>
      </c>
      <c r="E25" s="68">
        <v>17.7389053466744</v>
      </c>
      <c r="F25" s="70"/>
      <c r="G25" s="67">
        <v>1531659.18628889</v>
      </c>
      <c r="H25" s="68">
        <v>19.424168139789</v>
      </c>
      <c r="I25" s="41"/>
      <c r="J25" s="67">
        <v>1312735.29499828</v>
      </c>
      <c r="K25" s="68">
        <v>17.325297042971499</v>
      </c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 spans="1:23" ht="15" customHeight="1" x14ac:dyDescent="0.25">
      <c r="A26" s="41"/>
      <c r="B26" s="273" t="s">
        <v>136</v>
      </c>
      <c r="C26" s="95"/>
      <c r="D26" s="67">
        <v>607854.22144698398</v>
      </c>
      <c r="E26" s="68">
        <v>3.9370140752053402</v>
      </c>
      <c r="F26" s="70"/>
      <c r="G26" s="67">
        <v>344651.054202575</v>
      </c>
      <c r="H26" s="68">
        <v>4.3729386231276797</v>
      </c>
      <c r="I26" s="41"/>
      <c r="J26" s="67">
        <v>298074.34178426798</v>
      </c>
      <c r="K26" s="68">
        <v>3.9243965413086301</v>
      </c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</row>
    <row r="27" spans="1:23" ht="15" customHeight="1" x14ac:dyDescent="0.25">
      <c r="A27" s="41"/>
      <c r="B27" s="273" t="s">
        <v>126</v>
      </c>
      <c r="C27" s="95"/>
      <c r="D27" s="67">
        <v>2211174.9290722501</v>
      </c>
      <c r="E27" s="68">
        <v>14.326407568631399</v>
      </c>
      <c r="F27" s="70"/>
      <c r="G27" s="67">
        <v>1239835.25670295</v>
      </c>
      <c r="H27" s="68">
        <v>15.6960561919356</v>
      </c>
      <c r="I27" s="41"/>
      <c r="J27" s="67">
        <v>1053469.0572720401</v>
      </c>
      <c r="K27" s="68">
        <v>13.867059674939901</v>
      </c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</row>
    <row r="28" spans="1:23" ht="6.95" customHeight="1" x14ac:dyDescent="0.25">
      <c r="A28" s="41"/>
      <c r="B28" s="275"/>
      <c r="C28" s="95"/>
      <c r="D28" s="131"/>
      <c r="E28" s="131"/>
      <c r="F28" s="94"/>
      <c r="G28" s="131"/>
      <c r="H28" s="131"/>
      <c r="I28" s="131"/>
      <c r="J28" s="131"/>
      <c r="K28" s="13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s="6" customFormat="1" ht="15" customHeight="1" x14ac:dyDescent="0.25">
      <c r="A29" s="57"/>
      <c r="B29" s="274" t="s">
        <v>3</v>
      </c>
      <c r="C29" s="95"/>
      <c r="D29" s="60">
        <v>40633939.285328098</v>
      </c>
      <c r="E29" s="61">
        <v>100</v>
      </c>
      <c r="F29" s="62"/>
      <c r="G29" s="60">
        <v>20396126.481792301</v>
      </c>
      <c r="H29" s="61">
        <v>100</v>
      </c>
      <c r="I29" s="57"/>
      <c r="J29" s="60">
        <v>20679308.144212801</v>
      </c>
      <c r="K29" s="61">
        <v>100</v>
      </c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</row>
    <row r="30" spans="1:23" ht="6.95" customHeight="1" x14ac:dyDescent="0.25">
      <c r="A30" s="41"/>
      <c r="B30" s="275"/>
      <c r="C30" s="95"/>
      <c r="D30" s="67"/>
      <c r="E30" s="68"/>
      <c r="F30" s="70"/>
      <c r="G30" s="67"/>
      <c r="H30" s="68"/>
      <c r="I30" s="41"/>
      <c r="J30" s="67"/>
      <c r="K30" s="68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ht="15" customHeight="1" x14ac:dyDescent="0.25">
      <c r="A31" s="41"/>
      <c r="B31" s="110" t="s">
        <v>72</v>
      </c>
      <c r="C31" s="91"/>
      <c r="D31" s="67">
        <v>1735738.55554215</v>
      </c>
      <c r="E31" s="68">
        <v>4.4103303011652999</v>
      </c>
      <c r="F31" s="70"/>
      <c r="G31" s="67">
        <v>731860.20363375801</v>
      </c>
      <c r="H31" s="68">
        <v>3.7584367507041101</v>
      </c>
      <c r="I31" s="41"/>
      <c r="J31" s="67">
        <v>1114228.44069249</v>
      </c>
      <c r="K31" s="68">
        <v>5.5982579209376402</v>
      </c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 spans="1:23" ht="15" customHeight="1" x14ac:dyDescent="0.25">
      <c r="A32" s="41"/>
      <c r="B32" s="110" t="s">
        <v>73</v>
      </c>
      <c r="C32" s="95"/>
      <c r="D32" s="67">
        <v>30416245.487303</v>
      </c>
      <c r="E32" s="68">
        <v>76.072667900403999</v>
      </c>
      <c r="F32" s="70"/>
      <c r="G32" s="67">
        <v>15030538.474638401</v>
      </c>
      <c r="H32" s="68">
        <v>75.318077210650003</v>
      </c>
      <c r="I32" s="41"/>
      <c r="J32" s="67">
        <v>15745031.1486462</v>
      </c>
      <c r="K32" s="68">
        <v>77.783197006594506</v>
      </c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ht="15" customHeight="1" x14ac:dyDescent="0.25">
      <c r="A33" s="41"/>
      <c r="B33" s="110" t="s">
        <v>74</v>
      </c>
      <c r="C33" s="95"/>
      <c r="D33" s="67">
        <v>8627222.4406353403</v>
      </c>
      <c r="E33" s="68">
        <v>21.845650898831899</v>
      </c>
      <c r="F33" s="70"/>
      <c r="G33" s="67">
        <v>3995423.7721931799</v>
      </c>
      <c r="H33" s="68">
        <v>20.351778870156402</v>
      </c>
      <c r="I33" s="41"/>
      <c r="J33" s="67">
        <v>4829430.3184654396</v>
      </c>
      <c r="K33" s="68">
        <v>24.16075662926</v>
      </c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</row>
    <row r="34" spans="1:23" ht="15" customHeight="1" x14ac:dyDescent="0.25">
      <c r="A34" s="41"/>
      <c r="B34" s="110" t="s">
        <v>75</v>
      </c>
      <c r="C34" s="95"/>
      <c r="D34" s="67">
        <v>4434848.9331785804</v>
      </c>
      <c r="E34" s="68">
        <v>11.230662131528801</v>
      </c>
      <c r="F34" s="70"/>
      <c r="G34" s="67">
        <v>2298419.3696210501</v>
      </c>
      <c r="H34" s="68">
        <v>11.707458975260099</v>
      </c>
      <c r="I34" s="41"/>
      <c r="J34" s="67">
        <v>2310696.93428009</v>
      </c>
      <c r="K34" s="68">
        <v>11.5804909321098</v>
      </c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 spans="1:23" ht="15" customHeight="1" x14ac:dyDescent="0.25">
      <c r="A35" s="41"/>
      <c r="B35" s="273" t="s">
        <v>136</v>
      </c>
      <c r="C35" s="95"/>
      <c r="D35" s="67">
        <v>737549.08874529495</v>
      </c>
      <c r="E35" s="68">
        <v>1.8763418919591699</v>
      </c>
      <c r="F35" s="70"/>
      <c r="G35" s="67">
        <v>487517.25306198199</v>
      </c>
      <c r="H35" s="68">
        <v>2.4982004520329202</v>
      </c>
      <c r="I35" s="41"/>
      <c r="J35" s="67">
        <v>303656.03127002</v>
      </c>
      <c r="K35" s="68">
        <v>1.53776281026585</v>
      </c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</row>
    <row r="36" spans="1:23" ht="15" customHeight="1" x14ac:dyDescent="0.25">
      <c r="A36" s="41"/>
      <c r="B36" s="273" t="s">
        <v>126</v>
      </c>
      <c r="C36" s="95"/>
      <c r="D36" s="67">
        <v>1757582.34587711</v>
      </c>
      <c r="E36" s="68">
        <v>4.46847145260109</v>
      </c>
      <c r="F36" s="70"/>
      <c r="G36" s="67">
        <v>1115880.86167619</v>
      </c>
      <c r="H36" s="68">
        <v>5.7088631298788499</v>
      </c>
      <c r="I36" s="41"/>
      <c r="J36" s="67">
        <v>762773.25838602299</v>
      </c>
      <c r="K36" s="68">
        <v>3.8473556300678999</v>
      </c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  <row r="37" spans="1:23" ht="6.95" customHeight="1" x14ac:dyDescent="0.25">
      <c r="A37" s="41"/>
      <c r="B37" s="52"/>
      <c r="C37" s="52"/>
      <c r="D37" s="182"/>
      <c r="E37" s="182"/>
      <c r="F37" s="276"/>
      <c r="G37" s="182"/>
      <c r="H37" s="182"/>
      <c r="I37" s="182"/>
      <c r="J37" s="182"/>
      <c r="K37" s="182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</row>
    <row r="38" spans="1:23" ht="6.95" customHeight="1" x14ac:dyDescent="0.25">
      <c r="A38" s="41"/>
      <c r="B38" s="87"/>
      <c r="C38" s="87"/>
      <c r="D38" s="250"/>
      <c r="E38" s="250"/>
      <c r="F38" s="250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</row>
    <row r="39" spans="1:23" s="4" customFormat="1" ht="12" customHeight="1" x14ac:dyDescent="0.2">
      <c r="A39" s="99"/>
      <c r="B39" s="277" t="s">
        <v>135</v>
      </c>
      <c r="C39" s="109"/>
      <c r="D39" s="88"/>
      <c r="E39" s="88"/>
      <c r="F39" s="88"/>
      <c r="G39" s="278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</row>
    <row r="40" spans="1:23" ht="12" customHeight="1" x14ac:dyDescent="0.25">
      <c r="A40" s="41"/>
      <c r="B40" s="307" t="s">
        <v>145</v>
      </c>
      <c r="C40" s="307"/>
      <c r="D40" s="307"/>
      <c r="E40" s="307"/>
      <c r="F40" s="307"/>
      <c r="G40" s="307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</row>
  </sheetData>
  <mergeCells count="6">
    <mergeCell ref="B40:G40"/>
    <mergeCell ref="B7:B9"/>
    <mergeCell ref="D7:E8"/>
    <mergeCell ref="G7:K7"/>
    <mergeCell ref="G8:H8"/>
    <mergeCell ref="J8:K8"/>
  </mergeCells>
  <hyperlinks>
    <hyperlink ref="K1" location="ÍNDICE!A1" tooltip="Ir a ÍNDICE" display="ÍNDICE" xr:uid="{075B7E34-13B8-4EEE-A81F-C15A1B55B75B}"/>
  </hyperlink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E9CA1-27D0-45BD-9019-43E4E891185D}">
  <dimension ref="A1:W42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85" t="s">
        <v>214</v>
      </c>
      <c r="C1" s="31"/>
      <c r="D1" s="31"/>
      <c r="E1" s="30"/>
      <c r="F1" s="30"/>
      <c r="G1" s="30"/>
      <c r="H1" s="30"/>
      <c r="I1" s="30"/>
      <c r="J1" s="30"/>
      <c r="K1" s="284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30" customHeight="1" x14ac:dyDescent="0.2">
      <c r="A5" s="32"/>
      <c r="B5" s="316" t="s">
        <v>162</v>
      </c>
      <c r="C5" s="316"/>
      <c r="D5" s="316"/>
      <c r="E5" s="316"/>
      <c r="F5" s="316"/>
      <c r="G5" s="316"/>
      <c r="H5" s="34"/>
      <c r="I5" s="32"/>
      <c r="J5" s="32"/>
      <c r="K5" s="40" t="s">
        <v>138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1" t="s">
        <v>198</v>
      </c>
      <c r="C7" s="42"/>
      <c r="D7" s="308" t="s">
        <v>197</v>
      </c>
      <c r="E7" s="308"/>
      <c r="F7" s="43"/>
      <c r="G7" s="310" t="s">
        <v>170</v>
      </c>
      <c r="H7" s="310"/>
      <c r="I7" s="310"/>
      <c r="J7" s="310"/>
      <c r="K7" s="310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2"/>
      <c r="C8" s="47"/>
      <c r="D8" s="309"/>
      <c r="E8" s="309"/>
      <c r="F8" s="26"/>
      <c r="G8" s="309" t="s">
        <v>12</v>
      </c>
      <c r="H8" s="309"/>
      <c r="I8" s="26"/>
      <c r="J8" s="309" t="s">
        <v>0</v>
      </c>
      <c r="K8" s="309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13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87"/>
      <c r="C10" s="87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s="6" customFormat="1" ht="15" customHeight="1" x14ac:dyDescent="0.25">
      <c r="A11" s="57"/>
      <c r="B11" s="109" t="s">
        <v>1</v>
      </c>
      <c r="C11" s="89"/>
      <c r="D11" s="60">
        <v>65781797.990422398</v>
      </c>
      <c r="E11" s="61">
        <v>100</v>
      </c>
      <c r="F11" s="62"/>
      <c r="G11" s="60">
        <v>34084341.168070398</v>
      </c>
      <c r="H11" s="61">
        <v>100</v>
      </c>
      <c r="I11" s="57"/>
      <c r="J11" s="60">
        <v>32434712.894995801</v>
      </c>
      <c r="K11" s="61">
        <v>100</v>
      </c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</row>
    <row r="12" spans="1:23" ht="6.95" customHeight="1" x14ac:dyDescent="0.25">
      <c r="A12" s="41"/>
      <c r="B12" s="109"/>
      <c r="C12" s="89"/>
      <c r="D12" s="67"/>
      <c r="E12" s="68"/>
      <c r="F12" s="70"/>
      <c r="G12" s="67"/>
      <c r="H12" s="68"/>
      <c r="I12" s="41"/>
      <c r="J12" s="67"/>
      <c r="K12" s="68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ht="15" customHeight="1" x14ac:dyDescent="0.25">
      <c r="A13" s="41"/>
      <c r="B13" s="163" t="s">
        <v>160</v>
      </c>
      <c r="C13" s="91"/>
      <c r="D13" s="67">
        <v>31693066.858399902</v>
      </c>
      <c r="E13" s="68">
        <v>48.930573016540698</v>
      </c>
      <c r="F13" s="70"/>
      <c r="G13" s="67">
        <v>14849935.902974101</v>
      </c>
      <c r="H13" s="68">
        <v>44.516233837990598</v>
      </c>
      <c r="I13" s="41"/>
      <c r="J13" s="67">
        <v>17274452.537782501</v>
      </c>
      <c r="K13" s="68">
        <v>54.482617672380002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</row>
    <row r="14" spans="1:23" ht="15" customHeight="1" x14ac:dyDescent="0.25">
      <c r="A14" s="41"/>
      <c r="B14" s="163" t="s">
        <v>25</v>
      </c>
      <c r="C14" s="91"/>
      <c r="D14" s="67">
        <v>8344294.9979573097</v>
      </c>
      <c r="E14" s="68">
        <v>12.9193278056841</v>
      </c>
      <c r="F14" s="70"/>
      <c r="G14" s="67">
        <v>5706512.7561479798</v>
      </c>
      <c r="H14" s="68">
        <v>17.2002292840113</v>
      </c>
      <c r="I14" s="41"/>
      <c r="J14" s="67">
        <v>2871414.0816826299</v>
      </c>
      <c r="K14" s="68">
        <v>9.1018518852266208</v>
      </c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15" customHeight="1" x14ac:dyDescent="0.25">
      <c r="A15" s="41"/>
      <c r="B15" s="163" t="s">
        <v>161</v>
      </c>
      <c r="C15" s="91"/>
      <c r="D15" s="67">
        <v>22858271.515195802</v>
      </c>
      <c r="E15" s="68">
        <v>35.247929982967001</v>
      </c>
      <c r="F15" s="70"/>
      <c r="G15" s="67">
        <v>11935873.194405399</v>
      </c>
      <c r="H15" s="68">
        <v>35.826147397436898</v>
      </c>
      <c r="I15" s="41"/>
      <c r="J15" s="67">
        <v>11316441.750364101</v>
      </c>
      <c r="K15" s="68">
        <v>35.607106173976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30" customHeight="1" x14ac:dyDescent="0.25">
      <c r="A16" s="41"/>
      <c r="B16" s="163" t="s">
        <v>157</v>
      </c>
      <c r="C16" s="91"/>
      <c r="D16" s="67">
        <v>1325050.25066011</v>
      </c>
      <c r="E16" s="68">
        <v>2.0537922871058401</v>
      </c>
      <c r="F16" s="70"/>
      <c r="G16" s="67">
        <v>878414.74106129701</v>
      </c>
      <c r="H16" s="68">
        <v>2.6547155099895998</v>
      </c>
      <c r="I16" s="41"/>
      <c r="J16" s="67">
        <v>526534.14962929697</v>
      </c>
      <c r="K16" s="68">
        <v>1.6734349717314201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15" customHeight="1" x14ac:dyDescent="0.25">
      <c r="A17" s="41"/>
      <c r="B17" s="163" t="s">
        <v>137</v>
      </c>
      <c r="C17" s="91"/>
      <c r="D17" s="67">
        <v>1860215.4951710601</v>
      </c>
      <c r="E17" s="68">
        <v>2.8895935675837698</v>
      </c>
      <c r="F17" s="70"/>
      <c r="G17" s="67">
        <v>894106.98507129005</v>
      </c>
      <c r="H17" s="68">
        <v>2.71051761114972</v>
      </c>
      <c r="I17" s="41"/>
      <c r="J17" s="67">
        <v>1055897.81686405</v>
      </c>
      <c r="K17" s="68">
        <v>3.35773362563953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15" customHeight="1" x14ac:dyDescent="0.25">
      <c r="A18" s="41"/>
      <c r="B18" s="163" t="s">
        <v>127</v>
      </c>
      <c r="C18" s="91"/>
      <c r="D18" s="67">
        <v>1679958.29426506</v>
      </c>
      <c r="E18" s="68">
        <v>2.6045695002541298</v>
      </c>
      <c r="F18" s="70"/>
      <c r="G18" s="67">
        <v>1139668.0970821299</v>
      </c>
      <c r="H18" s="68">
        <v>3.4439258415879399</v>
      </c>
      <c r="I18" s="41"/>
      <c r="J18" s="67">
        <v>632803.571676375</v>
      </c>
      <c r="K18" s="68">
        <v>2.015565271322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6.95" customHeight="1" x14ac:dyDescent="0.25">
      <c r="A19" s="41"/>
      <c r="B19" s="176"/>
      <c r="C19" s="95"/>
      <c r="D19" s="131"/>
      <c r="E19" s="131"/>
      <c r="F19" s="94"/>
      <c r="G19" s="131"/>
      <c r="H19" s="131"/>
      <c r="I19" s="131"/>
      <c r="J19" s="131"/>
      <c r="K19" s="13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s="6" customFormat="1" ht="15" customHeight="1" x14ac:dyDescent="0.25">
      <c r="A20" s="57"/>
      <c r="B20" s="274" t="s">
        <v>2</v>
      </c>
      <c r="C20" s="95"/>
      <c r="D20" s="60">
        <v>20870177.716251399</v>
      </c>
      <c r="E20" s="61">
        <v>100</v>
      </c>
      <c r="F20" s="62"/>
      <c r="G20" s="60">
        <v>11049909.7670033</v>
      </c>
      <c r="H20" s="61">
        <v>100</v>
      </c>
      <c r="I20" s="57"/>
      <c r="J20" s="60">
        <v>10063636.819721799</v>
      </c>
      <c r="K20" s="61">
        <v>100</v>
      </c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</row>
    <row r="21" spans="1:23" ht="6.95" customHeight="1" x14ac:dyDescent="0.25">
      <c r="A21" s="41"/>
      <c r="B21" s="275"/>
      <c r="C21" s="95"/>
      <c r="D21" s="67"/>
      <c r="E21" s="68"/>
      <c r="F21" s="70"/>
      <c r="G21" s="67"/>
      <c r="H21" s="68"/>
      <c r="I21" s="41"/>
      <c r="J21" s="67"/>
      <c r="K21" s="68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ht="15" customHeight="1" x14ac:dyDescent="0.25">
      <c r="A22" s="41"/>
      <c r="B22" s="163" t="s">
        <v>160</v>
      </c>
      <c r="C22" s="91"/>
      <c r="D22" s="67">
        <v>8287317.4190661302</v>
      </c>
      <c r="E22" s="68">
        <v>41.246667877238103</v>
      </c>
      <c r="F22" s="70"/>
      <c r="G22" s="67">
        <v>3793250.6101393001</v>
      </c>
      <c r="H22" s="68">
        <v>35.879828389371298</v>
      </c>
      <c r="I22" s="41"/>
      <c r="J22" s="67">
        <v>4641021.8989866301</v>
      </c>
      <c r="K22" s="68">
        <v>48.533989930883699</v>
      </c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</row>
    <row r="23" spans="1:23" ht="15" customHeight="1" x14ac:dyDescent="0.25">
      <c r="A23" s="41"/>
      <c r="B23" s="163" t="s">
        <v>25</v>
      </c>
      <c r="C23" s="91"/>
      <c r="D23" s="67">
        <v>5141491.5634236801</v>
      </c>
      <c r="E23" s="68">
        <v>26.355269261941199</v>
      </c>
      <c r="F23" s="70"/>
      <c r="G23" s="67">
        <v>3313213.6795417401</v>
      </c>
      <c r="H23" s="68">
        <v>32.364679638363498</v>
      </c>
      <c r="I23" s="41"/>
      <c r="J23" s="67">
        <v>1990526.56602696</v>
      </c>
      <c r="K23" s="68">
        <v>21.326700764825599</v>
      </c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</row>
    <row r="24" spans="1:23" ht="15" customHeight="1" x14ac:dyDescent="0.25">
      <c r="A24" s="41"/>
      <c r="B24" s="163" t="s">
        <v>161</v>
      </c>
      <c r="C24" s="91"/>
      <c r="D24" s="67">
        <v>7031180.4041226599</v>
      </c>
      <c r="E24" s="68">
        <v>35.169706871567499</v>
      </c>
      <c r="F24" s="70"/>
      <c r="G24" s="67">
        <v>3730852.0527227502</v>
      </c>
      <c r="H24" s="68">
        <v>35.548689002569503</v>
      </c>
      <c r="I24" s="41"/>
      <c r="J24" s="67">
        <v>3477296.8703666199</v>
      </c>
      <c r="K24" s="68">
        <v>36.473525599777702</v>
      </c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</row>
    <row r="25" spans="1:23" ht="30" customHeight="1" x14ac:dyDescent="0.25">
      <c r="A25" s="41"/>
      <c r="B25" s="163" t="s">
        <v>157</v>
      </c>
      <c r="C25" s="91"/>
      <c r="D25" s="67">
        <v>415708.28576179402</v>
      </c>
      <c r="E25" s="68">
        <v>2.1226505558844102</v>
      </c>
      <c r="F25" s="70"/>
      <c r="G25" s="67">
        <v>350238.71921404998</v>
      </c>
      <c r="H25" s="68">
        <v>3.3896403465173299</v>
      </c>
      <c r="I25" s="41"/>
      <c r="J25" s="67">
        <v>92136.311301739202</v>
      </c>
      <c r="K25" s="68">
        <v>0.99977712377938599</v>
      </c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 spans="1:23" ht="15" customHeight="1" x14ac:dyDescent="0.25">
      <c r="A26" s="41"/>
      <c r="B26" s="163" t="s">
        <v>137</v>
      </c>
      <c r="C26" s="91"/>
      <c r="D26" s="67">
        <v>460811.10025301401</v>
      </c>
      <c r="E26" s="68">
        <v>2.3896614009158599</v>
      </c>
      <c r="F26" s="70"/>
      <c r="G26" s="67">
        <v>213601.30735109001</v>
      </c>
      <c r="H26" s="68">
        <v>2.1141279966604598</v>
      </c>
      <c r="I26" s="41"/>
      <c r="J26" s="67">
        <v>285398.71559076803</v>
      </c>
      <c r="K26" s="68">
        <v>3.09405071256431</v>
      </c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</row>
    <row r="27" spans="1:23" ht="15" customHeight="1" x14ac:dyDescent="0.25">
      <c r="A27" s="41"/>
      <c r="B27" s="163" t="s">
        <v>127</v>
      </c>
      <c r="C27" s="91"/>
      <c r="D27" s="67">
        <v>506205.90859354299</v>
      </c>
      <c r="E27" s="68">
        <v>2.6133684275888598</v>
      </c>
      <c r="F27" s="70"/>
      <c r="G27" s="67">
        <v>312020.42388238601</v>
      </c>
      <c r="H27" s="68">
        <v>3.08104318273974</v>
      </c>
      <c r="I27" s="41"/>
      <c r="J27" s="67">
        <v>250522.428563881</v>
      </c>
      <c r="K27" s="68">
        <v>2.7254125032041001</v>
      </c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</row>
    <row r="28" spans="1:23" ht="6.95" customHeight="1" x14ac:dyDescent="0.25">
      <c r="A28" s="41"/>
      <c r="B28" s="275"/>
      <c r="C28" s="95"/>
      <c r="D28" s="131"/>
      <c r="E28" s="131"/>
      <c r="F28" s="94"/>
      <c r="G28" s="131"/>
      <c r="H28" s="131"/>
      <c r="I28" s="131"/>
      <c r="J28" s="131"/>
      <c r="K28" s="13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s="6" customFormat="1" ht="15" customHeight="1" x14ac:dyDescent="0.25">
      <c r="A29" s="57"/>
      <c r="B29" s="274" t="s">
        <v>3</v>
      </c>
      <c r="C29" s="95"/>
      <c r="D29" s="60">
        <v>46637940.130541801</v>
      </c>
      <c r="E29" s="61">
        <v>100</v>
      </c>
      <c r="F29" s="62"/>
      <c r="G29" s="60">
        <v>23947283.858738299</v>
      </c>
      <c r="H29" s="61">
        <v>100</v>
      </c>
      <c r="I29" s="57"/>
      <c r="J29" s="60">
        <v>23183577.010394201</v>
      </c>
      <c r="K29" s="61">
        <v>100</v>
      </c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</row>
    <row r="30" spans="1:23" ht="6.95" customHeight="1" x14ac:dyDescent="0.25">
      <c r="A30" s="41"/>
      <c r="B30" s="275"/>
      <c r="C30" s="95"/>
      <c r="D30" s="67"/>
      <c r="E30" s="68"/>
      <c r="F30" s="70"/>
      <c r="G30" s="67"/>
      <c r="H30" s="68"/>
      <c r="I30" s="41"/>
      <c r="J30" s="67"/>
      <c r="K30" s="68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ht="15" customHeight="1" x14ac:dyDescent="0.25">
      <c r="A31" s="41"/>
      <c r="B31" s="163" t="s">
        <v>160</v>
      </c>
      <c r="C31" s="91"/>
      <c r="D31" s="67">
        <v>24228613.124032099</v>
      </c>
      <c r="E31" s="68">
        <v>53.116790715460702</v>
      </c>
      <c r="F31" s="70"/>
      <c r="G31" s="67">
        <v>11486045.558325401</v>
      </c>
      <c r="H31" s="68">
        <v>49.474560885146303</v>
      </c>
      <c r="I31" s="41"/>
      <c r="J31" s="67">
        <v>13099919.325051701</v>
      </c>
      <c r="K31" s="68">
        <v>58.055462533561503</v>
      </c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 spans="1:23" ht="15" customHeight="1" x14ac:dyDescent="0.25">
      <c r="A32" s="41"/>
      <c r="B32" s="163" t="s">
        <v>25</v>
      </c>
      <c r="C32" s="91"/>
      <c r="D32" s="67">
        <v>3499011.3760555098</v>
      </c>
      <c r="E32" s="68">
        <v>7.7089966720782597</v>
      </c>
      <c r="F32" s="70"/>
      <c r="G32" s="67">
        <v>2612638.5079603302</v>
      </c>
      <c r="H32" s="68">
        <v>11.314847728057799</v>
      </c>
      <c r="I32" s="41"/>
      <c r="J32" s="67">
        <v>1038295.33781859</v>
      </c>
      <c r="K32" s="68">
        <v>4.6491580099523402</v>
      </c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ht="15" customHeight="1" x14ac:dyDescent="0.25">
      <c r="A33" s="41"/>
      <c r="B33" s="163" t="s">
        <v>161</v>
      </c>
      <c r="C33" s="91"/>
      <c r="D33" s="67">
        <v>16484592.884420199</v>
      </c>
      <c r="E33" s="68">
        <v>36.055587524174399</v>
      </c>
      <c r="F33" s="70"/>
      <c r="G33" s="67">
        <v>8588056.2055795006</v>
      </c>
      <c r="H33" s="68">
        <v>36.874960515866903</v>
      </c>
      <c r="I33" s="41"/>
      <c r="J33" s="67">
        <v>8204575.3520756103</v>
      </c>
      <c r="K33" s="68">
        <v>36.372258682006603</v>
      </c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</row>
    <row r="34" spans="1:23" ht="30" customHeight="1" x14ac:dyDescent="0.25">
      <c r="A34" s="41"/>
      <c r="B34" s="163" t="s">
        <v>157</v>
      </c>
      <c r="C34" s="91"/>
      <c r="D34" s="67">
        <v>990605.18341492699</v>
      </c>
      <c r="E34" s="68">
        <v>2.1887818087425299</v>
      </c>
      <c r="F34" s="70"/>
      <c r="G34" s="67">
        <v>599089.33106675604</v>
      </c>
      <c r="H34" s="68">
        <v>2.6136650098601</v>
      </c>
      <c r="I34" s="41"/>
      <c r="J34" s="67">
        <v>463032.90759677801</v>
      </c>
      <c r="K34" s="68">
        <v>2.07440092947461</v>
      </c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 spans="1:23" ht="15" customHeight="1" x14ac:dyDescent="0.25">
      <c r="A35" s="41"/>
      <c r="B35" s="163" t="s">
        <v>137</v>
      </c>
      <c r="C35" s="91"/>
      <c r="D35" s="67">
        <v>1470237.08462749</v>
      </c>
      <c r="E35" s="68">
        <v>3.26750474048242</v>
      </c>
      <c r="F35" s="70"/>
      <c r="G35" s="67">
        <v>722698.42463279795</v>
      </c>
      <c r="H35" s="68">
        <v>3.1648454691842201</v>
      </c>
      <c r="I35" s="41"/>
      <c r="J35" s="67">
        <v>828547.94980765402</v>
      </c>
      <c r="K35" s="68">
        <v>3.7297234742872298</v>
      </c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</row>
    <row r="36" spans="1:23" ht="15" customHeight="1" x14ac:dyDescent="0.25">
      <c r="A36" s="41"/>
      <c r="B36" s="163" t="s">
        <v>127</v>
      </c>
      <c r="C36" s="91"/>
      <c r="D36" s="67">
        <v>1273450.4180171499</v>
      </c>
      <c r="E36" s="68">
        <v>2.8165292917012001</v>
      </c>
      <c r="F36" s="70"/>
      <c r="G36" s="67">
        <v>907869.46253620996</v>
      </c>
      <c r="H36" s="68">
        <v>3.94611448198313</v>
      </c>
      <c r="I36" s="41"/>
      <c r="J36" s="67">
        <v>434234.75377846201</v>
      </c>
      <c r="K36" s="68">
        <v>1.95476682970284</v>
      </c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  <row r="37" spans="1:23" ht="6.95" customHeight="1" x14ac:dyDescent="0.25">
      <c r="A37" s="41"/>
      <c r="B37" s="52"/>
      <c r="C37" s="52"/>
      <c r="D37" s="182"/>
      <c r="E37" s="182"/>
      <c r="F37" s="276"/>
      <c r="G37" s="182"/>
      <c r="H37" s="182"/>
      <c r="I37" s="182"/>
      <c r="J37" s="182"/>
      <c r="K37" s="182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</row>
    <row r="38" spans="1:23" ht="6.95" customHeight="1" x14ac:dyDescent="0.25">
      <c r="A38" s="41"/>
      <c r="B38" s="87"/>
      <c r="C38" s="87"/>
      <c r="D38" s="250"/>
      <c r="E38" s="250"/>
      <c r="F38" s="250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</row>
    <row r="39" spans="1:23" s="4" customFormat="1" ht="12" customHeight="1" x14ac:dyDescent="0.2">
      <c r="A39" s="99"/>
      <c r="B39" s="277" t="s">
        <v>140</v>
      </c>
      <c r="C39" s="109"/>
      <c r="D39" s="88"/>
      <c r="E39" s="88"/>
      <c r="F39" s="88"/>
      <c r="G39" s="278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</row>
    <row r="40" spans="1:23" s="4" customFormat="1" ht="12" customHeight="1" x14ac:dyDescent="0.2">
      <c r="A40" s="99"/>
      <c r="B40" s="277" t="s">
        <v>139</v>
      </c>
      <c r="C40" s="109"/>
      <c r="D40" s="88"/>
      <c r="E40" s="88"/>
      <c r="F40" s="88"/>
      <c r="G40" s="278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</row>
    <row r="41" spans="1:23" ht="12" customHeight="1" x14ac:dyDescent="0.25">
      <c r="A41" s="41"/>
      <c r="B41" s="307" t="s">
        <v>145</v>
      </c>
      <c r="C41" s="307"/>
      <c r="D41" s="307"/>
      <c r="E41" s="307"/>
      <c r="F41" s="307"/>
      <c r="G41" s="307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</row>
    <row r="42" spans="1:23" ht="12" customHeight="1" x14ac:dyDescent="0.25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</row>
  </sheetData>
  <mergeCells count="7">
    <mergeCell ref="B41:G41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ÍNDICE" xr:uid="{41470EFF-DE05-4D76-A5EC-66D256FC4211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ÍNDICE</vt:lpstr>
      <vt:lpstr>Cuadro 5.1</vt:lpstr>
      <vt:lpstr>Cuadro 5.2</vt:lpstr>
      <vt:lpstr>Cuadro 5.3</vt:lpstr>
      <vt:lpstr>Cuadro 5.4</vt:lpstr>
      <vt:lpstr>Cuadro 5.5</vt:lpstr>
      <vt:lpstr>Cuadro 5.6</vt:lpstr>
      <vt:lpstr>Cuadro 5.7</vt:lpstr>
      <vt:lpstr>Cuadro 5.8</vt:lpstr>
      <vt:lpstr>Cuadro 5.9</vt:lpstr>
      <vt:lpstr>Cuadro 5.10</vt:lpstr>
      <vt:lpstr>Cuadro 5.11</vt:lpstr>
      <vt:lpstr>Cuadro 5.12</vt:lpstr>
      <vt:lpstr>Cuadro 5.13</vt:lpstr>
      <vt:lpstr>Cuadro 5.14</vt:lpstr>
      <vt:lpstr>Cuadro 5.15</vt:lpstr>
      <vt:lpstr>Cuadro 5.16</vt:lpstr>
      <vt:lpstr>Cuadro 5.17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ENIF 2024. Tabulados básicos. Población de 18 a 70 años.</dc:title>
  <dc:creator>INEGI</dc:creator>
  <cp:keywords>actividad, ahorro, aseguradora, banca, beneficio, bienes, compra, crédito, dinero, divisa, empresa, financiación, garantía, gestión, ingreso, institución, inversión, patrimonio, recursos, remesas, servicio, seguros</cp:keywords>
  <dcterms:created xsi:type="dcterms:W3CDTF">2021-06-16T21:07:26Z</dcterms:created>
  <dcterms:modified xsi:type="dcterms:W3CDTF">2025-03-11T17:28:51Z</dcterms:modified>
</cp:coreProperties>
</file>