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12\"/>
    </mc:Choice>
  </mc:AlternateContent>
  <xr:revisionPtr revIDLastSave="0" documentId="13_ncr:1_{5782DD6F-6205-4622-82EA-0735F1DB86F4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ÍNDICE" sheetId="11" r:id="rId1"/>
    <sheet name="Cuadro 12.1" sheetId="15" r:id="rId2"/>
    <sheet name="Cuadro 12.2" sheetId="14" r:id="rId3"/>
    <sheet name="Cuadro 12.3" sheetId="13" r:id="rId4"/>
    <sheet name="Cuadro 12.4" sheetId="12" r:id="rId5"/>
    <sheet name="Cuadro 12.5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1" l="1"/>
</calcChain>
</file>

<file path=xl/sharedStrings.xml><?xml version="1.0" encoding="utf-8"?>
<sst xmlns="http://schemas.openxmlformats.org/spreadsheetml/2006/main" count="190" uniqueCount="62">
  <si>
    <t>Mujeres</t>
  </si>
  <si>
    <t>Hombres</t>
  </si>
  <si>
    <t xml:space="preserve">Estados Unidos Mexicanos </t>
  </si>
  <si>
    <t>1 a 14 999 habitantes</t>
  </si>
  <si>
    <t xml:space="preserve">15 000 y más habitantes </t>
  </si>
  <si>
    <t>Nada</t>
  </si>
  <si>
    <t>Otro valor</t>
  </si>
  <si>
    <t>No sabe</t>
  </si>
  <si>
    <t xml:space="preserve">     No responde o No sabe </t>
  </si>
  <si>
    <t>Tamaño de localidad y conocimiento del interés compuesto</t>
  </si>
  <si>
    <t>Absolutos</t>
  </si>
  <si>
    <t>Relativos</t>
  </si>
  <si>
    <t xml:space="preserve">Población de 18 a 70 años por tamaño de localidad y conocimiento del significado de inflación, según sexo  </t>
  </si>
  <si>
    <t>TABULADOS BÁSICOS</t>
  </si>
  <si>
    <t>Nivel de confianza del 90%</t>
  </si>
  <si>
    <t>Tema</t>
  </si>
  <si>
    <t>ID Cuadro</t>
  </si>
  <si>
    <t>Título</t>
  </si>
  <si>
    <t>ÍNDICE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</si>
  <si>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tipo de interés e inflación puede ser mayor al total porque una persona pudo haber respondido correctamente en más de una.</t>
    </r>
  </si>
  <si>
    <t>Interés simple sin cálculo</t>
  </si>
  <si>
    <t>Interés simple con cálculo</t>
  </si>
  <si>
    <t>Interés compuesto</t>
  </si>
  <si>
    <t>Inflación</t>
  </si>
  <si>
    <r>
      <t xml:space="preserve">Tema 12. 
</t>
    </r>
    <r>
      <rPr>
        <sz val="11"/>
        <color theme="10"/>
        <rFont val="Arial"/>
        <family val="2"/>
      </rPr>
      <t>Capacidades financieras</t>
    </r>
  </si>
  <si>
    <t>Cuadro 12.1</t>
  </si>
  <si>
    <t>Cuadro 12.2</t>
  </si>
  <si>
    <t>Cuadro 12.3</t>
  </si>
  <si>
    <t>Cuadro 12.4</t>
  </si>
  <si>
    <t>Cuadro 12.5</t>
  </si>
  <si>
    <t>Encuesta Nacional de Inclusión Financiera (ENIF) 2024</t>
  </si>
  <si>
    <t xml:space="preserve">     Más de 102 pesos</t>
  </si>
  <si>
    <t xml:space="preserve">     Exactamente 102 pesos</t>
  </si>
  <si>
    <t xml:space="preserve">     Menos de 102 pesos</t>
  </si>
  <si>
    <t>Sexo</t>
  </si>
  <si>
    <t>Población de 18 a 70 años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</si>
  <si>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</si>
  <si>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 xml:space="preserve">Tamaño de localidad, tipo de interés 
y significado de inflación </t>
  </si>
  <si>
    <t>Si usted le presta 25 pesos a un amigo y a la siguiente semana 
le regresa los 25 pesos ¿cuánto le pagó de interés?</t>
  </si>
  <si>
    <t>más de 110 pesos</t>
  </si>
  <si>
    <t>exactamente 110 pesos</t>
  </si>
  <si>
    <t>menos de 110 pesos</t>
  </si>
  <si>
    <t xml:space="preserve">No responde o No sabe </t>
  </si>
  <si>
    <t xml:space="preserve">más de lo que puede comprar hoy </t>
  </si>
  <si>
    <t>lo mismo</t>
  </si>
  <si>
    <t xml:space="preserve">menos de lo que puede comprar hoy </t>
  </si>
  <si>
    <t>Población de 18 a 70 años que contestó correctamente la pregunta de interés simple, con y sin cálculo, interés compuesto o significado de inflación, por tamaño de localidad según sexo</t>
  </si>
  <si>
    <t xml:space="preserve">Población de 18 a 70 años por tamaño de localidad y conocimiento de interés simple sin cálculo según sexo  </t>
  </si>
  <si>
    <t xml:space="preserve">Población de 18 a 70 años por tamaño de localidad y conocimiento de interés simple con cálculo según sexo  </t>
  </si>
  <si>
    <t xml:space="preserve">Población de 18 a 70 años por tamaño de localidad y conocimiento de interés compuesto según sexo  </t>
  </si>
  <si>
    <t xml:space="preserve">Población de 18 a 70 años por tamaño de localidad y conocimiento del significado de inflación según sexo  </t>
  </si>
  <si>
    <r>
      <t>Población de 18 a 70 años que contestó correctamente la pregunta de interés simple</t>
    </r>
    <r>
      <rPr>
        <b/>
        <vertAlign val="superscript"/>
        <sz val="8"/>
        <rFont val="Arial"/>
        <family val="2"/>
      </rPr>
      <t>1</t>
    </r>
  </si>
  <si>
    <t xml:space="preserve">Población de 18 a 70 años que contestó correctamente la pregunta de interés simple, con y sin cálculo, interés compuesto 
o significado de inflación, por tamaño de localidad, tipo de interés y significado de la inflación según sexo  </t>
  </si>
  <si>
    <t xml:space="preserve">Tamaño de localidad y conocimiento
del interés simple sin cálculo </t>
  </si>
  <si>
    <t xml:space="preserve">Tamaño de localidad y conocimiento
del interés simple con cálculo </t>
  </si>
  <si>
    <t>Supongamos que deposita 100 pesos en una cuenta de ahorro que le da una ganancia del 2% al año. Si no realiza depósitos ni retiros, incluyendo los intereses, ¿cuánto tendrá al final del año?</t>
  </si>
  <si>
    <t>Tamaño de localidad y conocimiento
del significado de inflación</t>
  </si>
  <si>
    <t>Si le regalan $1 000 pesos, pero tiene que esperar un año para gastarlo y en ese año la inflación es de 5%, ¿usted podría comprar...</t>
  </si>
  <si>
    <t>Error estándar.</t>
  </si>
  <si>
    <t>Marzo 2025</t>
  </si>
  <si>
    <t>INEGI. Encuesta Nacional de Inclusión Financiera (ENIF) 2024. Tabulados básicos.</t>
  </si>
  <si>
    <t>Si deposita 100 pesos en una cuenta de ahorro que le da una ganancia del 2% al año y no hace depósitos ni retiros, considerando que los intereses se reinvierten, ¿usted tendrá al final de cinco años...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</si>
</sst>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###\ ###\ ##0.0"/>
    <numFmt numFmtId="167" formatCode="###,###,###,##0"/>
    <numFmt numFmtId="168" formatCode="#,##0.000"/>
    <numFmt numFmtId="169" formatCode="###,###,###,###,##0.0;[Red]\-###,###,###,###,##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color rgb="FF003399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u/>
      <sz val="9"/>
      <color rgb="FF003399"/>
      <name val="Arial"/>
      <family val="2"/>
    </font>
    <font>
      <vertAlign val="superscript"/>
      <sz val="8"/>
      <name val="Arial"/>
      <family val="2"/>
    </font>
    <font>
      <b/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color indexed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8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</cellStyleXfs>
  <cellXfs count="125">
    <xf numFmtId="0" fontId="0" fillId="0" borderId="0" xfId="0"/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wrapText="1" indent="1"/>
    </xf>
    <xf numFmtId="0" fontId="2" fillId="2" borderId="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5" fillId="2" borderId="0" xfId="5" applyFont="1" applyFill="1" applyAlignment="1">
      <alignment horizontal="left"/>
    </xf>
    <xf numFmtId="0" fontId="5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wrapText="1" indent="1"/>
    </xf>
    <xf numFmtId="0" fontId="2" fillId="2" borderId="2" xfId="5" applyFont="1" applyFill="1" applyBorder="1" applyAlignment="1">
      <alignment horizontal="left"/>
    </xf>
    <xf numFmtId="0" fontId="8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 wrapText="1" indent="1"/>
    </xf>
    <xf numFmtId="165" fontId="5" fillId="2" borderId="0" xfId="8" applyNumberFormat="1" applyFont="1" applyFill="1" applyBorder="1" applyAlignment="1">
      <alignment horizontal="left" vertical="center"/>
    </xf>
    <xf numFmtId="165" fontId="5" fillId="2" borderId="0" xfId="8" applyNumberFormat="1" applyFont="1" applyFill="1" applyBorder="1" applyAlignment="1">
      <alignment horizontal="left"/>
    </xf>
    <xf numFmtId="0" fontId="5" fillId="2" borderId="1" xfId="6" applyFont="1" applyFill="1" applyBorder="1" applyAlignment="1">
      <alignment horizontal="right" vertical="center" wrapText="1"/>
    </xf>
    <xf numFmtId="0" fontId="5" fillId="2" borderId="2" xfId="6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2" fillId="2" borderId="0" xfId="1" applyFont="1" applyFill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166" fontId="8" fillId="0" borderId="0" xfId="0" applyNumberFormat="1" applyFont="1" applyAlignment="1">
      <alignment horizontal="right" vertical="center" wrapText="1"/>
    </xf>
    <xf numFmtId="0" fontId="2" fillId="2" borderId="0" xfId="5" applyFont="1" applyFill="1" applyAlignment="1">
      <alignment horizontal="left" vertical="center" wrapText="1" indent="3"/>
    </xf>
    <xf numFmtId="0" fontId="2" fillId="2" borderId="0" xfId="5" applyFont="1" applyFill="1" applyAlignment="1">
      <alignment horizontal="left"/>
    </xf>
    <xf numFmtId="166" fontId="12" fillId="0" borderId="2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 indent="1"/>
    </xf>
    <xf numFmtId="0" fontId="13" fillId="0" borderId="0" xfId="9" applyFont="1"/>
    <xf numFmtId="0" fontId="17" fillId="0" borderId="0" xfId="9" applyFont="1" applyAlignment="1">
      <alignment horizontal="center" vertical="center"/>
    </xf>
    <xf numFmtId="0" fontId="17" fillId="0" borderId="0" xfId="9" applyFont="1" applyAlignment="1">
      <alignment vertical="center"/>
    </xf>
    <xf numFmtId="0" fontId="18" fillId="0" borderId="0" xfId="9" applyFont="1" applyAlignment="1">
      <alignment vertical="center"/>
    </xf>
    <xf numFmtId="0" fontId="11" fillId="0" borderId="0" xfId="9" applyFont="1"/>
    <xf numFmtId="0" fontId="21" fillId="0" borderId="0" xfId="9" applyFont="1"/>
    <xf numFmtId="17" fontId="20" fillId="0" borderId="0" xfId="9" quotePrefix="1" applyNumberFormat="1" applyFont="1"/>
    <xf numFmtId="17" fontId="14" fillId="0" borderId="0" xfId="9" quotePrefix="1" applyNumberFormat="1" applyFont="1"/>
    <xf numFmtId="0" fontId="18" fillId="5" borderId="5" xfId="9" applyFont="1" applyFill="1" applyBorder="1" applyAlignment="1">
      <alignment horizontal="center" vertical="center"/>
    </xf>
    <xf numFmtId="0" fontId="18" fillId="5" borderId="6" xfId="9" applyFont="1" applyFill="1" applyBorder="1" applyAlignment="1">
      <alignment horizontal="center" vertical="center"/>
    </xf>
    <xf numFmtId="0" fontId="24" fillId="0" borderId="9" xfId="2" applyFont="1" applyBorder="1" applyAlignment="1" applyProtection="1">
      <alignment horizontal="center" vertical="center"/>
    </xf>
    <xf numFmtId="0" fontId="24" fillId="0" borderId="14" xfId="2" applyFont="1" applyBorder="1" applyAlignment="1" applyProtection="1">
      <alignment horizontal="center" vertical="center"/>
    </xf>
    <xf numFmtId="0" fontId="24" fillId="0" borderId="15" xfId="2" applyFont="1" applyBorder="1" applyAlignment="1" applyProtection="1">
      <alignment horizontal="center" vertical="center"/>
    </xf>
    <xf numFmtId="0" fontId="24" fillId="0" borderId="17" xfId="2" applyFont="1" applyBorder="1" applyAlignment="1" applyProtection="1">
      <alignment horizontal="center" vertical="center"/>
    </xf>
    <xf numFmtId="0" fontId="25" fillId="0" borderId="0" xfId="9" applyFont="1"/>
    <xf numFmtId="0" fontId="25" fillId="0" borderId="0" xfId="9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2" borderId="2" xfId="1" applyFont="1" applyFill="1" applyBorder="1" applyAlignment="1">
      <alignment horizontal="left" vertical="center" wrapText="1"/>
    </xf>
    <xf numFmtId="0" fontId="2" fillId="2" borderId="0" xfId="5" applyFont="1" applyFill="1" applyAlignment="1">
      <alignment horizontal="left" vertical="center" wrapText="1" indent="2"/>
    </xf>
    <xf numFmtId="0" fontId="2" fillId="0" borderId="2" xfId="5" applyFont="1" applyBorder="1" applyAlignment="1">
      <alignment horizontal="left"/>
    </xf>
    <xf numFmtId="0" fontId="5" fillId="3" borderId="4" xfId="0" applyFont="1" applyFill="1" applyBorder="1" applyAlignment="1">
      <alignment horizontal="right" vertical="center"/>
    </xf>
    <xf numFmtId="0" fontId="5" fillId="2" borderId="2" xfId="5" applyFont="1" applyFill="1" applyBorder="1" applyAlignment="1">
      <alignment horizontal="left" vertical="center" wrapText="1"/>
    </xf>
    <xf numFmtId="167" fontId="0" fillId="0" borderId="0" xfId="0" applyNumberFormat="1"/>
    <xf numFmtId="167" fontId="5" fillId="3" borderId="4" xfId="0" applyNumberFormat="1" applyFont="1" applyFill="1" applyBorder="1" applyAlignment="1">
      <alignment horizontal="right" vertical="center"/>
    </xf>
    <xf numFmtId="167" fontId="5" fillId="2" borderId="0" xfId="5" applyNumberFormat="1" applyFont="1" applyFill="1" applyAlignment="1">
      <alignment horizontal="left"/>
    </xf>
    <xf numFmtId="167" fontId="2" fillId="0" borderId="2" xfId="5" applyNumberFormat="1" applyFont="1" applyBorder="1" applyAlignment="1">
      <alignment horizontal="left"/>
    </xf>
    <xf numFmtId="167" fontId="2" fillId="2" borderId="0" xfId="5" applyNumberFormat="1" applyFont="1" applyFill="1" applyAlignment="1">
      <alignment horizontal="left"/>
    </xf>
    <xf numFmtId="167" fontId="5" fillId="3" borderId="2" xfId="0" applyNumberFormat="1" applyFont="1" applyFill="1" applyBorder="1" applyAlignment="1">
      <alignment horizontal="right" vertical="center"/>
    </xf>
    <xf numFmtId="167" fontId="2" fillId="2" borderId="2" xfId="5" applyNumberFormat="1" applyFont="1" applyFill="1" applyBorder="1" applyAlignment="1">
      <alignment horizontal="left"/>
    </xf>
    <xf numFmtId="167" fontId="12" fillId="0" borderId="2" xfId="0" applyNumberFormat="1" applyFont="1" applyBorder="1" applyAlignment="1">
      <alignment horizontal="right" vertical="center" wrapText="1"/>
    </xf>
    <xf numFmtId="167" fontId="5" fillId="2" borderId="0" xfId="1" applyNumberFormat="1" applyFont="1" applyFill="1" applyAlignment="1">
      <alignment horizontal="left"/>
    </xf>
    <xf numFmtId="167" fontId="2" fillId="2" borderId="2" xfId="1" applyNumberFormat="1" applyFont="1" applyFill="1" applyBorder="1" applyAlignment="1">
      <alignment horizontal="left"/>
    </xf>
    <xf numFmtId="167" fontId="2" fillId="2" borderId="0" xfId="1" applyNumberFormat="1" applyFont="1" applyFill="1" applyAlignment="1">
      <alignment horizontal="left"/>
    </xf>
    <xf numFmtId="167" fontId="2" fillId="2" borderId="0" xfId="1" applyNumberFormat="1" applyFont="1" applyFill="1" applyAlignment="1">
      <alignment horizontal="left" vertical="center"/>
    </xf>
    <xf numFmtId="0" fontId="16" fillId="0" borderId="0" xfId="9" applyFont="1" applyAlignment="1">
      <alignment horizontal="center" vertical="center"/>
    </xf>
    <xf numFmtId="0" fontId="10" fillId="0" borderId="0" xfId="0" applyFont="1"/>
    <xf numFmtId="168" fontId="10" fillId="0" borderId="0" xfId="0" applyNumberFormat="1" applyFont="1" applyAlignment="1">
      <alignment horizontal="left" vertical="center"/>
    </xf>
    <xf numFmtId="0" fontId="26" fillId="0" borderId="0" xfId="2" applyFont="1" applyFill="1" applyAlignment="1">
      <alignment horizontal="right" vertical="center"/>
    </xf>
    <xf numFmtId="0" fontId="30" fillId="0" borderId="0" xfId="0" applyFont="1"/>
    <xf numFmtId="168" fontId="10" fillId="0" borderId="0" xfId="0" applyNumberFormat="1" applyFont="1" applyAlignment="1">
      <alignment vertical="top"/>
    </xf>
    <xf numFmtId="0" fontId="11" fillId="0" borderId="0" xfId="0" applyFont="1"/>
    <xf numFmtId="0" fontId="30" fillId="0" borderId="0" xfId="0" applyFont="1" applyAlignment="1">
      <alignment vertical="top"/>
    </xf>
    <xf numFmtId="0" fontId="11" fillId="0" borderId="0" xfId="0" applyFont="1" applyAlignment="1">
      <alignment horizontal="right"/>
    </xf>
    <xf numFmtId="0" fontId="30" fillId="0" borderId="1" xfId="0" applyFont="1" applyBorder="1" applyAlignment="1">
      <alignment vertical="top"/>
    </xf>
    <xf numFmtId="0" fontId="11" fillId="0" borderId="1" xfId="0" applyFont="1" applyBorder="1"/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 indent="2"/>
    </xf>
    <xf numFmtId="165" fontId="5" fillId="2" borderId="0" xfId="8" applyNumberFormat="1" applyFont="1" applyFill="1" applyBorder="1" applyAlignment="1">
      <alignment horizontal="left" vertical="center" indent="1"/>
    </xf>
    <xf numFmtId="0" fontId="5" fillId="2" borderId="0" xfId="6" applyFont="1" applyFill="1" applyAlignment="1">
      <alignment horizontal="right" vertical="center" wrapText="1"/>
    </xf>
    <xf numFmtId="0" fontId="5" fillId="2" borderId="0" xfId="5" applyFont="1" applyFill="1" applyAlignment="1">
      <alignment horizontal="left" vertical="center" inden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3"/>
    </xf>
    <xf numFmtId="0" fontId="1" fillId="0" borderId="0" xfId="17"/>
    <xf numFmtId="0" fontId="20" fillId="0" borderId="0" xfId="17" applyFont="1"/>
    <xf numFmtId="0" fontId="13" fillId="0" borderId="0" xfId="17" applyFont="1"/>
    <xf numFmtId="0" fontId="2" fillId="2" borderId="0" xfId="5" applyFont="1" applyFill="1" applyAlignment="1">
      <alignment horizontal="left" wrapText="1" indent="2"/>
    </xf>
    <xf numFmtId="0" fontId="8" fillId="2" borderId="0" xfId="5" applyFont="1" applyFill="1" applyAlignment="1">
      <alignment horizontal="left" vertical="center" indent="1"/>
    </xf>
    <xf numFmtId="169" fontId="28" fillId="6" borderId="0" xfId="2" applyNumberFormat="1" applyFont="1" applyFill="1" applyAlignment="1">
      <alignment horizontal="right" vertical="center" readingOrder="1"/>
    </xf>
    <xf numFmtId="169" fontId="8" fillId="0" borderId="0" xfId="0" applyNumberFormat="1" applyFont="1" applyAlignment="1">
      <alignment horizontal="right" vertical="center" wrapText="1"/>
    </xf>
    <xf numFmtId="169" fontId="0" fillId="0" borderId="0" xfId="0" applyNumberFormat="1"/>
    <xf numFmtId="169" fontId="25" fillId="6" borderId="0" xfId="2" applyNumberFormat="1" applyFont="1" applyFill="1" applyAlignment="1">
      <alignment horizontal="right" vertical="center" readingOrder="1"/>
    </xf>
    <xf numFmtId="169" fontId="12" fillId="0" borderId="0" xfId="0" applyNumberFormat="1" applyFont="1" applyAlignment="1">
      <alignment horizontal="right" vertical="center" wrapText="1"/>
    </xf>
    <xf numFmtId="169" fontId="5" fillId="0" borderId="0" xfId="1" applyNumberFormat="1" applyFont="1"/>
    <xf numFmtId="169" fontId="6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69" fontId="7" fillId="0" borderId="3" xfId="1" applyNumberFormat="1" applyFont="1" applyBorder="1" applyAlignment="1" applyProtection="1">
      <alignment horizontal="right" vertical="center" wrapText="1" readingOrder="1"/>
      <protection locked="0"/>
    </xf>
    <xf numFmtId="169" fontId="5" fillId="0" borderId="0" xfId="5" applyNumberFormat="1" applyFont="1"/>
    <xf numFmtId="169" fontId="2" fillId="0" borderId="0" xfId="5" applyNumberFormat="1" applyFont="1"/>
    <xf numFmtId="0" fontId="22" fillId="0" borderId="8" xfId="11" applyFont="1" applyFill="1" applyBorder="1" applyAlignment="1">
      <alignment horizontal="center" vertical="center" wrapText="1"/>
    </xf>
    <xf numFmtId="0" fontId="22" fillId="0" borderId="13" xfId="11" applyFont="1" applyFill="1" applyBorder="1" applyAlignment="1">
      <alignment horizontal="center" vertical="center" wrapText="1"/>
    </xf>
    <xf numFmtId="0" fontId="22" fillId="0" borderId="16" xfId="11" applyFont="1" applyFill="1" applyBorder="1" applyAlignment="1">
      <alignment horizontal="left" vertical="center" wrapText="1" readingOrder="1"/>
    </xf>
    <xf numFmtId="0" fontId="13" fillId="0" borderId="10" xfId="9" applyFont="1" applyBorder="1" applyAlignment="1">
      <alignment horizontal="left" vertical="center" wrapText="1" indent="1"/>
    </xf>
    <xf numFmtId="0" fontId="13" fillId="0" borderId="11" xfId="9" applyFont="1" applyBorder="1" applyAlignment="1">
      <alignment horizontal="left" vertical="center" wrapText="1" indent="1"/>
    </xf>
    <xf numFmtId="0" fontId="13" fillId="0" borderId="12" xfId="9" applyFont="1" applyBorder="1" applyAlignment="1">
      <alignment horizontal="left" vertical="center" wrapText="1" indent="1"/>
    </xf>
    <xf numFmtId="0" fontId="13" fillId="0" borderId="18" xfId="9" applyFont="1" applyBorder="1" applyAlignment="1">
      <alignment horizontal="left" vertical="center" wrapText="1" indent="1"/>
    </xf>
    <xf numFmtId="0" fontId="13" fillId="0" borderId="19" xfId="9" applyFont="1" applyBorder="1" applyAlignment="1">
      <alignment horizontal="left" vertical="center" wrapText="1" indent="1"/>
    </xf>
    <xf numFmtId="0" fontId="13" fillId="0" borderId="20" xfId="9" applyFont="1" applyBorder="1" applyAlignment="1">
      <alignment horizontal="left" vertical="center" wrapText="1" indent="1"/>
    </xf>
    <xf numFmtId="0" fontId="18" fillId="5" borderId="6" xfId="9" applyFont="1" applyFill="1" applyBorder="1" applyAlignment="1">
      <alignment horizontal="center" vertical="center"/>
    </xf>
    <xf numFmtId="0" fontId="18" fillId="5" borderId="7" xfId="9" applyFont="1" applyFill="1" applyBorder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16" fillId="0" borderId="0" xfId="17" applyFont="1" applyAlignment="1">
      <alignment horizontal="center" vertical="center"/>
    </xf>
    <xf numFmtId="0" fontId="29" fillId="4" borderId="0" xfId="16" applyFont="1" applyFill="1" applyAlignment="1">
      <alignment horizontal="center" vertical="center"/>
    </xf>
    <xf numFmtId="0" fontId="20" fillId="0" borderId="0" xfId="16" applyFont="1" applyAlignment="1">
      <alignment horizontal="center" vertical="center"/>
    </xf>
    <xf numFmtId="0" fontId="20" fillId="0" borderId="0" xfId="9" applyFont="1" applyAlignment="1">
      <alignment horizontal="right"/>
    </xf>
    <xf numFmtId="0" fontId="7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4" xfId="13" applyFont="1" applyFill="1" applyBorder="1" applyAlignment="1">
      <alignment horizontal="center" vertical="center" wrapText="1"/>
    </xf>
    <xf numFmtId="0" fontId="5" fillId="2" borderId="4" xfId="6" applyFont="1" applyFill="1" applyBorder="1" applyAlignment="1">
      <alignment horizontal="center" vertical="center" wrapText="1"/>
    </xf>
    <xf numFmtId="0" fontId="5" fillId="2" borderId="1" xfId="5" applyFont="1" applyFill="1" applyBorder="1" applyAlignment="1">
      <alignment horizontal="left" vertical="center" wrapText="1"/>
    </xf>
    <xf numFmtId="0" fontId="5" fillId="2" borderId="0" xfId="5" applyFont="1" applyFill="1" applyAlignment="1">
      <alignment horizontal="left" vertical="center" wrapText="1"/>
    </xf>
    <xf numFmtId="0" fontId="5" fillId="2" borderId="2" xfId="5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2" xfId="6" applyFont="1" applyFill="1" applyBorder="1" applyAlignment="1">
      <alignment horizontal="center" vertical="center"/>
    </xf>
    <xf numFmtId="0" fontId="32" fillId="7" borderId="0" xfId="0" applyFont="1" applyFill="1" applyAlignment="1">
      <alignment vertical="center"/>
    </xf>
  </cellXfs>
  <cellStyles count="18">
    <cellStyle name="Hipervínculo" xfId="2" builtinId="8"/>
    <cellStyle name="Hipervínculo 2" xfId="11" xr:uid="{00000000-0005-0000-0000-000001000000}"/>
    <cellStyle name="Millares" xfId="8" builtinId="3"/>
    <cellStyle name="Normal" xfId="0" builtinId="0"/>
    <cellStyle name="Normal 10" xfId="1" xr:uid="{00000000-0005-0000-0000-000004000000}"/>
    <cellStyle name="Normal 10 2" xfId="5" xr:uid="{00000000-0005-0000-0000-000005000000}"/>
    <cellStyle name="Normal 2 2 2" xfId="12" xr:uid="{00000000-0005-0000-0000-000006000000}"/>
    <cellStyle name="Normal 3 2 5" xfId="14" xr:uid="{AF9D5415-3AFA-45C9-992A-C70303B26A01}"/>
    <cellStyle name="Normal 4 3" xfId="4" xr:uid="{00000000-0005-0000-0000-000007000000}"/>
    <cellStyle name="Normal 4 3 2" xfId="7" xr:uid="{00000000-0005-0000-0000-000008000000}"/>
    <cellStyle name="Normal 6" xfId="10" xr:uid="{00000000-0005-0000-0000-000009000000}"/>
    <cellStyle name="Normal 6 2" xfId="16" xr:uid="{F7CEDE91-55C7-4C4A-9339-8E9C0A3A409A}"/>
    <cellStyle name="Normal 6 2 2" xfId="17" xr:uid="{31F14A70-F1D1-470E-84A6-1FD8FDB52AC3}"/>
    <cellStyle name="Normal 7 2 2" xfId="9" xr:uid="{00000000-0005-0000-0000-00000A000000}"/>
    <cellStyle name="Normal 8 2" xfId="13" xr:uid="{20175B2A-621B-4B8E-A511-E7EC07B408A0}"/>
    <cellStyle name="Normal 9" xfId="3" xr:uid="{00000000-0005-0000-0000-00000B000000}"/>
    <cellStyle name="Normal 9 2" xfId="6" xr:uid="{00000000-0005-0000-0000-00000C000000}"/>
    <cellStyle name="Normal 9 3" xfId="15" xr:uid="{94D9C2EE-5DE7-49E2-8A26-A892718A0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8D0AA895-822C-43B2-9DEF-B814E2D50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9F0F-B177-47D2-A292-FF2CC0ED179A}">
  <dimension ref="A1:T19"/>
  <sheetViews>
    <sheetView showGridLines="0" tabSelected="1" workbookViewId="0"/>
  </sheetViews>
  <sheetFormatPr baseColWidth="10" defaultColWidth="11.42578125" defaultRowHeight="14.25" x14ac:dyDescent="0.2"/>
  <cols>
    <col min="1" max="1" width="1.7109375" style="25" customWidth="1"/>
    <col min="2" max="2" width="20.28515625" style="25" customWidth="1"/>
    <col min="3" max="3" width="17.42578125" style="25" customWidth="1"/>
    <col min="4" max="14" width="11.42578125" style="25"/>
    <col min="15" max="15" width="1.5703125" style="25" customWidth="1"/>
    <col min="16" max="16384" width="11.42578125" style="25"/>
  </cols>
  <sheetData>
    <row r="1" spans="1:20" s="79" customFormat="1" ht="20.100000000000001" customHeight="1" x14ac:dyDescent="0.25">
      <c r="A1" s="81"/>
      <c r="B1" s="80"/>
      <c r="C1" s="80"/>
    </row>
    <row r="2" spans="1:20" s="79" customFormat="1" ht="20.100000000000001" customHeight="1" x14ac:dyDescent="0.25">
      <c r="B2" s="105" t="s">
        <v>30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20" s="79" customFormat="1" ht="20.100000000000001" customHeight="1" x14ac:dyDescent="0.25">
      <c r="B3" s="106" t="s">
        <v>13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1:20" ht="6.95" customHeight="1" x14ac:dyDescent="0.2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20" ht="20.100000000000001" customHeight="1" x14ac:dyDescent="0.2">
      <c r="A5" s="107" t="s">
        <v>58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27"/>
    </row>
    <row r="6" spans="1:20" ht="6.95" customHeight="1" x14ac:dyDescent="0.2">
      <c r="A6" s="26"/>
      <c r="B6" s="27" t="s">
        <v>14</v>
      </c>
      <c r="C6" s="28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6"/>
      <c r="T6" s="29"/>
    </row>
    <row r="7" spans="1:20" ht="20.100000000000001" customHeight="1" x14ac:dyDescent="0.2">
      <c r="A7" s="26"/>
      <c r="B7" s="108" t="s">
        <v>14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26"/>
    </row>
    <row r="8" spans="1:20" ht="20.100000000000001" customHeight="1" x14ac:dyDescent="0.2">
      <c r="A8" s="30"/>
      <c r="B8" s="31" t="s">
        <v>59</v>
      </c>
      <c r="C8" s="32"/>
      <c r="D8" s="30"/>
      <c r="E8" s="30"/>
      <c r="F8" s="30"/>
      <c r="G8" s="30"/>
      <c r="H8" s="30"/>
      <c r="I8" s="30"/>
      <c r="J8" s="30"/>
      <c r="K8" s="30"/>
      <c r="L8" s="30"/>
      <c r="M8" s="109" t="str">
        <f>CONCATENATE("Total de tabulados: ", COUNTIF(C11:C15,"&lt;&gt;"))</f>
        <v>Total de tabulados: 5</v>
      </c>
      <c r="N8" s="109"/>
      <c r="O8" s="30"/>
    </row>
    <row r="9" spans="1:20" ht="6.95" customHeight="1" thickBot="1" x14ac:dyDescent="0.25"/>
    <row r="10" spans="1:20" ht="15.75" thickBot="1" x14ac:dyDescent="0.25">
      <c r="B10" s="33" t="s">
        <v>15</v>
      </c>
      <c r="C10" s="34" t="s">
        <v>16</v>
      </c>
      <c r="D10" s="103" t="s">
        <v>17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4"/>
    </row>
    <row r="11" spans="1:20" ht="39.950000000000003" customHeight="1" x14ac:dyDescent="0.2">
      <c r="B11" s="94" t="s">
        <v>24</v>
      </c>
      <c r="C11" s="35" t="s">
        <v>25</v>
      </c>
      <c r="D11" s="97" t="s">
        <v>46</v>
      </c>
      <c r="E11" s="98"/>
      <c r="F11" s="98"/>
      <c r="G11" s="98"/>
      <c r="H11" s="98"/>
      <c r="I11" s="98"/>
      <c r="J11" s="98"/>
      <c r="K11" s="98"/>
      <c r="L11" s="98"/>
      <c r="M11" s="98"/>
      <c r="N11" s="99"/>
      <c r="O11" s="20"/>
      <c r="P11" s="20"/>
      <c r="Q11" s="20"/>
      <c r="R11" s="20"/>
      <c r="S11" s="20"/>
      <c r="T11" s="20"/>
    </row>
    <row r="12" spans="1:20" ht="39.950000000000003" customHeight="1" x14ac:dyDescent="0.2">
      <c r="B12" s="95"/>
      <c r="C12" s="36" t="s">
        <v>26</v>
      </c>
      <c r="D12" s="97" t="s">
        <v>47</v>
      </c>
      <c r="E12" s="98"/>
      <c r="F12" s="98"/>
      <c r="G12" s="98"/>
      <c r="H12" s="98"/>
      <c r="I12" s="98"/>
      <c r="J12" s="98"/>
      <c r="K12" s="98"/>
      <c r="L12" s="98"/>
      <c r="M12" s="98"/>
      <c r="N12" s="99"/>
      <c r="O12" s="20"/>
      <c r="P12" s="20"/>
      <c r="Q12" s="20"/>
      <c r="R12" s="20"/>
      <c r="S12" s="20"/>
      <c r="T12" s="20"/>
    </row>
    <row r="13" spans="1:20" ht="39.950000000000003" customHeight="1" x14ac:dyDescent="0.2">
      <c r="B13" s="95"/>
      <c r="C13" s="37" t="s">
        <v>27</v>
      </c>
      <c r="D13" s="97" t="s">
        <v>48</v>
      </c>
      <c r="E13" s="98"/>
      <c r="F13" s="98"/>
      <c r="G13" s="98"/>
      <c r="H13" s="98"/>
      <c r="I13" s="98"/>
      <c r="J13" s="98"/>
      <c r="K13" s="98"/>
      <c r="L13" s="98"/>
      <c r="M13" s="98"/>
      <c r="N13" s="99"/>
      <c r="O13" s="20"/>
      <c r="P13" s="20"/>
      <c r="Q13" s="20"/>
      <c r="R13" s="20"/>
      <c r="S13" s="20"/>
      <c r="T13" s="20"/>
    </row>
    <row r="14" spans="1:20" ht="39.950000000000003" customHeight="1" x14ac:dyDescent="0.2">
      <c r="B14" s="95"/>
      <c r="C14" s="36" t="s">
        <v>28</v>
      </c>
      <c r="D14" s="97" t="s">
        <v>49</v>
      </c>
      <c r="E14" s="98"/>
      <c r="F14" s="98"/>
      <c r="G14" s="98"/>
      <c r="H14" s="98"/>
      <c r="I14" s="98"/>
      <c r="J14" s="98"/>
      <c r="K14" s="98"/>
      <c r="L14" s="98"/>
      <c r="M14" s="98"/>
      <c r="N14" s="99"/>
      <c r="O14" s="20"/>
      <c r="P14" s="20"/>
      <c r="Q14" s="20"/>
      <c r="R14" s="20"/>
      <c r="S14" s="20"/>
      <c r="T14" s="20"/>
    </row>
    <row r="15" spans="1:20" ht="39.950000000000003" customHeight="1" thickBot="1" x14ac:dyDescent="0.25">
      <c r="B15" s="96"/>
      <c r="C15" s="38" t="s">
        <v>29</v>
      </c>
      <c r="D15" s="100" t="s">
        <v>50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7" spans="2:2" x14ac:dyDescent="0.2">
      <c r="B17" s="39"/>
    </row>
    <row r="18" spans="2:2" x14ac:dyDescent="0.2">
      <c r="B18" s="39"/>
    </row>
    <row r="19" spans="2:2" x14ac:dyDescent="0.2">
      <c r="B19" s="40"/>
    </row>
  </sheetData>
  <mergeCells count="12">
    <mergeCell ref="D10:N10"/>
    <mergeCell ref="B2:N2"/>
    <mergeCell ref="B3:N3"/>
    <mergeCell ref="A5:N5"/>
    <mergeCell ref="B7:N7"/>
    <mergeCell ref="M8:N8"/>
    <mergeCell ref="B11:B15"/>
    <mergeCell ref="D11:N11"/>
    <mergeCell ref="D12:N12"/>
    <mergeCell ref="D13:N13"/>
    <mergeCell ref="D14:N14"/>
    <mergeCell ref="D15:N15"/>
  </mergeCells>
  <hyperlinks>
    <hyperlink ref="C11" location="'Cuadro 12.1'!A1" tooltip="Ir a Cuadro 12.1" display="Cuadro 12.1" xr:uid="{235820B3-B1A8-4900-A468-169BE3C309DF}"/>
    <hyperlink ref="C15" location="'Cuadro 12.5'!A1" tooltip="Ir a Cuadro 12.5" display="Cuadro 12.5" xr:uid="{5346AEED-E68A-49B9-BB99-22690D02A466}"/>
    <hyperlink ref="C12" location="'Cuadro 12.2'!A1" tooltip="Ir a Cuadro 12.2" display="Cuadro 12.2" xr:uid="{DF9FD62E-6E05-4419-8677-70A08F3C1D70}"/>
    <hyperlink ref="C13" location="'Cuadro 12.3'!A1" tooltip="Ir a Cuadro 12.3" display="Cuadro 12.3" xr:uid="{82FD4CBB-F9CC-4C1A-8FB9-7EBF68BAF8DD}"/>
    <hyperlink ref="C14" location="'Cuadro 12.4'!A1" tooltip="Ir a Cuadro 12.4" display="Cuadro 12.4" xr:uid="{BC1855EC-621B-4870-8331-C5CF4FF179C1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2BFC-662B-4204-8A7E-05FE27EAEE64}">
  <dimension ref="B1:K34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  <col min="12" max="12" width="17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30" customHeight="1" x14ac:dyDescent="0.2">
      <c r="B5" s="111" t="s">
        <v>52</v>
      </c>
      <c r="C5" s="111"/>
      <c r="D5" s="111"/>
      <c r="E5" s="111"/>
      <c r="F5" s="111"/>
      <c r="G5" s="111"/>
      <c r="H5" s="111"/>
      <c r="K5" s="67" t="s">
        <v>25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20.100000000000001" customHeight="1" x14ac:dyDescent="0.2">
      <c r="B7" s="112" t="s">
        <v>37</v>
      </c>
      <c r="C7" s="68"/>
      <c r="D7" s="115" t="s">
        <v>51</v>
      </c>
      <c r="E7" s="115"/>
      <c r="F7" s="69"/>
      <c r="G7" s="117" t="s">
        <v>34</v>
      </c>
      <c r="H7" s="117"/>
      <c r="I7" s="117"/>
      <c r="J7" s="117"/>
      <c r="K7" s="117"/>
    </row>
    <row r="8" spans="2:11" ht="20.100000000000001" customHeight="1" x14ac:dyDescent="0.25">
      <c r="B8" s="113"/>
      <c r="C8" s="70"/>
      <c r="D8" s="116"/>
      <c r="E8" s="116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14"/>
      <c r="C9" s="42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1"/>
      <c r="C10" s="1"/>
      <c r="D10" s="55"/>
      <c r="E10" s="1"/>
      <c r="F10" s="1"/>
      <c r="G10" s="55"/>
      <c r="H10" s="1"/>
      <c r="I10" s="1"/>
      <c r="J10" s="55"/>
      <c r="K10" s="1"/>
    </row>
    <row r="11" spans="2:11" ht="15" customHeight="1" x14ac:dyDescent="0.25">
      <c r="B11" s="2" t="s">
        <v>2</v>
      </c>
      <c r="C11" s="2"/>
      <c r="D11" s="84">
        <v>947592.08064396598</v>
      </c>
      <c r="E11" s="84">
        <v>0</v>
      </c>
      <c r="F11" s="85"/>
      <c r="G11" s="84">
        <v>790493.56310565001</v>
      </c>
      <c r="H11" s="84">
        <v>0</v>
      </c>
      <c r="I11" s="85"/>
      <c r="J11" s="84">
        <v>720111.56563813996</v>
      </c>
      <c r="K11" s="84">
        <v>0</v>
      </c>
    </row>
    <row r="12" spans="2:11" ht="6.95" customHeight="1" x14ac:dyDescent="0.25">
      <c r="B12" s="2"/>
      <c r="C12" s="2"/>
      <c r="D12" s="84"/>
      <c r="E12" s="84"/>
      <c r="F12" s="85"/>
      <c r="G12" s="84"/>
      <c r="H12" s="84"/>
      <c r="I12" s="86"/>
      <c r="J12" s="84"/>
      <c r="K12" s="84"/>
    </row>
    <row r="13" spans="2:11" ht="15" customHeight="1" x14ac:dyDescent="0.25">
      <c r="B13" s="71" t="s">
        <v>20</v>
      </c>
      <c r="C13" s="17"/>
      <c r="D13" s="87">
        <v>955789.71953311295</v>
      </c>
      <c r="E13" s="87">
        <v>0.27129881915063397</v>
      </c>
      <c r="F13" s="88"/>
      <c r="G13" s="87">
        <v>787784.89439961303</v>
      </c>
      <c r="H13" s="87">
        <v>0.34568245841823703</v>
      </c>
      <c r="I13" s="88"/>
      <c r="J13" s="87">
        <v>719312.30546609696</v>
      </c>
      <c r="K13" s="87">
        <v>0.423177910844586</v>
      </c>
    </row>
    <row r="14" spans="2:11" ht="15" customHeight="1" x14ac:dyDescent="0.25">
      <c r="B14" s="71" t="s">
        <v>21</v>
      </c>
      <c r="C14" s="17"/>
      <c r="D14" s="87">
        <v>630168.27949246997</v>
      </c>
      <c r="E14" s="87">
        <v>0.67311767339423101</v>
      </c>
      <c r="F14" s="88"/>
      <c r="G14" s="87">
        <v>452314.06330488698</v>
      </c>
      <c r="H14" s="87">
        <v>0.85334316462280901</v>
      </c>
      <c r="I14" s="88"/>
      <c r="J14" s="87">
        <v>494680.25852898299</v>
      </c>
      <c r="K14" s="87">
        <v>0.99848116322824698</v>
      </c>
    </row>
    <row r="15" spans="2:11" ht="15" customHeight="1" x14ac:dyDescent="0.25">
      <c r="B15" s="71" t="s">
        <v>22</v>
      </c>
      <c r="C15" s="17"/>
      <c r="D15" s="87">
        <v>678479.32445591304</v>
      </c>
      <c r="E15" s="87">
        <v>0.74001480739168202</v>
      </c>
      <c r="F15" s="88"/>
      <c r="G15" s="87">
        <v>457168.74440103897</v>
      </c>
      <c r="H15" s="87">
        <v>0.86254818099113895</v>
      </c>
      <c r="I15" s="88"/>
      <c r="J15" s="87">
        <v>514568.71079970797</v>
      </c>
      <c r="K15" s="87">
        <v>1.0758091572058801</v>
      </c>
    </row>
    <row r="16" spans="2:11" ht="15" customHeight="1" x14ac:dyDescent="0.25">
      <c r="B16" s="71" t="s">
        <v>23</v>
      </c>
      <c r="C16" s="17"/>
      <c r="D16" s="87">
        <v>907195.43180750601</v>
      </c>
      <c r="E16" s="87">
        <v>0.60980919762731201</v>
      </c>
      <c r="F16" s="88"/>
      <c r="G16" s="87">
        <v>684580.01858533896</v>
      </c>
      <c r="H16" s="87">
        <v>0.80029008761012399</v>
      </c>
      <c r="I16" s="88"/>
      <c r="J16" s="87">
        <v>654648.76385785197</v>
      </c>
      <c r="K16" s="87">
        <v>0.80138371782817597</v>
      </c>
    </row>
    <row r="17" spans="2:11" ht="6.95" customHeight="1" x14ac:dyDescent="0.25">
      <c r="B17" s="3"/>
      <c r="C17" s="3"/>
      <c r="D17" s="89"/>
      <c r="E17" s="88"/>
      <c r="F17" s="89"/>
      <c r="G17" s="89"/>
      <c r="H17" s="88"/>
      <c r="I17" s="88"/>
      <c r="J17" s="88"/>
      <c r="K17" s="88"/>
    </row>
    <row r="18" spans="2:11" ht="15" customHeight="1" x14ac:dyDescent="0.25">
      <c r="B18" s="72" t="s">
        <v>3</v>
      </c>
      <c r="C18" s="12"/>
      <c r="D18" s="84">
        <v>1147861.33768291</v>
      </c>
      <c r="E18" s="84">
        <v>0</v>
      </c>
      <c r="F18" s="85"/>
      <c r="G18" s="84">
        <v>714394.499250778</v>
      </c>
      <c r="H18" s="84">
        <v>0</v>
      </c>
      <c r="I18" s="85"/>
      <c r="J18" s="84">
        <v>626519.62502663804</v>
      </c>
      <c r="K18" s="84">
        <v>0</v>
      </c>
    </row>
    <row r="19" spans="2:11" ht="6.95" customHeight="1" x14ac:dyDescent="0.25">
      <c r="B19" s="12"/>
      <c r="C19" s="12"/>
      <c r="D19" s="84"/>
      <c r="E19" s="84"/>
      <c r="F19" s="85"/>
      <c r="G19" s="84"/>
      <c r="H19" s="84"/>
      <c r="I19" s="86"/>
      <c r="J19" s="84"/>
      <c r="K19" s="84"/>
    </row>
    <row r="20" spans="2:11" ht="15" customHeight="1" x14ac:dyDescent="0.25">
      <c r="B20" s="71" t="s">
        <v>20</v>
      </c>
      <c r="C20" s="17"/>
      <c r="D20" s="87">
        <v>1125059.08972615</v>
      </c>
      <c r="E20" s="87">
        <v>0.55644765787262596</v>
      </c>
      <c r="F20" s="88"/>
      <c r="G20" s="87">
        <v>706529.63977369701</v>
      </c>
      <c r="H20" s="87">
        <v>0.71278966442481795</v>
      </c>
      <c r="I20" s="88"/>
      <c r="J20" s="87">
        <v>619347.67400616105</v>
      </c>
      <c r="K20" s="87">
        <v>0.89249017877129</v>
      </c>
    </row>
    <row r="21" spans="2:11" ht="15" customHeight="1" x14ac:dyDescent="0.25">
      <c r="B21" s="71" t="s">
        <v>21</v>
      </c>
      <c r="C21" s="17"/>
      <c r="D21" s="87">
        <v>455294.25249744201</v>
      </c>
      <c r="E21" s="87">
        <v>1.1034476181051101</v>
      </c>
      <c r="F21" s="88"/>
      <c r="G21" s="87">
        <v>278360.11544777401</v>
      </c>
      <c r="H21" s="87">
        <v>1.3515531277700801</v>
      </c>
      <c r="I21" s="88"/>
      <c r="J21" s="87">
        <v>327782.92720633699</v>
      </c>
      <c r="K21" s="87">
        <v>1.8790155307095899</v>
      </c>
    </row>
    <row r="22" spans="2:11" ht="15" customHeight="1" x14ac:dyDescent="0.25">
      <c r="B22" s="71" t="s">
        <v>22</v>
      </c>
      <c r="C22" s="17"/>
      <c r="D22" s="87">
        <v>491692.33991696802</v>
      </c>
      <c r="E22" s="87">
        <v>1.2427689912519899</v>
      </c>
      <c r="F22" s="88"/>
      <c r="G22" s="87">
        <v>308628.89697587001</v>
      </c>
      <c r="H22" s="87">
        <v>1.4519478608029499</v>
      </c>
      <c r="I22" s="88"/>
      <c r="J22" s="87">
        <v>331484.88164739503</v>
      </c>
      <c r="K22" s="87">
        <v>1.8832566569251401</v>
      </c>
    </row>
    <row r="23" spans="2:11" ht="15" customHeight="1" x14ac:dyDescent="0.25">
      <c r="B23" s="71" t="s">
        <v>23</v>
      </c>
      <c r="C23" s="17"/>
      <c r="D23" s="87">
        <v>937038.36807421502</v>
      </c>
      <c r="E23" s="87">
        <v>0.96372730630926395</v>
      </c>
      <c r="F23" s="88"/>
      <c r="G23" s="87">
        <v>565464.47480601806</v>
      </c>
      <c r="H23" s="87">
        <v>1.3081976434937499</v>
      </c>
      <c r="I23" s="88"/>
      <c r="J23" s="87">
        <v>520280.39621130499</v>
      </c>
      <c r="K23" s="87">
        <v>1.32492661165752</v>
      </c>
    </row>
    <row r="24" spans="2:11" ht="6.95" customHeight="1" x14ac:dyDescent="0.25">
      <c r="B24" s="13"/>
      <c r="C24" s="13"/>
      <c r="D24" s="90"/>
      <c r="E24" s="91"/>
      <c r="F24" s="90"/>
      <c r="G24" s="90"/>
      <c r="H24" s="91"/>
      <c r="I24" s="91"/>
      <c r="J24" s="91"/>
      <c r="K24" s="91"/>
    </row>
    <row r="25" spans="2:11" ht="15" customHeight="1" x14ac:dyDescent="0.25">
      <c r="B25" s="72" t="s">
        <v>4</v>
      </c>
      <c r="C25" s="12"/>
      <c r="D25" s="84">
        <v>1200066.9133537901</v>
      </c>
      <c r="E25" s="84">
        <v>0</v>
      </c>
      <c r="F25" s="85"/>
      <c r="G25" s="84">
        <v>843735.44245070603</v>
      </c>
      <c r="H25" s="84">
        <v>0</v>
      </c>
      <c r="I25" s="85"/>
      <c r="J25" s="84">
        <v>695625.67942151194</v>
      </c>
      <c r="K25" s="84">
        <v>0</v>
      </c>
    </row>
    <row r="26" spans="2:11" ht="6.95" customHeight="1" x14ac:dyDescent="0.25">
      <c r="B26" s="12"/>
      <c r="C26" s="12"/>
      <c r="D26" s="84"/>
      <c r="E26" s="84"/>
      <c r="F26" s="85"/>
      <c r="G26" s="84"/>
      <c r="H26" s="84"/>
      <c r="I26" s="86"/>
      <c r="J26" s="84"/>
      <c r="K26" s="84"/>
    </row>
    <row r="27" spans="2:11" ht="15" customHeight="1" x14ac:dyDescent="0.25">
      <c r="B27" s="71" t="s">
        <v>20</v>
      </c>
      <c r="C27" s="17"/>
      <c r="D27" s="87">
        <v>1176015.57115379</v>
      </c>
      <c r="E27" s="87">
        <v>0.30620389990907299</v>
      </c>
      <c r="F27" s="88"/>
      <c r="G27" s="87">
        <v>828269.38224719896</v>
      </c>
      <c r="H27" s="87">
        <v>0.385655361028861</v>
      </c>
      <c r="I27" s="88"/>
      <c r="J27" s="87">
        <v>678873.77953263302</v>
      </c>
      <c r="K27" s="87">
        <v>0.46147696491789197</v>
      </c>
    </row>
    <row r="28" spans="2:11" ht="15" customHeight="1" x14ac:dyDescent="0.25">
      <c r="B28" s="71" t="s">
        <v>21</v>
      </c>
      <c r="C28" s="17"/>
      <c r="D28" s="87">
        <v>643666.87603023497</v>
      </c>
      <c r="E28" s="87">
        <v>0.91199895909028605</v>
      </c>
      <c r="F28" s="88"/>
      <c r="G28" s="87">
        <v>427058.55493593501</v>
      </c>
      <c r="H28" s="87">
        <v>1.1435569827228</v>
      </c>
      <c r="I28" s="88"/>
      <c r="J28" s="87">
        <v>448353.41286169802</v>
      </c>
      <c r="K28" s="87">
        <v>1.2285246230606099</v>
      </c>
    </row>
    <row r="29" spans="2:11" ht="15" customHeight="1" x14ac:dyDescent="0.25">
      <c r="B29" s="71" t="s">
        <v>22</v>
      </c>
      <c r="C29" s="17"/>
      <c r="D29" s="87">
        <v>682864.22208794602</v>
      </c>
      <c r="E29" s="87">
        <v>0.90588630775476897</v>
      </c>
      <c r="F29" s="88"/>
      <c r="G29" s="87">
        <v>432406.01554572902</v>
      </c>
      <c r="H29" s="87">
        <v>1.0890387518983899</v>
      </c>
      <c r="I29" s="88"/>
      <c r="J29" s="87">
        <v>451958.867249995</v>
      </c>
      <c r="K29" s="87">
        <v>1.28901974741722</v>
      </c>
    </row>
    <row r="30" spans="2:11" ht="15" customHeight="1" x14ac:dyDescent="0.25">
      <c r="B30" s="71" t="s">
        <v>23</v>
      </c>
      <c r="C30" s="17"/>
      <c r="D30" s="87">
        <v>1026978.95095341</v>
      </c>
      <c r="E30" s="87">
        <v>0.77234228974679198</v>
      </c>
      <c r="F30" s="88"/>
      <c r="G30" s="87">
        <v>686339.79906846699</v>
      </c>
      <c r="H30" s="87">
        <v>0.98229849540737701</v>
      </c>
      <c r="I30" s="88"/>
      <c r="J30" s="87">
        <v>632094.40893913503</v>
      </c>
      <c r="K30" s="87">
        <v>0.99024964689639705</v>
      </c>
    </row>
    <row r="31" spans="2:11" ht="6.95" customHeight="1" x14ac:dyDescent="0.25">
      <c r="B31" s="4"/>
      <c r="C31" s="4"/>
      <c r="D31" s="56"/>
      <c r="E31" s="4"/>
      <c r="F31" s="4"/>
      <c r="G31" s="56"/>
      <c r="H31" s="4"/>
      <c r="I31" s="4"/>
      <c r="J31" s="56"/>
      <c r="K31" s="4"/>
    </row>
    <row r="32" spans="2:11" ht="6.95" customHeight="1" x14ac:dyDescent="0.25">
      <c r="B32" s="5"/>
      <c r="C32" s="5"/>
      <c r="D32" s="57"/>
      <c r="E32" s="5"/>
      <c r="F32" s="5"/>
      <c r="G32" s="57"/>
      <c r="H32" s="5"/>
      <c r="I32" s="5"/>
      <c r="J32" s="57"/>
      <c r="K32" s="5"/>
    </row>
    <row r="33" spans="2:11" s="18" customFormat="1" ht="12" customHeight="1" x14ac:dyDescent="0.25">
      <c r="B33" s="41" t="s">
        <v>19</v>
      </c>
      <c r="C33" s="41"/>
      <c r="D33" s="58"/>
      <c r="E33" s="19"/>
      <c r="F33" s="19"/>
      <c r="G33" s="58"/>
      <c r="H33" s="19"/>
      <c r="I33" s="19"/>
      <c r="J33" s="58"/>
      <c r="K33" s="19"/>
    </row>
    <row r="34" spans="2:11" ht="12" customHeight="1" x14ac:dyDescent="0.25">
      <c r="B34" s="110" t="s">
        <v>36</v>
      </c>
      <c r="C34" s="110"/>
      <c r="D34" s="110"/>
      <c r="E34" s="110"/>
      <c r="F34" s="110"/>
      <c r="G34"/>
      <c r="J34"/>
    </row>
  </sheetData>
  <mergeCells count="7">
    <mergeCell ref="B34:F3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4B4B027C-08DC-4F67-AB28-2AA11E87BE0A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D8FE-9EE0-4DD6-BE37-9AD7666F007F}">
  <dimension ref="B1:K33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111" t="s">
        <v>47</v>
      </c>
      <c r="C5" s="111"/>
      <c r="D5" s="111"/>
      <c r="E5" s="111"/>
      <c r="F5" s="111"/>
      <c r="G5" s="111"/>
      <c r="H5" s="111"/>
      <c r="K5" s="67" t="s">
        <v>26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53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940724.76979118201</v>
      </c>
      <c r="E11" s="84">
        <v>0</v>
      </c>
      <c r="F11" s="85"/>
      <c r="G11" s="84">
        <v>790274.85617909802</v>
      </c>
      <c r="H11" s="84">
        <v>0</v>
      </c>
      <c r="I11" s="85"/>
      <c r="J11" s="84">
        <v>719306.42915879702</v>
      </c>
      <c r="K11" s="84">
        <v>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30" customHeight="1" x14ac:dyDescent="0.25">
      <c r="B13" s="43" t="s">
        <v>38</v>
      </c>
      <c r="C13" s="11"/>
      <c r="D13" s="84"/>
      <c r="E13" s="84"/>
      <c r="F13" s="85"/>
      <c r="G13" s="84"/>
      <c r="H13" s="84"/>
      <c r="I13" s="85"/>
      <c r="J13" s="84"/>
      <c r="K13" s="84"/>
    </row>
    <row r="14" spans="2:11" ht="15" customHeight="1" x14ac:dyDescent="0.25">
      <c r="B14" s="21" t="s">
        <v>5</v>
      </c>
      <c r="C14" s="21"/>
      <c r="D14" s="87">
        <v>955789.71953311295</v>
      </c>
      <c r="E14" s="87">
        <v>0.37590111666502501</v>
      </c>
      <c r="F14" s="88"/>
      <c r="G14" s="87">
        <v>787784.89439961303</v>
      </c>
      <c r="H14" s="87">
        <v>0.49532340384131002</v>
      </c>
      <c r="I14" s="88"/>
      <c r="J14" s="87">
        <v>719312.30546609696</v>
      </c>
      <c r="K14" s="87">
        <v>0.57973635515187605</v>
      </c>
    </row>
    <row r="15" spans="2:11" ht="15" customHeight="1" x14ac:dyDescent="0.25">
      <c r="B15" s="21" t="s">
        <v>6</v>
      </c>
      <c r="C15" s="21"/>
      <c r="D15" s="87">
        <v>162488.45748948399</v>
      </c>
      <c r="E15" s="87">
        <v>0.18683282861828099</v>
      </c>
      <c r="F15" s="88"/>
      <c r="G15" s="87">
        <v>103936.90656389399</v>
      </c>
      <c r="H15" s="87">
        <v>0.22748762137909501</v>
      </c>
      <c r="I15" s="88"/>
      <c r="J15" s="87">
        <v>116207.816802274</v>
      </c>
      <c r="K15" s="87">
        <v>0.28619046449839802</v>
      </c>
    </row>
    <row r="16" spans="2:11" ht="15" customHeight="1" x14ac:dyDescent="0.25">
      <c r="B16" s="21" t="s">
        <v>7</v>
      </c>
      <c r="C16" s="21"/>
      <c r="D16" s="87">
        <v>282486.20058989001</v>
      </c>
      <c r="E16" s="87">
        <v>0.32582011227845797</v>
      </c>
      <c r="F16" s="88"/>
      <c r="G16" s="87">
        <v>206984.85874885999</v>
      </c>
      <c r="H16" s="87">
        <v>0.435799035610203</v>
      </c>
      <c r="I16" s="88"/>
      <c r="J16" s="87">
        <v>196888.62116907901</v>
      </c>
      <c r="K16" s="87">
        <v>0.48899730087940202</v>
      </c>
    </row>
    <row r="17" spans="2:11" ht="6.95" customHeight="1" x14ac:dyDescent="0.25">
      <c r="B17" s="8"/>
      <c r="C17" s="8"/>
      <c r="D17" s="92"/>
      <c r="E17" s="93"/>
      <c r="F17" s="92"/>
      <c r="G17" s="92"/>
      <c r="H17" s="93"/>
      <c r="I17" s="93"/>
      <c r="J17" s="93"/>
      <c r="K17" s="93"/>
    </row>
    <row r="18" spans="2:11" ht="15" customHeight="1" x14ac:dyDescent="0.25">
      <c r="B18" s="74" t="s">
        <v>3</v>
      </c>
      <c r="C18" s="7"/>
      <c r="D18" s="84">
        <v>1202696.45731675</v>
      </c>
      <c r="E18" s="84">
        <v>0</v>
      </c>
      <c r="F18" s="85"/>
      <c r="G18" s="84">
        <v>732477.33212123101</v>
      </c>
      <c r="H18" s="84">
        <v>0</v>
      </c>
      <c r="I18" s="85"/>
      <c r="J18" s="84">
        <v>655788.85438650905</v>
      </c>
      <c r="K18" s="84">
        <v>0</v>
      </c>
    </row>
    <row r="19" spans="2:11" ht="6.95" customHeight="1" x14ac:dyDescent="0.25">
      <c r="B19" s="7"/>
      <c r="C19" s="7"/>
      <c r="D19" s="84"/>
      <c r="E19" s="84"/>
      <c r="F19" s="85"/>
      <c r="G19" s="84"/>
      <c r="H19" s="84"/>
      <c r="I19" s="86"/>
      <c r="J19" s="84"/>
      <c r="K19" s="84"/>
    </row>
    <row r="20" spans="2:11" ht="30" customHeight="1" x14ac:dyDescent="0.25">
      <c r="B20" s="43" t="s">
        <v>38</v>
      </c>
      <c r="C20" s="11"/>
      <c r="D20" s="84"/>
      <c r="E20" s="84"/>
      <c r="F20" s="85"/>
      <c r="G20" s="84"/>
      <c r="H20" s="84"/>
      <c r="I20" s="85"/>
      <c r="J20" s="84"/>
      <c r="K20" s="84"/>
    </row>
    <row r="21" spans="2:11" ht="15" customHeight="1" x14ac:dyDescent="0.25">
      <c r="B21" s="21" t="s">
        <v>5</v>
      </c>
      <c r="C21" s="21"/>
      <c r="D21" s="87">
        <v>1125059.08972615</v>
      </c>
      <c r="E21" s="87">
        <v>0.79878489662455199</v>
      </c>
      <c r="F21" s="88"/>
      <c r="G21" s="87">
        <v>706529.63977369701</v>
      </c>
      <c r="H21" s="87">
        <v>1.0685040329495099</v>
      </c>
      <c r="I21" s="88"/>
      <c r="J21" s="87">
        <v>619347.67400616105</v>
      </c>
      <c r="K21" s="87">
        <v>1.26013286519882</v>
      </c>
    </row>
    <row r="22" spans="2:11" ht="15" customHeight="1" x14ac:dyDescent="0.25">
      <c r="B22" s="21" t="s">
        <v>6</v>
      </c>
      <c r="C22" s="21"/>
      <c r="D22" s="87">
        <v>108373.18824236099</v>
      </c>
      <c r="E22" s="87">
        <v>0.35674910596519499</v>
      </c>
      <c r="F22" s="88"/>
      <c r="G22" s="87">
        <v>76643.680312550103</v>
      </c>
      <c r="H22" s="87">
        <v>0.481476668272803</v>
      </c>
      <c r="I22" s="88"/>
      <c r="J22" s="87">
        <v>70634.483936896897</v>
      </c>
      <c r="K22" s="87">
        <v>0.50382413501145795</v>
      </c>
    </row>
    <row r="23" spans="2:11" ht="15" customHeight="1" x14ac:dyDescent="0.25">
      <c r="B23" s="21" t="s">
        <v>7</v>
      </c>
      <c r="C23" s="21"/>
      <c r="D23" s="87">
        <v>231528.650727181</v>
      </c>
      <c r="E23" s="87">
        <v>0.72590051395766497</v>
      </c>
      <c r="F23" s="88"/>
      <c r="G23" s="87">
        <v>157252.91626334799</v>
      </c>
      <c r="H23" s="87">
        <v>0.91584955966655301</v>
      </c>
      <c r="I23" s="88"/>
      <c r="J23" s="87">
        <v>158996.27270282601</v>
      </c>
      <c r="K23" s="87">
        <v>1.13274415694567</v>
      </c>
    </row>
    <row r="24" spans="2:11" ht="6.95" customHeight="1" x14ac:dyDescent="0.25">
      <c r="B24" s="8"/>
      <c r="C24" s="8"/>
      <c r="D24" s="92"/>
      <c r="E24" s="93"/>
      <c r="F24" s="92"/>
      <c r="G24" s="92"/>
      <c r="H24" s="93"/>
      <c r="I24" s="93"/>
      <c r="J24" s="93"/>
      <c r="K24" s="93"/>
    </row>
    <row r="25" spans="2:11" ht="15" customHeight="1" x14ac:dyDescent="0.25">
      <c r="B25" s="74" t="s">
        <v>4</v>
      </c>
      <c r="C25" s="7"/>
      <c r="D25" s="84">
        <v>1215345.35573305</v>
      </c>
      <c r="E25" s="84">
        <v>0</v>
      </c>
      <c r="F25" s="85"/>
      <c r="G25" s="84">
        <v>853166.62916364695</v>
      </c>
      <c r="H25" s="84">
        <v>0</v>
      </c>
      <c r="I25" s="85"/>
      <c r="J25" s="84">
        <v>704303.09797417896</v>
      </c>
      <c r="K25" s="84">
        <v>0</v>
      </c>
    </row>
    <row r="26" spans="2:11" ht="6.95" customHeight="1" x14ac:dyDescent="0.25">
      <c r="B26" s="7"/>
      <c r="C26" s="7"/>
      <c r="D26" s="84"/>
      <c r="E26" s="84"/>
      <c r="F26" s="85"/>
      <c r="G26" s="84"/>
      <c r="H26" s="84"/>
      <c r="I26" s="86"/>
      <c r="J26" s="84"/>
      <c r="K26" s="84"/>
    </row>
    <row r="27" spans="2:11" ht="30" customHeight="1" x14ac:dyDescent="0.25">
      <c r="B27" s="43" t="s">
        <v>38</v>
      </c>
      <c r="C27" s="11"/>
      <c r="D27" s="84"/>
      <c r="E27" s="84"/>
      <c r="F27" s="85"/>
      <c r="G27" s="84"/>
      <c r="H27" s="84"/>
      <c r="I27" s="85"/>
      <c r="J27" s="84"/>
      <c r="K27" s="84"/>
    </row>
    <row r="28" spans="2:11" ht="15" customHeight="1" x14ac:dyDescent="0.25">
      <c r="B28" s="21" t="s">
        <v>5</v>
      </c>
      <c r="C28" s="21"/>
      <c r="D28" s="87">
        <v>1176015.57115379</v>
      </c>
      <c r="E28" s="87">
        <v>0.39668298170587302</v>
      </c>
      <c r="F28" s="88"/>
      <c r="G28" s="87">
        <v>828269.38224719896</v>
      </c>
      <c r="H28" s="87">
        <v>0.52552797683550201</v>
      </c>
      <c r="I28" s="88"/>
      <c r="J28" s="87">
        <v>678873.77953263302</v>
      </c>
      <c r="K28" s="87">
        <v>0.578864555058198</v>
      </c>
    </row>
    <row r="29" spans="2:11" ht="15" customHeight="1" x14ac:dyDescent="0.25">
      <c r="B29" s="21" t="s">
        <v>6</v>
      </c>
      <c r="C29" s="21"/>
      <c r="D29" s="87">
        <v>125174.030166547</v>
      </c>
      <c r="E29" s="87">
        <v>0.21943907480153599</v>
      </c>
      <c r="F29" s="88"/>
      <c r="G29" s="87">
        <v>70776.137802544006</v>
      </c>
      <c r="H29" s="87">
        <v>0.236814568052895</v>
      </c>
      <c r="I29" s="88"/>
      <c r="J29" s="87">
        <v>93604.253288037595</v>
      </c>
      <c r="K29" s="87">
        <v>0.34881154589095298</v>
      </c>
    </row>
    <row r="30" spans="2:11" ht="15" customHeight="1" x14ac:dyDescent="0.25">
      <c r="B30" s="21" t="s">
        <v>7</v>
      </c>
      <c r="C30" s="21"/>
      <c r="D30" s="87">
        <v>190447.91116736701</v>
      </c>
      <c r="E30" s="87">
        <v>0.32602219892175399</v>
      </c>
      <c r="F30" s="88"/>
      <c r="G30" s="87">
        <v>146234.912332284</v>
      </c>
      <c r="H30" s="87">
        <v>0.47057204584103801</v>
      </c>
      <c r="I30" s="88"/>
      <c r="J30" s="87">
        <v>123335.413408772</v>
      </c>
      <c r="K30" s="87">
        <v>0.45038139452002002</v>
      </c>
    </row>
    <row r="31" spans="2:11" ht="6.95" customHeight="1" x14ac:dyDescent="0.25">
      <c r="B31" s="9"/>
      <c r="C31" s="9"/>
      <c r="D31" s="54"/>
      <c r="E31" s="23"/>
      <c r="F31" s="23"/>
      <c r="G31" s="54"/>
      <c r="H31" s="23"/>
      <c r="I31" s="23"/>
      <c r="J31" s="54"/>
      <c r="K31" s="23"/>
    </row>
    <row r="32" spans="2:11" ht="6.95" customHeight="1" x14ac:dyDescent="0.25">
      <c r="B32" s="22"/>
      <c r="C32" s="22"/>
      <c r="D32" s="51"/>
      <c r="E32" s="22"/>
      <c r="F32" s="22"/>
      <c r="G32" s="51"/>
      <c r="H32" s="22"/>
      <c r="I32" s="22"/>
      <c r="J32" s="51"/>
      <c r="K32" s="22"/>
    </row>
    <row r="33" spans="2:10" ht="12" customHeight="1" x14ac:dyDescent="0.25">
      <c r="B33" s="110" t="s">
        <v>36</v>
      </c>
      <c r="C33" s="110"/>
      <c r="D33" s="110"/>
      <c r="E33" s="110"/>
      <c r="F33" s="110"/>
      <c r="G33"/>
      <c r="J33"/>
    </row>
  </sheetData>
  <mergeCells count="7">
    <mergeCell ref="B33:F33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F4D109D0-7C76-4A4A-8C65-F92C7D33281E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323A-36F3-4EFF-B092-76478C9684F6}">
  <dimension ref="B1:K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76" t="s">
        <v>48</v>
      </c>
      <c r="C5" s="76"/>
      <c r="D5" s="76"/>
      <c r="E5" s="76"/>
      <c r="F5" s="76"/>
      <c r="G5" s="76"/>
      <c r="K5" s="67" t="s">
        <v>27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54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940724.76979118201</v>
      </c>
      <c r="E11" s="84">
        <v>0</v>
      </c>
      <c r="F11" s="85"/>
      <c r="G11" s="84">
        <v>790274.85617909802</v>
      </c>
      <c r="H11" s="84">
        <v>0</v>
      </c>
      <c r="I11" s="85"/>
      <c r="J11" s="84">
        <v>719306.42915879702</v>
      </c>
      <c r="K11" s="84">
        <v>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43" t="s">
        <v>55</v>
      </c>
      <c r="C13" s="11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24" t="s">
        <v>31</v>
      </c>
      <c r="C14" s="24"/>
      <c r="D14" s="87">
        <v>481750.97671445803</v>
      </c>
      <c r="E14" s="87">
        <v>0.53850076616429998</v>
      </c>
      <c r="F14" s="88"/>
      <c r="G14" s="87">
        <v>338872.449795275</v>
      </c>
      <c r="H14" s="87">
        <v>0.67297315784498202</v>
      </c>
      <c r="I14" s="88"/>
      <c r="J14" s="87">
        <v>347420.26484210498</v>
      </c>
      <c r="K14" s="87">
        <v>0.81227876968719404</v>
      </c>
    </row>
    <row r="15" spans="2:11" ht="15" customHeight="1" x14ac:dyDescent="0.25">
      <c r="B15" s="24" t="s">
        <v>32</v>
      </c>
      <c r="C15" s="24"/>
      <c r="D15" s="87">
        <v>630168.27949246997</v>
      </c>
      <c r="E15" s="87">
        <v>0.66562127986582298</v>
      </c>
      <c r="F15" s="88"/>
      <c r="G15" s="87">
        <v>452314.06330488698</v>
      </c>
      <c r="H15" s="87">
        <v>0.83738923876170301</v>
      </c>
      <c r="I15" s="88"/>
      <c r="J15" s="87">
        <v>494680.25852898299</v>
      </c>
      <c r="K15" s="87">
        <v>0.98407664386871996</v>
      </c>
    </row>
    <row r="16" spans="2:11" ht="15" customHeight="1" x14ac:dyDescent="0.25">
      <c r="B16" s="24" t="s">
        <v>33</v>
      </c>
      <c r="C16" s="24"/>
      <c r="D16" s="87">
        <v>344744.94110265898</v>
      </c>
      <c r="E16" s="87">
        <v>0.38244057115722102</v>
      </c>
      <c r="F16" s="88"/>
      <c r="G16" s="87">
        <v>246923.65329930899</v>
      </c>
      <c r="H16" s="87">
        <v>0.50078649839062395</v>
      </c>
      <c r="I16" s="88"/>
      <c r="J16" s="87">
        <v>212120.08239510501</v>
      </c>
      <c r="K16" s="87">
        <v>0.50909154707370197</v>
      </c>
    </row>
    <row r="17" spans="2:11" ht="15" customHeight="1" x14ac:dyDescent="0.25">
      <c r="B17" s="24" t="s">
        <v>8</v>
      </c>
      <c r="C17" s="24"/>
      <c r="D17" s="87">
        <v>776117.66753275797</v>
      </c>
      <c r="E17" s="87">
        <v>0.73262956885779895</v>
      </c>
      <c r="F17" s="88"/>
      <c r="G17" s="87">
        <v>568245.31129012501</v>
      </c>
      <c r="H17" s="87">
        <v>0.97216690292529695</v>
      </c>
      <c r="I17" s="88"/>
      <c r="J17" s="87">
        <v>452380.51074860198</v>
      </c>
      <c r="K17" s="87">
        <v>0.95164380989170805</v>
      </c>
    </row>
    <row r="18" spans="2:11" ht="6.95" customHeight="1" x14ac:dyDescent="0.25">
      <c r="B18" s="82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1202696.45731675</v>
      </c>
      <c r="E19" s="84">
        <v>0</v>
      </c>
      <c r="F19" s="85"/>
      <c r="G19" s="84">
        <v>732477.33212123101</v>
      </c>
      <c r="H19" s="84">
        <v>0</v>
      </c>
      <c r="I19" s="85"/>
      <c r="J19" s="84">
        <v>655788.85438650905</v>
      </c>
      <c r="K19" s="84">
        <v>0</v>
      </c>
    </row>
    <row r="20" spans="2:11" ht="6.95" customHeight="1" x14ac:dyDescent="0.25">
      <c r="B20" s="74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43" t="s">
        <v>55</v>
      </c>
      <c r="C21" s="11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24" t="s">
        <v>31</v>
      </c>
      <c r="C22" s="24"/>
      <c r="D22" s="87">
        <v>318356.45957179402</v>
      </c>
      <c r="E22" s="87">
        <v>0.88172243792863902</v>
      </c>
      <c r="F22" s="88"/>
      <c r="G22" s="87">
        <v>194556.125106641</v>
      </c>
      <c r="H22" s="87">
        <v>0.99819373604636696</v>
      </c>
      <c r="I22" s="88"/>
      <c r="J22" s="87">
        <v>206036.54971445701</v>
      </c>
      <c r="K22" s="87">
        <v>1.3395939215380599</v>
      </c>
    </row>
    <row r="23" spans="2:11" ht="15" customHeight="1" x14ac:dyDescent="0.25">
      <c r="B23" s="24" t="s">
        <v>32</v>
      </c>
      <c r="C23" s="24"/>
      <c r="D23" s="87">
        <v>455294.25249744201</v>
      </c>
      <c r="E23" s="87">
        <v>1.06921969730066</v>
      </c>
      <c r="F23" s="88"/>
      <c r="G23" s="87">
        <v>278360.11544777401</v>
      </c>
      <c r="H23" s="87">
        <v>1.31966819343314</v>
      </c>
      <c r="I23" s="88"/>
      <c r="J23" s="87">
        <v>327782.92720633699</v>
      </c>
      <c r="K23" s="87">
        <v>1.7900977383801699</v>
      </c>
    </row>
    <row r="24" spans="2:11" ht="15" customHeight="1" x14ac:dyDescent="0.25">
      <c r="B24" s="24" t="s">
        <v>33</v>
      </c>
      <c r="C24" s="24"/>
      <c r="D24" s="87">
        <v>234884.50834502999</v>
      </c>
      <c r="E24" s="87">
        <v>0.67404202999777796</v>
      </c>
      <c r="F24" s="88"/>
      <c r="G24" s="87">
        <v>153098.02390733501</v>
      </c>
      <c r="H24" s="87">
        <v>0.78869530583276803</v>
      </c>
      <c r="I24" s="88"/>
      <c r="J24" s="87">
        <v>130279.292661502</v>
      </c>
      <c r="K24" s="87">
        <v>0.85800574388600104</v>
      </c>
    </row>
    <row r="25" spans="2:11" ht="15" customHeight="1" x14ac:dyDescent="0.25">
      <c r="B25" s="24" t="s">
        <v>8</v>
      </c>
      <c r="C25" s="24"/>
      <c r="D25" s="87">
        <v>703140.56505443598</v>
      </c>
      <c r="E25" s="87">
        <v>1.39494123251793</v>
      </c>
      <c r="F25" s="88"/>
      <c r="G25" s="87">
        <v>458191.55625926203</v>
      </c>
      <c r="H25" s="87">
        <v>1.80414664865551</v>
      </c>
      <c r="I25" s="88"/>
      <c r="J25" s="87">
        <v>368709.59391774598</v>
      </c>
      <c r="K25" s="87">
        <v>1.8528745695130999</v>
      </c>
    </row>
    <row r="26" spans="2:11" ht="6.95" customHeight="1" x14ac:dyDescent="0.25">
      <c r="B26" s="82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83" t="s">
        <v>4</v>
      </c>
      <c r="C27" s="10"/>
      <c r="D27" s="84">
        <v>1215345.35573305</v>
      </c>
      <c r="E27" s="84">
        <v>0</v>
      </c>
      <c r="F27" s="85"/>
      <c r="G27" s="84">
        <v>853166.62916364695</v>
      </c>
      <c r="H27" s="84">
        <v>0</v>
      </c>
      <c r="I27" s="85"/>
      <c r="J27" s="84">
        <v>704303.09797417896</v>
      </c>
      <c r="K27" s="84">
        <v>0</v>
      </c>
    </row>
    <row r="28" spans="2:11" ht="6.95" customHeight="1" x14ac:dyDescent="0.25">
      <c r="B28" s="83"/>
      <c r="C28" s="10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43" t="s">
        <v>55</v>
      </c>
      <c r="C29" s="11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24" t="s">
        <v>31</v>
      </c>
      <c r="C30" s="24"/>
      <c r="D30" s="87">
        <v>449425.65874060697</v>
      </c>
      <c r="E30" s="87">
        <v>0.69716003022398498</v>
      </c>
      <c r="F30" s="88"/>
      <c r="G30" s="87">
        <v>314217.59541616199</v>
      </c>
      <c r="H30" s="87">
        <v>0.88824452416723298</v>
      </c>
      <c r="I30" s="88"/>
      <c r="J30" s="87">
        <v>300929.187747385</v>
      </c>
      <c r="K30" s="87">
        <v>1.0314960114679701</v>
      </c>
    </row>
    <row r="31" spans="2:11" ht="15" customHeight="1" x14ac:dyDescent="0.25">
      <c r="B31" s="24" t="s">
        <v>32</v>
      </c>
      <c r="C31" s="24"/>
      <c r="D31" s="87">
        <v>643666.87603023497</v>
      </c>
      <c r="E31" s="87">
        <v>0.90233849651528197</v>
      </c>
      <c r="F31" s="88"/>
      <c r="G31" s="87">
        <v>427058.55493593501</v>
      </c>
      <c r="H31" s="87">
        <v>1.1269689769832301</v>
      </c>
      <c r="I31" s="88"/>
      <c r="J31" s="87">
        <v>448353.41286169802</v>
      </c>
      <c r="K31" s="87">
        <v>1.2190811320138599</v>
      </c>
    </row>
    <row r="32" spans="2:11" ht="15" customHeight="1" x14ac:dyDescent="0.25">
      <c r="B32" s="24" t="s">
        <v>33</v>
      </c>
      <c r="C32" s="24"/>
      <c r="D32" s="87">
        <v>286443.44401656801</v>
      </c>
      <c r="E32" s="87">
        <v>0.46518581015724098</v>
      </c>
      <c r="F32" s="88"/>
      <c r="G32" s="87">
        <v>212304.44190140101</v>
      </c>
      <c r="H32" s="87">
        <v>0.65772888206650204</v>
      </c>
      <c r="I32" s="88"/>
      <c r="J32" s="87">
        <v>173813.61485503599</v>
      </c>
      <c r="K32" s="87">
        <v>0.61814752122493699</v>
      </c>
    </row>
    <row r="33" spans="2:11" ht="15" customHeight="1" x14ac:dyDescent="0.25">
      <c r="B33" s="24" t="s">
        <v>8</v>
      </c>
      <c r="C33" s="24"/>
      <c r="D33" s="87">
        <v>705850.31074602203</v>
      </c>
      <c r="E33" s="87">
        <v>0.90982509220382002</v>
      </c>
      <c r="F33" s="88"/>
      <c r="G33" s="87">
        <v>505544.821703722</v>
      </c>
      <c r="H33" s="87">
        <v>1.20476419931527</v>
      </c>
      <c r="I33" s="88"/>
      <c r="J33" s="87">
        <v>362749.52305662999</v>
      </c>
      <c r="K33" s="87">
        <v>1.11075668281601</v>
      </c>
    </row>
    <row r="34" spans="2:11" ht="6.95" customHeight="1" x14ac:dyDescent="0.25">
      <c r="B34" s="9"/>
      <c r="C34" s="9"/>
      <c r="D34" s="53"/>
      <c r="E34" s="9"/>
      <c r="F34" s="9"/>
      <c r="G34" s="53"/>
      <c r="H34" s="9"/>
      <c r="I34" s="9"/>
      <c r="J34" s="53"/>
      <c r="K34" s="9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6">
    <mergeCell ref="B36:F36"/>
    <mergeCell ref="B7:B9"/>
    <mergeCell ref="D7:E8"/>
    <mergeCell ref="G7:K7"/>
    <mergeCell ref="G8:H8"/>
    <mergeCell ref="J8:K8"/>
  </mergeCells>
  <hyperlinks>
    <hyperlink ref="K1" location="Índice!A1" tooltip="Ir a ÍNDICE" display="INDICE" xr:uid="{558DEAB3-4506-4189-99FB-C81ED6CEB39D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9B96-01BD-4283-968A-743142D79F09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111" t="s">
        <v>49</v>
      </c>
      <c r="C5" s="111"/>
      <c r="D5" s="111"/>
      <c r="E5" s="111"/>
      <c r="F5" s="111"/>
      <c r="G5" s="111"/>
      <c r="K5" s="67" t="s">
        <v>28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9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940724.76979118201</v>
      </c>
      <c r="E11" s="84">
        <v>0</v>
      </c>
      <c r="F11" s="85"/>
      <c r="G11" s="84">
        <v>790274.85617909802</v>
      </c>
      <c r="H11" s="84">
        <v>0</v>
      </c>
      <c r="I11" s="85"/>
      <c r="J11" s="84">
        <v>719306.42915879702</v>
      </c>
      <c r="K11" s="84">
        <v>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77" t="s">
        <v>61</v>
      </c>
      <c r="C13" s="24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78" t="s">
        <v>39</v>
      </c>
      <c r="C14" s="24"/>
      <c r="D14" s="87">
        <v>678479.32445591304</v>
      </c>
      <c r="E14" s="87">
        <v>0.72975400600782103</v>
      </c>
      <c r="F14" s="88"/>
      <c r="G14" s="87">
        <v>457168.74440103897</v>
      </c>
      <c r="H14" s="87">
        <v>0.83998215118917896</v>
      </c>
      <c r="I14" s="88"/>
      <c r="J14" s="87">
        <v>514568.71079970797</v>
      </c>
      <c r="K14" s="87">
        <v>1.0725283599201101</v>
      </c>
    </row>
    <row r="15" spans="2:11" ht="15" customHeight="1" x14ac:dyDescent="0.25">
      <c r="B15" s="78" t="s">
        <v>40</v>
      </c>
      <c r="C15" s="24"/>
      <c r="D15" s="87">
        <v>655921.101755952</v>
      </c>
      <c r="E15" s="87">
        <v>0.67535456961413198</v>
      </c>
      <c r="F15" s="88"/>
      <c r="G15" s="87">
        <v>489751.06432529102</v>
      </c>
      <c r="H15" s="87">
        <v>0.86621515496635304</v>
      </c>
      <c r="I15" s="88"/>
      <c r="J15" s="87">
        <v>424008.998584599</v>
      </c>
      <c r="K15" s="87">
        <v>0.953632561382037</v>
      </c>
    </row>
    <row r="16" spans="2:11" ht="15" customHeight="1" x14ac:dyDescent="0.25">
      <c r="B16" s="78" t="s">
        <v>41</v>
      </c>
      <c r="C16" s="24"/>
      <c r="D16" s="87">
        <v>439620.22467518598</v>
      </c>
      <c r="E16" s="87">
        <v>0.471671090013151</v>
      </c>
      <c r="F16" s="88"/>
      <c r="G16" s="87">
        <v>281653.12617433601</v>
      </c>
      <c r="H16" s="87">
        <v>0.56592159860672797</v>
      </c>
      <c r="I16" s="88"/>
      <c r="J16" s="87">
        <v>324856.52617416403</v>
      </c>
      <c r="K16" s="87">
        <v>0.73664177814524801</v>
      </c>
    </row>
    <row r="17" spans="2:11" ht="15" customHeight="1" x14ac:dyDescent="0.25">
      <c r="B17" s="78" t="s">
        <v>42</v>
      </c>
      <c r="C17" s="24"/>
      <c r="D17" s="87">
        <v>573054.10609800497</v>
      </c>
      <c r="E17" s="87">
        <v>0.61825594445340804</v>
      </c>
      <c r="F17" s="88"/>
      <c r="G17" s="87">
        <v>416709.71236003499</v>
      </c>
      <c r="H17" s="87">
        <v>0.83023801893250904</v>
      </c>
      <c r="I17" s="88"/>
      <c r="J17" s="87">
        <v>339285.74426093901</v>
      </c>
      <c r="K17" s="87">
        <v>0.79881221686996295</v>
      </c>
    </row>
    <row r="18" spans="2:11" ht="6.95" customHeight="1" x14ac:dyDescent="0.25">
      <c r="B18" s="8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1202696.45731675</v>
      </c>
      <c r="E19" s="84">
        <v>0</v>
      </c>
      <c r="F19" s="85"/>
      <c r="G19" s="84">
        <v>732477.33212123101</v>
      </c>
      <c r="H19" s="84">
        <v>0</v>
      </c>
      <c r="I19" s="85"/>
      <c r="J19" s="84">
        <v>655788.85438650905</v>
      </c>
      <c r="K19" s="84">
        <v>0</v>
      </c>
    </row>
    <row r="20" spans="2:11" ht="6.95" customHeight="1" x14ac:dyDescent="0.25">
      <c r="B20" s="7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77" t="s">
        <v>61</v>
      </c>
      <c r="C21" s="24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78" t="s">
        <v>39</v>
      </c>
      <c r="C22" s="24"/>
      <c r="D22" s="87">
        <v>491692.33991696802</v>
      </c>
      <c r="E22" s="87">
        <v>1.21835296734439</v>
      </c>
      <c r="F22" s="88"/>
      <c r="G22" s="87">
        <v>308628.89697587001</v>
      </c>
      <c r="H22" s="87">
        <v>1.39531479197769</v>
      </c>
      <c r="I22" s="88"/>
      <c r="J22" s="87">
        <v>331484.88164739503</v>
      </c>
      <c r="K22" s="87">
        <v>1.8736643955558701</v>
      </c>
    </row>
    <row r="23" spans="2:11" ht="15" customHeight="1" x14ac:dyDescent="0.25">
      <c r="B23" s="78" t="s">
        <v>40</v>
      </c>
      <c r="C23" s="24"/>
      <c r="D23" s="87">
        <v>497959.50334088597</v>
      </c>
      <c r="E23" s="87">
        <v>1.1783759074301701</v>
      </c>
      <c r="F23" s="88"/>
      <c r="G23" s="87">
        <v>349853.93097094703</v>
      </c>
      <c r="H23" s="87">
        <v>1.5541366109794099</v>
      </c>
      <c r="I23" s="88"/>
      <c r="J23" s="87">
        <v>271009.90352660703</v>
      </c>
      <c r="K23" s="87">
        <v>1.6828077363024301</v>
      </c>
    </row>
    <row r="24" spans="2:11" ht="15" customHeight="1" x14ac:dyDescent="0.25">
      <c r="B24" s="78" t="s">
        <v>41</v>
      </c>
      <c r="C24" s="24"/>
      <c r="D24" s="87">
        <v>346397.794544984</v>
      </c>
      <c r="E24" s="87">
        <v>0.93277359050931097</v>
      </c>
      <c r="F24" s="88"/>
      <c r="G24" s="87">
        <v>184688.44318559201</v>
      </c>
      <c r="H24" s="87">
        <v>0.95439344519401903</v>
      </c>
      <c r="I24" s="88"/>
      <c r="J24" s="87">
        <v>237493.181933482</v>
      </c>
      <c r="K24" s="87">
        <v>1.4247867490316399</v>
      </c>
    </row>
    <row r="25" spans="2:11" ht="15" customHeight="1" x14ac:dyDescent="0.25">
      <c r="B25" s="78" t="s">
        <v>42</v>
      </c>
      <c r="C25" s="24"/>
      <c r="D25" s="87">
        <v>494267.475904333</v>
      </c>
      <c r="E25" s="87">
        <v>1.30691066841916</v>
      </c>
      <c r="F25" s="88"/>
      <c r="G25" s="87">
        <v>320193.96099696599</v>
      </c>
      <c r="H25" s="87">
        <v>1.6662419224857401</v>
      </c>
      <c r="I25" s="88"/>
      <c r="J25" s="87">
        <v>276937.33721006202</v>
      </c>
      <c r="K25" s="87">
        <v>1.6984048053021299</v>
      </c>
    </row>
    <row r="26" spans="2:11" ht="6.95" customHeight="1" x14ac:dyDescent="0.25">
      <c r="B26" s="8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74" t="s">
        <v>4</v>
      </c>
      <c r="C27" s="7"/>
      <c r="D27" s="84">
        <v>1215345.35573305</v>
      </c>
      <c r="E27" s="84">
        <v>0</v>
      </c>
      <c r="F27" s="85"/>
      <c r="G27" s="84">
        <v>853166.62916364695</v>
      </c>
      <c r="H27" s="84">
        <v>0</v>
      </c>
      <c r="I27" s="85"/>
      <c r="J27" s="84">
        <v>704303.09797417896</v>
      </c>
      <c r="K27" s="84">
        <v>0</v>
      </c>
    </row>
    <row r="28" spans="2:11" ht="6.95" customHeight="1" x14ac:dyDescent="0.25">
      <c r="B28" s="7"/>
      <c r="C28" s="7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77" t="s">
        <v>61</v>
      </c>
      <c r="C29" s="24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78" t="s">
        <v>39</v>
      </c>
      <c r="C30" s="24"/>
      <c r="D30" s="87">
        <v>682864.22208794602</v>
      </c>
      <c r="E30" s="87">
        <v>0.88763486335963204</v>
      </c>
      <c r="F30" s="88"/>
      <c r="G30" s="87">
        <v>432406.01554572902</v>
      </c>
      <c r="H30" s="87">
        <v>1.0683644319707</v>
      </c>
      <c r="I30" s="88"/>
      <c r="J30" s="87">
        <v>451958.867249995</v>
      </c>
      <c r="K30" s="87">
        <v>1.2688636126164199</v>
      </c>
    </row>
    <row r="31" spans="2:11" ht="15" customHeight="1" x14ac:dyDescent="0.25">
      <c r="B31" s="78" t="s">
        <v>40</v>
      </c>
      <c r="C31" s="24"/>
      <c r="D31" s="87">
        <v>609006.19792192895</v>
      </c>
      <c r="E31" s="87">
        <v>0.82702465871396003</v>
      </c>
      <c r="F31" s="88"/>
      <c r="G31" s="87">
        <v>429363.34243171301</v>
      </c>
      <c r="H31" s="87">
        <v>1.0518829196478101</v>
      </c>
      <c r="I31" s="88"/>
      <c r="J31" s="87">
        <v>377041.91894305201</v>
      </c>
      <c r="K31" s="87">
        <v>1.1500350287071599</v>
      </c>
    </row>
    <row r="32" spans="2:11" ht="15" customHeight="1" x14ac:dyDescent="0.25">
      <c r="B32" s="78" t="s">
        <v>41</v>
      </c>
      <c r="C32" s="24"/>
      <c r="D32" s="87">
        <v>341789.06451666699</v>
      </c>
      <c r="E32" s="87">
        <v>0.54173684329343197</v>
      </c>
      <c r="F32" s="88"/>
      <c r="G32" s="87">
        <v>234521.723161103</v>
      </c>
      <c r="H32" s="87">
        <v>0.71023351901575604</v>
      </c>
      <c r="I32" s="88"/>
      <c r="J32" s="87">
        <v>250843.542721354</v>
      </c>
      <c r="K32" s="87">
        <v>0.86506373007450599</v>
      </c>
    </row>
    <row r="33" spans="2:11" ht="15" customHeight="1" x14ac:dyDescent="0.25">
      <c r="B33" s="78" t="s">
        <v>42</v>
      </c>
      <c r="C33" s="24"/>
      <c r="D33" s="87">
        <v>430043.23545840901</v>
      </c>
      <c r="E33" s="87">
        <v>0.66260767472480497</v>
      </c>
      <c r="F33" s="88"/>
      <c r="G33" s="87">
        <v>331363.55805500399</v>
      </c>
      <c r="H33" s="87">
        <v>0.94767571663958405</v>
      </c>
      <c r="I33" s="88"/>
      <c r="J33" s="87">
        <v>232228.71694030901</v>
      </c>
      <c r="K33" s="87">
        <v>0.81938448113671603</v>
      </c>
    </row>
    <row r="34" spans="2:11" ht="6.95" customHeight="1" x14ac:dyDescent="0.25">
      <c r="B34" s="9"/>
      <c r="C34" s="9"/>
      <c r="D34" s="53"/>
      <c r="E34" s="9"/>
      <c r="F34" s="9"/>
      <c r="G34" s="53"/>
      <c r="H34" s="9"/>
      <c r="I34" s="9"/>
      <c r="J34" s="53"/>
      <c r="K34" s="9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7">
    <mergeCell ref="B36:F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CCC21214-C220-4D99-A971-E091EB04BAC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25D6-A86D-47FB-9B20-12078B9CCA47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75" t="s">
        <v>12</v>
      </c>
      <c r="C5" s="75"/>
      <c r="D5" s="75"/>
      <c r="E5" s="75"/>
      <c r="F5" s="75"/>
      <c r="G5" s="75"/>
      <c r="K5" s="67" t="s">
        <v>29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56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14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940724.76979118201</v>
      </c>
      <c r="E11" s="84">
        <v>0</v>
      </c>
      <c r="F11" s="85"/>
      <c r="G11" s="84">
        <v>790274.85617909802</v>
      </c>
      <c r="H11" s="84">
        <v>0</v>
      </c>
      <c r="I11" s="85"/>
      <c r="J11" s="84">
        <v>719306.42915879702</v>
      </c>
      <c r="K11" s="84">
        <v>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43" t="s">
        <v>57</v>
      </c>
      <c r="C13" s="11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21" t="s">
        <v>43</v>
      </c>
      <c r="C14" s="11"/>
      <c r="D14" s="87">
        <v>276916.84296062298</v>
      </c>
      <c r="E14" s="87">
        <v>0.30667826186956798</v>
      </c>
      <c r="F14" s="88"/>
      <c r="G14" s="87">
        <v>208997.12024521199</v>
      </c>
      <c r="H14" s="87">
        <v>0.42879478884693201</v>
      </c>
      <c r="I14" s="88"/>
      <c r="J14" s="87">
        <v>183314.939794039</v>
      </c>
      <c r="K14" s="87">
        <v>0.44316644473185202</v>
      </c>
    </row>
    <row r="15" spans="2:11" ht="15" customHeight="1" x14ac:dyDescent="0.25">
      <c r="B15" s="21" t="s">
        <v>44</v>
      </c>
      <c r="C15" s="11"/>
      <c r="D15" s="87">
        <v>401015.59582838701</v>
      </c>
      <c r="E15" s="87">
        <v>0.452022810534772</v>
      </c>
      <c r="F15" s="88"/>
      <c r="G15" s="87">
        <v>303988.95732278097</v>
      </c>
      <c r="H15" s="87">
        <v>0.60566283269897003</v>
      </c>
      <c r="I15" s="88"/>
      <c r="J15" s="87">
        <v>252600.83533612499</v>
      </c>
      <c r="K15" s="87">
        <v>0.60241013122484299</v>
      </c>
    </row>
    <row r="16" spans="2:11" ht="15" customHeight="1" x14ac:dyDescent="0.25">
      <c r="B16" s="21" t="s">
        <v>45</v>
      </c>
      <c r="C16" s="11"/>
      <c r="D16" s="87">
        <v>907195.43180750601</v>
      </c>
      <c r="E16" s="87">
        <v>0.65633221516973095</v>
      </c>
      <c r="F16" s="88"/>
      <c r="G16" s="87">
        <v>684580.01858533896</v>
      </c>
      <c r="H16" s="87">
        <v>0.83458768427446695</v>
      </c>
      <c r="I16" s="88"/>
      <c r="J16" s="87">
        <v>654648.76385785197</v>
      </c>
      <c r="K16" s="87">
        <v>0.84910082974273604</v>
      </c>
    </row>
    <row r="17" spans="2:11" ht="15" customHeight="1" x14ac:dyDescent="0.25">
      <c r="B17" s="21" t="s">
        <v>7</v>
      </c>
      <c r="C17" s="11"/>
      <c r="D17" s="87">
        <v>355747.40697571199</v>
      </c>
      <c r="E17" s="87">
        <v>0.404021365372221</v>
      </c>
      <c r="F17" s="88"/>
      <c r="G17" s="87">
        <v>225358.49797896299</v>
      </c>
      <c r="H17" s="87">
        <v>0.47518174385817302</v>
      </c>
      <c r="I17" s="88"/>
      <c r="J17" s="87">
        <v>208951.84455118101</v>
      </c>
      <c r="K17" s="87">
        <v>0.51003399197158805</v>
      </c>
    </row>
    <row r="18" spans="2:11" ht="6.95" customHeight="1" x14ac:dyDescent="0.25">
      <c r="B18" s="8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1202696.45731675</v>
      </c>
      <c r="E19" s="84">
        <v>0</v>
      </c>
      <c r="F19" s="85"/>
      <c r="G19" s="84">
        <v>732477.33212123101</v>
      </c>
      <c r="H19" s="84">
        <v>0</v>
      </c>
      <c r="I19" s="85"/>
      <c r="J19" s="84">
        <v>655788.85438650905</v>
      </c>
      <c r="K19" s="84">
        <v>0</v>
      </c>
    </row>
    <row r="20" spans="2:11" ht="6.95" customHeight="1" x14ac:dyDescent="0.25">
      <c r="B20" s="7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43" t="s">
        <v>57</v>
      </c>
      <c r="C21" s="11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21" t="s">
        <v>43</v>
      </c>
      <c r="C22" s="11"/>
      <c r="D22" s="87">
        <v>192279.216333886</v>
      </c>
      <c r="E22" s="87">
        <v>0.57305581638414105</v>
      </c>
      <c r="F22" s="88"/>
      <c r="G22" s="87">
        <v>137397.18905006399</v>
      </c>
      <c r="H22" s="87">
        <v>0.76538416910151097</v>
      </c>
      <c r="I22" s="88"/>
      <c r="J22" s="87">
        <v>114564.300577118</v>
      </c>
      <c r="K22" s="87">
        <v>0.78480617944957498</v>
      </c>
    </row>
    <row r="23" spans="2:11" ht="15" customHeight="1" x14ac:dyDescent="0.25">
      <c r="B23" s="21" t="s">
        <v>44</v>
      </c>
      <c r="C23" s="11"/>
      <c r="D23" s="87">
        <v>237432.55615030701</v>
      </c>
      <c r="E23" s="87">
        <v>0.67011585476463897</v>
      </c>
      <c r="F23" s="88"/>
      <c r="G23" s="87">
        <v>184182.84593686301</v>
      </c>
      <c r="H23" s="87">
        <v>0.93889550777583397</v>
      </c>
      <c r="I23" s="88"/>
      <c r="J23" s="87">
        <v>142964.35911877599</v>
      </c>
      <c r="K23" s="87">
        <v>0.94021651798749095</v>
      </c>
    </row>
    <row r="24" spans="2:11" ht="15" customHeight="1" x14ac:dyDescent="0.25">
      <c r="B24" s="21" t="s">
        <v>45</v>
      </c>
      <c r="C24" s="11"/>
      <c r="D24" s="87">
        <v>937038.36807421502</v>
      </c>
      <c r="E24" s="87">
        <v>1.1631284910705</v>
      </c>
      <c r="F24" s="88"/>
      <c r="G24" s="87">
        <v>565464.47480601806</v>
      </c>
      <c r="H24" s="87">
        <v>1.44181986326879</v>
      </c>
      <c r="I24" s="88"/>
      <c r="J24" s="87">
        <v>520280.39621130499</v>
      </c>
      <c r="K24" s="87">
        <v>1.50223804352171</v>
      </c>
    </row>
    <row r="25" spans="2:11" ht="15" customHeight="1" x14ac:dyDescent="0.25">
      <c r="B25" s="21" t="s">
        <v>7</v>
      </c>
      <c r="C25" s="11"/>
      <c r="D25" s="87">
        <v>314080.973841306</v>
      </c>
      <c r="E25" s="87">
        <v>0.97717844646526997</v>
      </c>
      <c r="F25" s="88"/>
      <c r="G25" s="87">
        <v>185233.320723546</v>
      </c>
      <c r="H25" s="87">
        <v>1.0778834914078299</v>
      </c>
      <c r="I25" s="88"/>
      <c r="J25" s="87">
        <v>171101.577036801</v>
      </c>
      <c r="K25" s="87">
        <v>1.1623804776736799</v>
      </c>
    </row>
    <row r="26" spans="2:11" ht="6.95" customHeight="1" x14ac:dyDescent="0.25">
      <c r="B26" s="8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74" t="s">
        <v>4</v>
      </c>
      <c r="C27" s="7"/>
      <c r="D27" s="84">
        <v>1215345.35573305</v>
      </c>
      <c r="E27" s="84">
        <v>0</v>
      </c>
      <c r="F27" s="85"/>
      <c r="G27" s="84">
        <v>853166.62916364695</v>
      </c>
      <c r="H27" s="84">
        <v>0</v>
      </c>
      <c r="I27" s="85"/>
      <c r="J27" s="84">
        <v>704303.09797417896</v>
      </c>
      <c r="K27" s="84">
        <v>0</v>
      </c>
    </row>
    <row r="28" spans="2:11" ht="6.95" customHeight="1" x14ac:dyDescent="0.25">
      <c r="B28" s="7"/>
      <c r="C28" s="7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43" t="s">
        <v>57</v>
      </c>
      <c r="C29" s="11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21" t="s">
        <v>43</v>
      </c>
      <c r="C30" s="11"/>
      <c r="D30" s="87">
        <v>228556.65969144501</v>
      </c>
      <c r="E30" s="87">
        <v>0.37169494928846297</v>
      </c>
      <c r="F30" s="88"/>
      <c r="G30" s="87">
        <v>169607.97063192399</v>
      </c>
      <c r="H30" s="87">
        <v>0.51500492062094605</v>
      </c>
      <c r="I30" s="88"/>
      <c r="J30" s="87">
        <v>146564.711512401</v>
      </c>
      <c r="K30" s="87">
        <v>0.53688229247147501</v>
      </c>
    </row>
    <row r="31" spans="2:11" ht="15" customHeight="1" x14ac:dyDescent="0.25">
      <c r="B31" s="21" t="s">
        <v>44</v>
      </c>
      <c r="C31" s="11"/>
      <c r="D31" s="87">
        <v>363663.70847730199</v>
      </c>
      <c r="E31" s="87">
        <v>0.58674222715825197</v>
      </c>
      <c r="F31" s="88"/>
      <c r="G31" s="87">
        <v>266430.77370859199</v>
      </c>
      <c r="H31" s="87">
        <v>0.78031411829506003</v>
      </c>
      <c r="I31" s="88"/>
      <c r="J31" s="87">
        <v>213688.14847596901</v>
      </c>
      <c r="K31" s="87">
        <v>0.75762334239499696</v>
      </c>
    </row>
    <row r="32" spans="2:11" ht="15" customHeight="1" x14ac:dyDescent="0.25">
      <c r="B32" s="21" t="s">
        <v>45</v>
      </c>
      <c r="C32" s="11"/>
      <c r="D32" s="87">
        <v>1026978.95095341</v>
      </c>
      <c r="E32" s="87">
        <v>0.77725049873777496</v>
      </c>
      <c r="F32" s="88"/>
      <c r="G32" s="87">
        <v>686339.79906846699</v>
      </c>
      <c r="H32" s="87">
        <v>0.99369785315742398</v>
      </c>
      <c r="I32" s="88"/>
      <c r="J32" s="87">
        <v>632094.40893913503</v>
      </c>
      <c r="K32" s="87">
        <v>1.0083881286693499</v>
      </c>
    </row>
    <row r="33" spans="2:11" ht="15" customHeight="1" x14ac:dyDescent="0.25">
      <c r="B33" s="21" t="s">
        <v>7</v>
      </c>
      <c r="C33" s="11"/>
      <c r="D33" s="87">
        <v>187435.69224970401</v>
      </c>
      <c r="E33" s="87">
        <v>0.32024854830799099</v>
      </c>
      <c r="F33" s="88"/>
      <c r="G33" s="87">
        <v>139464.508720935</v>
      </c>
      <c r="H33" s="87">
        <v>0.45026112272360402</v>
      </c>
      <c r="I33" s="88"/>
      <c r="J33" s="87">
        <v>124352.79259465499</v>
      </c>
      <c r="K33" s="87">
        <v>0.456596141447489</v>
      </c>
    </row>
    <row r="34" spans="2:11" ht="6.95" customHeight="1" x14ac:dyDescent="0.25">
      <c r="B34" s="9"/>
      <c r="C34" s="9"/>
      <c r="D34" s="50"/>
      <c r="E34" s="44"/>
      <c r="F34" s="44"/>
      <c r="G34" s="50"/>
      <c r="H34" s="44"/>
      <c r="I34" s="44"/>
      <c r="J34" s="50"/>
      <c r="K34" s="44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6">
    <mergeCell ref="B36:F36"/>
    <mergeCell ref="J8:K8"/>
    <mergeCell ref="G8:H8"/>
    <mergeCell ref="G7:K7"/>
    <mergeCell ref="D7:E8"/>
    <mergeCell ref="B7:B9"/>
  </mergeCells>
  <hyperlinks>
    <hyperlink ref="K1" location="Índice!A1" tooltip="Ir a ÍNDICE" display="INDICE" xr:uid="{0D18888E-CCC4-4062-901E-3AD8CECC901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</vt:lpstr>
      <vt:lpstr>Cuadro 12.1</vt:lpstr>
      <vt:lpstr>Cuadro 12.2</vt:lpstr>
      <vt:lpstr>Cuadro 12.3</vt:lpstr>
      <vt:lpstr>Cuadro 12.4</vt:lpstr>
      <vt:lpstr>Cuadro 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2021-07-05T19:41:02Z</dcterms:created>
  <dcterms:modified xsi:type="dcterms:W3CDTF">2025-03-11T17:46:50Z</dcterms:modified>
</cp:coreProperties>
</file>