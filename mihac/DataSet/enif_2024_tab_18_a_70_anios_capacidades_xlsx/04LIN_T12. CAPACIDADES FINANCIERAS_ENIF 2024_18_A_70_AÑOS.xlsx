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12\"/>
    </mc:Choice>
  </mc:AlternateContent>
  <xr:revisionPtr revIDLastSave="0" documentId="13_ncr:1_{A26DF0D1-A2AF-4AD9-A216-BC5DDC2F1F7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ÍNDICE" sheetId="11" r:id="rId1"/>
    <sheet name="Cuadro 12.1" sheetId="15" r:id="rId2"/>
    <sheet name="Cuadro 12.2" sheetId="14" r:id="rId3"/>
    <sheet name="Cuadro 12.3" sheetId="13" r:id="rId4"/>
    <sheet name="Cuadro 12.4" sheetId="12" r:id="rId5"/>
    <sheet name="Cuadro 12.5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1" l="1"/>
</calcChain>
</file>

<file path=xl/sharedStrings.xml><?xml version="1.0" encoding="utf-8"?>
<sst xmlns="http://schemas.openxmlformats.org/spreadsheetml/2006/main" count="190" uniqueCount="62">
  <si>
    <t>Mujeres</t>
  </si>
  <si>
    <t>Hombres</t>
  </si>
  <si>
    <t xml:space="preserve">Estados Unidos Mexicanos </t>
  </si>
  <si>
    <t>1 a 14 999 habitantes</t>
  </si>
  <si>
    <t xml:space="preserve">15 000 y más habitantes </t>
  </si>
  <si>
    <t>Nada</t>
  </si>
  <si>
    <t>Otro valor</t>
  </si>
  <si>
    <t>No sabe</t>
  </si>
  <si>
    <t xml:space="preserve">     No responde o No sabe </t>
  </si>
  <si>
    <t>Tamaño de localidad y conocimiento del interés compuesto</t>
  </si>
  <si>
    <t>Absolutos</t>
  </si>
  <si>
    <t>Relativos</t>
  </si>
  <si>
    <t xml:space="preserve">Población de 18 a 70 años por tamaño de localidad y conocimiento del significado de inflación, según sexo  </t>
  </si>
  <si>
    <t>TABULADOS BÁSICOS</t>
  </si>
  <si>
    <t>Nivel de confianza del 90%</t>
  </si>
  <si>
    <t>Tema</t>
  </si>
  <si>
    <t>ID Cuadro</t>
  </si>
  <si>
    <t>Título</t>
  </si>
  <si>
    <t>ÍNDICE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</si>
  <si>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por tipo de interés e inflación puede ser mayor al total porque una persona pudo haber respondido correctamente en más de una.</t>
    </r>
  </si>
  <si>
    <t>Interés simple sin cálculo</t>
  </si>
  <si>
    <t>Interés simple con cálculo</t>
  </si>
  <si>
    <t>Interés compuesto</t>
  </si>
  <si>
    <t>Inflación</t>
  </si>
  <si>
    <r>
      <t xml:space="preserve">Tema 12. 
</t>
    </r>
    <r>
      <rPr>
        <sz val="11"/>
        <color theme="10"/>
        <rFont val="Arial"/>
        <family val="2"/>
      </rPr>
      <t>Capacidades financieras</t>
    </r>
  </si>
  <si>
    <t>Cuadro 12.1</t>
  </si>
  <si>
    <t>Cuadro 12.2</t>
  </si>
  <si>
    <t>Cuadro 12.3</t>
  </si>
  <si>
    <t>Cuadro 12.4</t>
  </si>
  <si>
    <t>Cuadro 12.5</t>
  </si>
  <si>
    <t>Encuesta Nacional de Inclusión Financiera (ENIF) 2024</t>
  </si>
  <si>
    <t xml:space="preserve">     Más de 102 pesos</t>
  </si>
  <si>
    <t xml:space="preserve">     Exactamente 102 pesos</t>
  </si>
  <si>
    <t xml:space="preserve">     Menos de 102 pesos</t>
  </si>
  <si>
    <t>Sexo</t>
  </si>
  <si>
    <t>Población de 18 a 70 años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</si>
  <si>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</si>
  <si>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 xml:space="preserve">Tamaño de localidad, tipo de interés 
y significado de inflación </t>
  </si>
  <si>
    <t>Si usted le presta 25 pesos a un amigo y a la siguiente semana 
le regresa los 25 pesos ¿cuánto le pagó de interés?</t>
  </si>
  <si>
    <t>más de 110 pesos</t>
  </si>
  <si>
    <t>exactamente 110 pesos</t>
  </si>
  <si>
    <t>menos de 110 pesos</t>
  </si>
  <si>
    <t xml:space="preserve">No responde o No sabe </t>
  </si>
  <si>
    <t xml:space="preserve">más de lo que puede comprar hoy </t>
  </si>
  <si>
    <t>lo mismo</t>
  </si>
  <si>
    <t xml:space="preserve">menos de lo que puede comprar hoy </t>
  </si>
  <si>
    <t>Población de 18 a 70 años que contestó correctamente la pregunta de interés simple, con y sin cálculo, interés compuesto o significado de inflación, por tamaño de localidad según sexo</t>
  </si>
  <si>
    <t xml:space="preserve">Población de 18 a 70 años por tamaño de localidad y conocimiento de interés simple sin cálculo según sexo  </t>
  </si>
  <si>
    <t xml:space="preserve">Población de 18 a 70 años por tamaño de localidad y conocimiento de interés simple con cálculo según sexo  </t>
  </si>
  <si>
    <t xml:space="preserve">Población de 18 a 70 años por tamaño de localidad y conocimiento de interés compuesto según sexo  </t>
  </si>
  <si>
    <t xml:space="preserve">Población de 18 a 70 años por tamaño de localidad y conocimiento del significado de inflación según sexo  </t>
  </si>
  <si>
    <r>
      <t>Población de 18 a 70 años que contestó correctamente la pregunta de interés simple</t>
    </r>
    <r>
      <rPr>
        <b/>
        <vertAlign val="superscript"/>
        <sz val="8"/>
        <rFont val="Arial"/>
        <family val="2"/>
      </rPr>
      <t>1</t>
    </r>
  </si>
  <si>
    <t xml:space="preserve">Población de 18 a 70 años que contestó correctamente la pregunta de interés simple, con y sin cálculo, interés compuesto 
o significado de inflación, por tamaño de localidad, tipo de interés y significado de la inflación según sexo  </t>
  </si>
  <si>
    <t xml:space="preserve">Tamaño de localidad y conocimiento
del interés simple sin cálculo </t>
  </si>
  <si>
    <t xml:space="preserve">Tamaño de localidad y conocimiento
del interés simple con cálculo </t>
  </si>
  <si>
    <t>Supongamos que deposita 100 pesos en una cuenta de ahorro que le da una ganancia del 2% al año. Si no realiza depósitos ni retiros, incluyendo los intereses, ¿cuánto tendrá al final del año?</t>
  </si>
  <si>
    <t>Tamaño de localidad y conocimiento
del significado de inflación</t>
  </si>
  <si>
    <t>Si le regalan $1 000 pesos, pero tiene que esperar un año para gastarlo y en ese año la inflación es de 5%, ¿usted podría comprar...</t>
  </si>
  <si>
    <t>Límite inferior.</t>
  </si>
  <si>
    <t>Marzo 2025</t>
  </si>
  <si>
    <t>INEGI. Encuesta Nacional de Inclusión Financiera (ENIF) 2024. Tabulados básicos.</t>
  </si>
  <si>
    <t>Si deposita 100 pesos en una cuenta de ahorro que le da una ganancia del 2% al año y no hace depósitos ni retiros, considerando que los intereses se reinvierten, ¿usted tendrá al final de cinco años...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</si>
</sst>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_-;\-* #,##0_-;_-* &quot;-&quot;??_-;_-@_-"/>
    <numFmt numFmtId="166" formatCode="###\ ###\ ##0.0"/>
    <numFmt numFmtId="167" formatCode="###,###,###,##0"/>
    <numFmt numFmtId="168" formatCode="#,##0.000"/>
    <numFmt numFmtId="169" formatCode="###,###,###,###,##0.0;[Red]\-###,###,###,###,##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color rgb="FF003399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sz val="11"/>
      <color rgb="FF000080"/>
      <name val="Arial"/>
      <family val="2"/>
    </font>
    <font>
      <i/>
      <sz val="12"/>
      <color rgb="FF00008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1"/>
      <color indexed="8"/>
      <name val="Calibri"/>
      <family val="2"/>
      <scheme val="minor"/>
    </font>
    <font>
      <sz val="10"/>
      <color rgb="FF00008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u/>
      <sz val="11"/>
      <color theme="10"/>
      <name val="Arial"/>
      <family val="2"/>
    </font>
    <font>
      <sz val="8"/>
      <color rgb="FF000000"/>
      <name val="Arial"/>
      <family val="2"/>
    </font>
    <font>
      <u/>
      <sz val="9"/>
      <color rgb="FF003399"/>
      <name val="Arial"/>
      <family val="2"/>
    </font>
    <font>
      <vertAlign val="superscript"/>
      <sz val="8"/>
      <name val="Arial"/>
      <family val="2"/>
    </font>
    <font>
      <b/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1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/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337AB7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8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9" fillId="0" borderId="0"/>
    <xf numFmtId="0" fontId="3" fillId="0" borderId="0" applyNumberForma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</cellStyleXfs>
  <cellXfs count="125">
    <xf numFmtId="0" fontId="0" fillId="0" borderId="0" xfId="0"/>
    <xf numFmtId="0" fontId="5" fillId="2" borderId="0" xfId="1" applyFont="1" applyFill="1" applyAlignment="1">
      <alignment horizontal="left"/>
    </xf>
    <xf numFmtId="0" fontId="5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 wrapText="1" indent="1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5" fillId="2" borderId="0" xfId="5" applyFont="1" applyFill="1" applyAlignment="1">
      <alignment horizontal="left"/>
    </xf>
    <xf numFmtId="0" fontId="5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wrapText="1" indent="1"/>
    </xf>
    <xf numFmtId="0" fontId="2" fillId="2" borderId="2" xfId="5" applyFont="1" applyFill="1" applyBorder="1" applyAlignment="1">
      <alignment horizontal="left"/>
    </xf>
    <xf numFmtId="0" fontId="8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 wrapText="1" indent="1"/>
    </xf>
    <xf numFmtId="165" fontId="5" fillId="2" borderId="0" xfId="8" applyNumberFormat="1" applyFont="1" applyFill="1" applyBorder="1" applyAlignment="1">
      <alignment horizontal="left" vertical="center"/>
    </xf>
    <xf numFmtId="165" fontId="5" fillId="2" borderId="0" xfId="8" applyNumberFormat="1" applyFont="1" applyFill="1" applyBorder="1" applyAlignment="1">
      <alignment horizontal="left"/>
    </xf>
    <xf numFmtId="0" fontId="5" fillId="2" borderId="1" xfId="6" applyFont="1" applyFill="1" applyBorder="1" applyAlignment="1">
      <alignment horizontal="right" vertical="center" wrapText="1"/>
    </xf>
    <xf numFmtId="0" fontId="5" fillId="2" borderId="2" xfId="6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right" vertical="center"/>
    </xf>
    <xf numFmtId="0" fontId="2" fillId="2" borderId="0" xfId="1" applyFont="1" applyFill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166" fontId="8" fillId="0" borderId="0" xfId="0" applyNumberFormat="1" applyFont="1" applyAlignment="1">
      <alignment horizontal="right" vertical="center" wrapText="1"/>
    </xf>
    <xf numFmtId="0" fontId="2" fillId="2" borderId="0" xfId="5" applyFont="1" applyFill="1" applyAlignment="1">
      <alignment horizontal="left" vertical="center" wrapText="1" indent="3"/>
    </xf>
    <xf numFmtId="0" fontId="2" fillId="2" borderId="0" xfId="5" applyFont="1" applyFill="1" applyAlignment="1">
      <alignment horizontal="left"/>
    </xf>
    <xf numFmtId="166" fontId="12" fillId="0" borderId="2" xfId="0" applyNumberFormat="1" applyFont="1" applyBorder="1" applyAlignment="1">
      <alignment horizontal="right" vertical="center" wrapText="1"/>
    </xf>
    <xf numFmtId="0" fontId="2" fillId="2" borderId="0" xfId="0" applyFont="1" applyFill="1" applyAlignment="1">
      <alignment horizontal="left" vertical="center" wrapText="1" indent="1"/>
    </xf>
    <xf numFmtId="0" fontId="13" fillId="0" borderId="0" xfId="9" applyFont="1"/>
    <xf numFmtId="0" fontId="17" fillId="0" borderId="0" xfId="9" applyFont="1" applyAlignment="1">
      <alignment horizontal="center" vertical="center"/>
    </xf>
    <xf numFmtId="0" fontId="17" fillId="0" borderId="0" xfId="9" applyFont="1" applyAlignment="1">
      <alignment vertical="center"/>
    </xf>
    <xf numFmtId="0" fontId="18" fillId="0" borderId="0" xfId="9" applyFont="1" applyAlignment="1">
      <alignment vertical="center"/>
    </xf>
    <xf numFmtId="0" fontId="11" fillId="0" borderId="0" xfId="9" applyFont="1"/>
    <xf numFmtId="0" fontId="21" fillId="0" borderId="0" xfId="9" applyFont="1"/>
    <xf numFmtId="17" fontId="20" fillId="0" borderId="0" xfId="9" quotePrefix="1" applyNumberFormat="1" applyFont="1"/>
    <xf numFmtId="17" fontId="14" fillId="0" borderId="0" xfId="9" quotePrefix="1" applyNumberFormat="1" applyFont="1"/>
    <xf numFmtId="0" fontId="18" fillId="5" borderId="5" xfId="9" applyFont="1" applyFill="1" applyBorder="1" applyAlignment="1">
      <alignment horizontal="center" vertical="center"/>
    </xf>
    <xf numFmtId="0" fontId="18" fillId="5" borderId="6" xfId="9" applyFont="1" applyFill="1" applyBorder="1" applyAlignment="1">
      <alignment horizontal="center" vertical="center"/>
    </xf>
    <xf numFmtId="0" fontId="24" fillId="0" borderId="9" xfId="2" applyFont="1" applyBorder="1" applyAlignment="1" applyProtection="1">
      <alignment horizontal="center" vertical="center"/>
    </xf>
    <xf numFmtId="0" fontId="24" fillId="0" borderId="14" xfId="2" applyFont="1" applyBorder="1" applyAlignment="1" applyProtection="1">
      <alignment horizontal="center" vertical="center"/>
    </xf>
    <xf numFmtId="0" fontId="24" fillId="0" borderId="15" xfId="2" applyFont="1" applyBorder="1" applyAlignment="1" applyProtection="1">
      <alignment horizontal="center" vertical="center"/>
    </xf>
    <xf numFmtId="0" fontId="24" fillId="0" borderId="17" xfId="2" applyFont="1" applyBorder="1" applyAlignment="1" applyProtection="1">
      <alignment horizontal="center" vertical="center"/>
    </xf>
    <xf numFmtId="0" fontId="25" fillId="0" borderId="0" xfId="9" applyFont="1"/>
    <xf numFmtId="0" fontId="25" fillId="0" borderId="0" xfId="9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2" xfId="1" applyFont="1" applyFill="1" applyBorder="1" applyAlignment="1">
      <alignment horizontal="left" vertical="center" wrapText="1"/>
    </xf>
    <xf numFmtId="0" fontId="2" fillId="2" borderId="0" xfId="5" applyFont="1" applyFill="1" applyAlignment="1">
      <alignment horizontal="left" vertical="center" wrapText="1" indent="2"/>
    </xf>
    <xf numFmtId="0" fontId="2" fillId="0" borderId="2" xfId="5" applyFont="1" applyBorder="1" applyAlignment="1">
      <alignment horizontal="left"/>
    </xf>
    <xf numFmtId="0" fontId="5" fillId="3" borderId="4" xfId="0" applyFont="1" applyFill="1" applyBorder="1" applyAlignment="1">
      <alignment horizontal="right" vertical="center"/>
    </xf>
    <xf numFmtId="0" fontId="5" fillId="2" borderId="2" xfId="5" applyFont="1" applyFill="1" applyBorder="1" applyAlignment="1">
      <alignment horizontal="left" vertical="center" wrapText="1"/>
    </xf>
    <xf numFmtId="167" fontId="0" fillId="0" borderId="0" xfId="0" applyNumberFormat="1"/>
    <xf numFmtId="167" fontId="5" fillId="3" borderId="4" xfId="0" applyNumberFormat="1" applyFont="1" applyFill="1" applyBorder="1" applyAlignment="1">
      <alignment horizontal="right" vertical="center"/>
    </xf>
    <xf numFmtId="167" fontId="5" fillId="2" borderId="0" xfId="5" applyNumberFormat="1" applyFont="1" applyFill="1" applyAlignment="1">
      <alignment horizontal="left"/>
    </xf>
    <xf numFmtId="167" fontId="2" fillId="0" borderId="2" xfId="5" applyNumberFormat="1" applyFont="1" applyBorder="1" applyAlignment="1">
      <alignment horizontal="left"/>
    </xf>
    <xf numFmtId="167" fontId="2" fillId="2" borderId="0" xfId="5" applyNumberFormat="1" applyFont="1" applyFill="1" applyAlignment="1">
      <alignment horizontal="left"/>
    </xf>
    <xf numFmtId="167" fontId="5" fillId="3" borderId="2" xfId="0" applyNumberFormat="1" applyFont="1" applyFill="1" applyBorder="1" applyAlignment="1">
      <alignment horizontal="right" vertical="center"/>
    </xf>
    <xf numFmtId="167" fontId="2" fillId="2" borderId="2" xfId="5" applyNumberFormat="1" applyFont="1" applyFill="1" applyBorder="1" applyAlignment="1">
      <alignment horizontal="left"/>
    </xf>
    <xf numFmtId="167" fontId="12" fillId="0" borderId="2" xfId="0" applyNumberFormat="1" applyFont="1" applyBorder="1" applyAlignment="1">
      <alignment horizontal="right" vertical="center" wrapText="1"/>
    </xf>
    <xf numFmtId="167" fontId="5" fillId="2" borderId="0" xfId="1" applyNumberFormat="1" applyFont="1" applyFill="1" applyAlignment="1">
      <alignment horizontal="left"/>
    </xf>
    <xf numFmtId="167" fontId="2" fillId="2" borderId="2" xfId="1" applyNumberFormat="1" applyFont="1" applyFill="1" applyBorder="1" applyAlignment="1">
      <alignment horizontal="left"/>
    </xf>
    <xf numFmtId="167" fontId="2" fillId="2" borderId="0" xfId="1" applyNumberFormat="1" applyFont="1" applyFill="1" applyAlignment="1">
      <alignment horizontal="left"/>
    </xf>
    <xf numFmtId="167" fontId="2" fillId="2" borderId="0" xfId="1" applyNumberFormat="1" applyFont="1" applyFill="1" applyAlignment="1">
      <alignment horizontal="left" vertical="center"/>
    </xf>
    <xf numFmtId="0" fontId="16" fillId="0" borderId="0" xfId="9" applyFont="1" applyAlignment="1">
      <alignment horizontal="center" vertical="center"/>
    </xf>
    <xf numFmtId="0" fontId="10" fillId="0" borderId="0" xfId="0" applyFont="1"/>
    <xf numFmtId="168" fontId="10" fillId="0" borderId="0" xfId="0" applyNumberFormat="1" applyFont="1" applyAlignment="1">
      <alignment horizontal="left" vertical="center"/>
    </xf>
    <xf numFmtId="0" fontId="26" fillId="0" borderId="0" xfId="2" applyFont="1" applyFill="1" applyAlignment="1">
      <alignment horizontal="right" vertical="center"/>
    </xf>
    <xf numFmtId="0" fontId="30" fillId="0" borderId="0" xfId="0" applyFont="1"/>
    <xf numFmtId="168" fontId="10" fillId="0" borderId="0" xfId="0" applyNumberFormat="1" applyFont="1" applyAlignment="1">
      <alignment vertical="top"/>
    </xf>
    <xf numFmtId="0" fontId="11" fillId="0" borderId="0" xfId="0" applyFont="1"/>
    <xf numFmtId="0" fontId="30" fillId="0" borderId="0" xfId="0" applyFont="1" applyAlignment="1">
      <alignment vertical="top"/>
    </xf>
    <xf numFmtId="0" fontId="11" fillId="0" borderId="0" xfId="0" applyFont="1" applyAlignment="1">
      <alignment horizontal="right"/>
    </xf>
    <xf numFmtId="0" fontId="30" fillId="0" borderId="1" xfId="0" applyFont="1" applyBorder="1" applyAlignment="1">
      <alignment vertical="top"/>
    </xf>
    <xf numFmtId="0" fontId="11" fillId="0" borderId="1" xfId="0" applyFont="1" applyBorder="1"/>
    <xf numFmtId="0" fontId="5" fillId="2" borderId="0" xfId="1" applyFont="1" applyFill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 indent="2"/>
    </xf>
    <xf numFmtId="165" fontId="5" fillId="2" borderId="0" xfId="8" applyNumberFormat="1" applyFont="1" applyFill="1" applyBorder="1" applyAlignment="1">
      <alignment horizontal="left" vertical="center" indent="1"/>
    </xf>
    <xf numFmtId="0" fontId="5" fillId="2" borderId="0" xfId="6" applyFont="1" applyFill="1" applyAlignment="1">
      <alignment horizontal="right" vertical="center" wrapText="1"/>
    </xf>
    <xf numFmtId="0" fontId="5" fillId="2" borderId="0" xfId="5" applyFont="1" applyFill="1" applyAlignment="1">
      <alignment horizontal="left" vertical="center" indent="1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3"/>
    </xf>
    <xf numFmtId="0" fontId="1" fillId="0" borderId="0" xfId="17"/>
    <xf numFmtId="0" fontId="20" fillId="0" borderId="0" xfId="17" applyFont="1"/>
    <xf numFmtId="0" fontId="13" fillId="0" borderId="0" xfId="17" applyFont="1"/>
    <xf numFmtId="0" fontId="2" fillId="2" borderId="0" xfId="5" applyFont="1" applyFill="1" applyAlignment="1">
      <alignment horizontal="left" wrapText="1" indent="2"/>
    </xf>
    <xf numFmtId="0" fontId="8" fillId="2" borderId="0" xfId="5" applyFont="1" applyFill="1" applyAlignment="1">
      <alignment horizontal="left" vertical="center" indent="1"/>
    </xf>
    <xf numFmtId="169" fontId="28" fillId="6" borderId="0" xfId="2" applyNumberFormat="1" applyFont="1" applyFill="1" applyAlignment="1">
      <alignment horizontal="right" vertical="center" readingOrder="1"/>
    </xf>
    <xf numFmtId="169" fontId="8" fillId="0" borderId="0" xfId="0" applyNumberFormat="1" applyFont="1" applyAlignment="1">
      <alignment horizontal="right" vertical="center" wrapText="1"/>
    </xf>
    <xf numFmtId="169" fontId="0" fillId="0" borderId="0" xfId="0" applyNumberFormat="1"/>
    <xf numFmtId="169" fontId="25" fillId="6" borderId="0" xfId="2" applyNumberFormat="1" applyFont="1" applyFill="1" applyAlignment="1">
      <alignment horizontal="right" vertical="center" readingOrder="1"/>
    </xf>
    <xf numFmtId="169" fontId="12" fillId="0" borderId="0" xfId="0" applyNumberFormat="1" applyFont="1" applyAlignment="1">
      <alignment horizontal="right" vertical="center" wrapText="1"/>
    </xf>
    <xf numFmtId="169" fontId="5" fillId="0" borderId="0" xfId="1" applyNumberFormat="1" applyFont="1"/>
    <xf numFmtId="169" fontId="6" fillId="2" borderId="3" xfId="1" applyNumberFormat="1" applyFont="1" applyFill="1" applyBorder="1" applyAlignment="1" applyProtection="1">
      <alignment horizontal="right" vertical="center" wrapText="1" readingOrder="1"/>
      <protection locked="0"/>
    </xf>
    <xf numFmtId="169" fontId="7" fillId="0" borderId="3" xfId="1" applyNumberFormat="1" applyFont="1" applyBorder="1" applyAlignment="1" applyProtection="1">
      <alignment horizontal="right" vertical="center" wrapText="1" readingOrder="1"/>
      <protection locked="0"/>
    </xf>
    <xf numFmtId="169" fontId="5" fillId="0" borderId="0" xfId="5" applyNumberFormat="1" applyFont="1"/>
    <xf numFmtId="169" fontId="2" fillId="0" borderId="0" xfId="5" applyNumberFormat="1" applyFont="1"/>
    <xf numFmtId="0" fontId="22" fillId="0" borderId="8" xfId="11" applyFont="1" applyFill="1" applyBorder="1" applyAlignment="1">
      <alignment horizontal="center" vertical="center" wrapText="1"/>
    </xf>
    <xf numFmtId="0" fontId="22" fillId="0" borderId="13" xfId="11" applyFont="1" applyFill="1" applyBorder="1" applyAlignment="1">
      <alignment horizontal="center" vertical="center" wrapText="1"/>
    </xf>
    <xf numFmtId="0" fontId="22" fillId="0" borderId="16" xfId="11" applyFont="1" applyFill="1" applyBorder="1" applyAlignment="1">
      <alignment horizontal="left" vertical="center" wrapText="1" readingOrder="1"/>
    </xf>
    <xf numFmtId="0" fontId="13" fillId="0" borderId="10" xfId="9" applyFont="1" applyBorder="1" applyAlignment="1">
      <alignment horizontal="left" vertical="center" wrapText="1" indent="1"/>
    </xf>
    <xf numFmtId="0" fontId="13" fillId="0" borderId="11" xfId="9" applyFont="1" applyBorder="1" applyAlignment="1">
      <alignment horizontal="left" vertical="center" wrapText="1" indent="1"/>
    </xf>
    <xf numFmtId="0" fontId="13" fillId="0" borderId="12" xfId="9" applyFont="1" applyBorder="1" applyAlignment="1">
      <alignment horizontal="left" vertical="center" wrapText="1" indent="1"/>
    </xf>
    <xf numFmtId="0" fontId="13" fillId="0" borderId="18" xfId="9" applyFont="1" applyBorder="1" applyAlignment="1">
      <alignment horizontal="left" vertical="center" wrapText="1" indent="1"/>
    </xf>
    <xf numFmtId="0" fontId="13" fillId="0" borderId="19" xfId="9" applyFont="1" applyBorder="1" applyAlignment="1">
      <alignment horizontal="left" vertical="center" wrapText="1" indent="1"/>
    </xf>
    <xf numFmtId="0" fontId="13" fillId="0" borderId="20" xfId="9" applyFont="1" applyBorder="1" applyAlignment="1">
      <alignment horizontal="left" vertical="center" wrapText="1" indent="1"/>
    </xf>
    <xf numFmtId="0" fontId="18" fillId="5" borderId="6" xfId="9" applyFont="1" applyFill="1" applyBorder="1" applyAlignment="1">
      <alignment horizontal="center" vertical="center"/>
    </xf>
    <xf numFmtId="0" fontId="18" fillId="5" borderId="7" xfId="9" applyFont="1" applyFill="1" applyBorder="1" applyAlignment="1">
      <alignment horizontal="center" vertical="center"/>
    </xf>
    <xf numFmtId="0" fontId="15" fillId="0" borderId="0" xfId="17" applyFont="1" applyAlignment="1">
      <alignment horizontal="center" vertical="center"/>
    </xf>
    <xf numFmtId="0" fontId="16" fillId="0" borderId="0" xfId="17" applyFont="1" applyAlignment="1">
      <alignment horizontal="center" vertical="center"/>
    </xf>
    <xf numFmtId="0" fontId="29" fillId="4" borderId="0" xfId="16" applyFont="1" applyFill="1" applyAlignment="1">
      <alignment horizontal="center" vertical="center"/>
    </xf>
    <xf numFmtId="0" fontId="20" fillId="0" borderId="0" xfId="16" applyFont="1" applyAlignment="1">
      <alignment horizontal="center" vertical="center"/>
    </xf>
    <xf numFmtId="0" fontId="20" fillId="0" borderId="0" xfId="9" applyFont="1" applyAlignment="1">
      <alignment horizontal="right"/>
    </xf>
    <xf numFmtId="0" fontId="7" fillId="0" borderId="0" xfId="0" applyFont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5" fillId="2" borderId="4" xfId="13" applyFont="1" applyFill="1" applyBorder="1" applyAlignment="1">
      <alignment horizontal="center" vertical="center" wrapText="1"/>
    </xf>
    <xf numFmtId="0" fontId="5" fillId="2" borderId="4" xfId="6" applyFont="1" applyFill="1" applyBorder="1" applyAlignment="1">
      <alignment horizontal="center" vertical="center" wrapText="1"/>
    </xf>
    <xf numFmtId="0" fontId="5" fillId="2" borderId="1" xfId="5" applyFont="1" applyFill="1" applyBorder="1" applyAlignment="1">
      <alignment horizontal="left" vertical="center" wrapText="1"/>
    </xf>
    <xf numFmtId="0" fontId="5" fillId="2" borderId="0" xfId="5" applyFont="1" applyFill="1" applyAlignment="1">
      <alignment horizontal="left" vertical="center" wrapText="1"/>
    </xf>
    <xf numFmtId="0" fontId="5" fillId="2" borderId="2" xfId="5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2" xfId="6" applyFont="1" applyFill="1" applyBorder="1" applyAlignment="1">
      <alignment horizontal="center" vertical="center"/>
    </xf>
    <xf numFmtId="0" fontId="32" fillId="7" borderId="0" xfId="0" applyFont="1" applyFill="1" applyAlignment="1">
      <alignment vertical="center"/>
    </xf>
  </cellXfs>
  <cellStyles count="18">
    <cellStyle name="Hipervínculo" xfId="2" builtinId="8"/>
    <cellStyle name="Hipervínculo 2" xfId="11" xr:uid="{00000000-0005-0000-0000-000001000000}"/>
    <cellStyle name="Millares" xfId="8" builtinId="3"/>
    <cellStyle name="Normal" xfId="0" builtinId="0"/>
    <cellStyle name="Normal 10" xfId="1" xr:uid="{00000000-0005-0000-0000-000004000000}"/>
    <cellStyle name="Normal 10 2" xfId="5" xr:uid="{00000000-0005-0000-0000-000005000000}"/>
    <cellStyle name="Normal 2 2 2" xfId="12" xr:uid="{00000000-0005-0000-0000-000006000000}"/>
    <cellStyle name="Normal 3 2 5" xfId="14" xr:uid="{AF9D5415-3AFA-45C9-992A-C70303B26A01}"/>
    <cellStyle name="Normal 4 3" xfId="4" xr:uid="{00000000-0005-0000-0000-000007000000}"/>
    <cellStyle name="Normal 4 3 2" xfId="7" xr:uid="{00000000-0005-0000-0000-000008000000}"/>
    <cellStyle name="Normal 6" xfId="10" xr:uid="{00000000-0005-0000-0000-000009000000}"/>
    <cellStyle name="Normal 6 2" xfId="16" xr:uid="{F7CEDE91-55C7-4C4A-9339-8E9C0A3A409A}"/>
    <cellStyle name="Normal 6 2 2" xfId="17" xr:uid="{31F14A70-F1D1-470E-84A6-1FD8FDB52AC3}"/>
    <cellStyle name="Normal 7 2 2" xfId="9" xr:uid="{00000000-0005-0000-0000-00000A000000}"/>
    <cellStyle name="Normal 8 2" xfId="13" xr:uid="{20175B2A-621B-4B8E-A511-E7EC07B408A0}"/>
    <cellStyle name="Normal 9" xfId="3" xr:uid="{00000000-0005-0000-0000-00000B000000}"/>
    <cellStyle name="Normal 9 2" xfId="6" xr:uid="{00000000-0005-0000-0000-00000C000000}"/>
    <cellStyle name="Normal 9 3" xfId="15" xr:uid="{94D9C2EE-5DE7-49E2-8A26-A892718A00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8D0AA895-822C-43B2-9DEF-B814E2D5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9F0F-B177-47D2-A292-FF2CC0ED179A}">
  <dimension ref="A1:T19"/>
  <sheetViews>
    <sheetView showGridLines="0" tabSelected="1" workbookViewId="0"/>
  </sheetViews>
  <sheetFormatPr baseColWidth="10" defaultColWidth="11.42578125" defaultRowHeight="14.25" x14ac:dyDescent="0.2"/>
  <cols>
    <col min="1" max="1" width="1.7109375" style="25" customWidth="1"/>
    <col min="2" max="2" width="20.28515625" style="25" customWidth="1"/>
    <col min="3" max="3" width="17.42578125" style="25" customWidth="1"/>
    <col min="4" max="14" width="11.42578125" style="25"/>
    <col min="15" max="15" width="1.5703125" style="25" customWidth="1"/>
    <col min="16" max="16384" width="11.42578125" style="25"/>
  </cols>
  <sheetData>
    <row r="1" spans="1:20" s="79" customFormat="1" ht="20.100000000000001" customHeight="1" x14ac:dyDescent="0.25">
      <c r="A1" s="81"/>
      <c r="B1" s="80"/>
      <c r="C1" s="80"/>
    </row>
    <row r="2" spans="1:20" s="79" customFormat="1" ht="20.100000000000001" customHeight="1" x14ac:dyDescent="0.25">
      <c r="B2" s="105" t="s">
        <v>30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20" s="79" customFormat="1" ht="20.100000000000001" customHeight="1" x14ac:dyDescent="0.25">
      <c r="B3" s="106" t="s">
        <v>13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4" spans="1:20" ht="6.95" customHeight="1" x14ac:dyDescent="0.2"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20" ht="20.100000000000001" customHeight="1" x14ac:dyDescent="0.2">
      <c r="A5" s="107" t="s">
        <v>58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27"/>
    </row>
    <row r="6" spans="1:20" ht="6.95" customHeight="1" x14ac:dyDescent="0.2">
      <c r="A6" s="26"/>
      <c r="B6" s="27" t="s">
        <v>14</v>
      </c>
      <c r="C6" s="28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6"/>
      <c r="T6" s="29"/>
    </row>
    <row r="7" spans="1:20" ht="20.100000000000001" customHeight="1" x14ac:dyDescent="0.2">
      <c r="A7" s="26"/>
      <c r="B7" s="108" t="s">
        <v>14</v>
      </c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26"/>
    </row>
    <row r="8" spans="1:20" ht="20.100000000000001" customHeight="1" x14ac:dyDescent="0.2">
      <c r="A8" s="30"/>
      <c r="B8" s="31" t="s">
        <v>59</v>
      </c>
      <c r="C8" s="32"/>
      <c r="D8" s="30"/>
      <c r="E8" s="30"/>
      <c r="F8" s="30"/>
      <c r="G8" s="30"/>
      <c r="H8" s="30"/>
      <c r="I8" s="30"/>
      <c r="J8" s="30"/>
      <c r="K8" s="30"/>
      <c r="L8" s="30"/>
      <c r="M8" s="109" t="str">
        <f>CONCATENATE("Total de tabulados: ", COUNTIF(C11:C15,"&lt;&gt;"))</f>
        <v>Total de tabulados: 5</v>
      </c>
      <c r="N8" s="109"/>
      <c r="O8" s="30"/>
    </row>
    <row r="9" spans="1:20" ht="6.95" customHeight="1" thickBot="1" x14ac:dyDescent="0.25"/>
    <row r="10" spans="1:20" ht="15.75" thickBot="1" x14ac:dyDescent="0.25">
      <c r="B10" s="33" t="s">
        <v>15</v>
      </c>
      <c r="C10" s="34" t="s">
        <v>16</v>
      </c>
      <c r="D10" s="103" t="s">
        <v>17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4"/>
    </row>
    <row r="11" spans="1:20" ht="39.950000000000003" customHeight="1" x14ac:dyDescent="0.2">
      <c r="B11" s="94" t="s">
        <v>24</v>
      </c>
      <c r="C11" s="35" t="s">
        <v>25</v>
      </c>
      <c r="D11" s="97" t="s">
        <v>46</v>
      </c>
      <c r="E11" s="98"/>
      <c r="F11" s="98"/>
      <c r="G11" s="98"/>
      <c r="H11" s="98"/>
      <c r="I11" s="98"/>
      <c r="J11" s="98"/>
      <c r="K11" s="98"/>
      <c r="L11" s="98"/>
      <c r="M11" s="98"/>
      <c r="N11" s="99"/>
      <c r="O11" s="20"/>
      <c r="P11" s="20"/>
      <c r="Q11" s="20"/>
      <c r="R11" s="20"/>
      <c r="S11" s="20"/>
      <c r="T11" s="20"/>
    </row>
    <row r="12" spans="1:20" ht="39.950000000000003" customHeight="1" x14ac:dyDescent="0.2">
      <c r="B12" s="95"/>
      <c r="C12" s="36" t="s">
        <v>26</v>
      </c>
      <c r="D12" s="97" t="s">
        <v>47</v>
      </c>
      <c r="E12" s="98"/>
      <c r="F12" s="98"/>
      <c r="G12" s="98"/>
      <c r="H12" s="98"/>
      <c r="I12" s="98"/>
      <c r="J12" s="98"/>
      <c r="K12" s="98"/>
      <c r="L12" s="98"/>
      <c r="M12" s="98"/>
      <c r="N12" s="99"/>
      <c r="O12" s="20"/>
      <c r="P12" s="20"/>
      <c r="Q12" s="20"/>
      <c r="R12" s="20"/>
      <c r="S12" s="20"/>
      <c r="T12" s="20"/>
    </row>
    <row r="13" spans="1:20" ht="39.950000000000003" customHeight="1" x14ac:dyDescent="0.2">
      <c r="B13" s="95"/>
      <c r="C13" s="37" t="s">
        <v>27</v>
      </c>
      <c r="D13" s="97" t="s">
        <v>48</v>
      </c>
      <c r="E13" s="98"/>
      <c r="F13" s="98"/>
      <c r="G13" s="98"/>
      <c r="H13" s="98"/>
      <c r="I13" s="98"/>
      <c r="J13" s="98"/>
      <c r="K13" s="98"/>
      <c r="L13" s="98"/>
      <c r="M13" s="98"/>
      <c r="N13" s="99"/>
      <c r="O13" s="20"/>
      <c r="P13" s="20"/>
      <c r="Q13" s="20"/>
      <c r="R13" s="20"/>
      <c r="S13" s="20"/>
      <c r="T13" s="20"/>
    </row>
    <row r="14" spans="1:20" ht="39.950000000000003" customHeight="1" x14ac:dyDescent="0.2">
      <c r="B14" s="95"/>
      <c r="C14" s="36" t="s">
        <v>28</v>
      </c>
      <c r="D14" s="97" t="s">
        <v>49</v>
      </c>
      <c r="E14" s="98"/>
      <c r="F14" s="98"/>
      <c r="G14" s="98"/>
      <c r="H14" s="98"/>
      <c r="I14" s="98"/>
      <c r="J14" s="98"/>
      <c r="K14" s="98"/>
      <c r="L14" s="98"/>
      <c r="M14" s="98"/>
      <c r="N14" s="99"/>
      <c r="O14" s="20"/>
      <c r="P14" s="20"/>
      <c r="Q14" s="20"/>
      <c r="R14" s="20"/>
      <c r="S14" s="20"/>
      <c r="T14" s="20"/>
    </row>
    <row r="15" spans="1:20" ht="39.950000000000003" customHeight="1" thickBot="1" x14ac:dyDescent="0.25">
      <c r="B15" s="96"/>
      <c r="C15" s="38" t="s">
        <v>29</v>
      </c>
      <c r="D15" s="100" t="s">
        <v>50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2"/>
    </row>
    <row r="17" spans="2:2" x14ac:dyDescent="0.2">
      <c r="B17" s="39"/>
    </row>
    <row r="18" spans="2:2" x14ac:dyDescent="0.2">
      <c r="B18" s="39"/>
    </row>
    <row r="19" spans="2:2" x14ac:dyDescent="0.2">
      <c r="B19" s="40"/>
    </row>
  </sheetData>
  <mergeCells count="12">
    <mergeCell ref="D10:N10"/>
    <mergeCell ref="B2:N2"/>
    <mergeCell ref="B3:N3"/>
    <mergeCell ref="A5:N5"/>
    <mergeCell ref="B7:N7"/>
    <mergeCell ref="M8:N8"/>
    <mergeCell ref="B11:B15"/>
    <mergeCell ref="D11:N11"/>
    <mergeCell ref="D12:N12"/>
    <mergeCell ref="D13:N13"/>
    <mergeCell ref="D14:N14"/>
    <mergeCell ref="D15:N15"/>
  </mergeCells>
  <hyperlinks>
    <hyperlink ref="C11" location="'Cuadro 12.1'!A1" tooltip="Ir a Cuadro 12.1" display="Cuadro 12.1" xr:uid="{235820B3-B1A8-4900-A468-169BE3C309DF}"/>
    <hyperlink ref="C15" location="'Cuadro 12.5'!A1" tooltip="Ir a Cuadro 12.5" display="Cuadro 12.5" xr:uid="{5346AEED-E68A-49B9-BB99-22690D02A466}"/>
    <hyperlink ref="C12" location="'Cuadro 12.2'!A1" tooltip="Ir a Cuadro 12.2" display="Cuadro 12.2" xr:uid="{DF9FD62E-6E05-4419-8677-70A08F3C1D70}"/>
    <hyperlink ref="C13" location="'Cuadro 12.3'!A1" tooltip="Ir a Cuadro 12.3" display="Cuadro 12.3" xr:uid="{82FD4CBB-F9CC-4C1A-8FB9-7EBF68BAF8DD}"/>
    <hyperlink ref="C14" location="'Cuadro 12.4'!A1" tooltip="Ir a Cuadro 12.4" display="Cuadro 12.4" xr:uid="{BC1855EC-621B-4870-8331-C5CF4FF179C1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821F-DF8C-41B0-A609-F7A09A8E2120}">
  <dimension ref="B1:K34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3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  <col min="12" max="12" width="17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30" customHeight="1" x14ac:dyDescent="0.2">
      <c r="B5" s="111" t="s">
        <v>52</v>
      </c>
      <c r="C5" s="111"/>
      <c r="D5" s="111"/>
      <c r="E5" s="111"/>
      <c r="F5" s="111"/>
      <c r="G5" s="111"/>
      <c r="H5" s="111"/>
      <c r="K5" s="67" t="s">
        <v>25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20.100000000000001" customHeight="1" x14ac:dyDescent="0.2">
      <c r="B7" s="112" t="s">
        <v>37</v>
      </c>
      <c r="C7" s="68"/>
      <c r="D7" s="115" t="s">
        <v>51</v>
      </c>
      <c r="E7" s="115"/>
      <c r="F7" s="69"/>
      <c r="G7" s="117" t="s">
        <v>34</v>
      </c>
      <c r="H7" s="117"/>
      <c r="I7" s="117"/>
      <c r="J7" s="117"/>
      <c r="K7" s="117"/>
    </row>
    <row r="8" spans="2:11" ht="20.100000000000001" customHeight="1" x14ac:dyDescent="0.25">
      <c r="B8" s="113"/>
      <c r="C8" s="70"/>
      <c r="D8" s="116"/>
      <c r="E8" s="116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14"/>
      <c r="C9" s="42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1"/>
      <c r="C10" s="1"/>
      <c r="D10" s="55"/>
      <c r="E10" s="1"/>
      <c r="F10" s="1"/>
      <c r="G10" s="55"/>
      <c r="H10" s="1"/>
      <c r="I10" s="1"/>
      <c r="J10" s="55"/>
      <c r="K10" s="1"/>
    </row>
    <row r="11" spans="2:11" ht="15" customHeight="1" x14ac:dyDescent="0.25">
      <c r="B11" s="2" t="s">
        <v>2</v>
      </c>
      <c r="C11" s="2"/>
      <c r="D11" s="84">
        <v>82510825.729282305</v>
      </c>
      <c r="E11" s="84">
        <v>100</v>
      </c>
      <c r="F11" s="85"/>
      <c r="G11" s="84">
        <v>43756075.795643903</v>
      </c>
      <c r="H11" s="84">
        <v>100</v>
      </c>
      <c r="I11" s="85"/>
      <c r="J11" s="84">
        <v>37828675.879450403</v>
      </c>
      <c r="K11" s="84">
        <v>100</v>
      </c>
    </row>
    <row r="12" spans="2:11" ht="6.95" customHeight="1" x14ac:dyDescent="0.25">
      <c r="B12" s="2"/>
      <c r="C12" s="2"/>
      <c r="D12" s="84"/>
      <c r="E12" s="84"/>
      <c r="F12" s="85"/>
      <c r="G12" s="84"/>
      <c r="H12" s="84"/>
      <c r="I12" s="86"/>
      <c r="J12" s="84"/>
      <c r="K12" s="84"/>
    </row>
    <row r="13" spans="2:11" ht="15" customHeight="1" x14ac:dyDescent="0.25">
      <c r="B13" s="71" t="s">
        <v>20</v>
      </c>
      <c r="C13" s="17"/>
      <c r="D13" s="87">
        <v>78637256.813223004</v>
      </c>
      <c r="E13" s="87">
        <v>94.962211509846995</v>
      </c>
      <c r="F13" s="88"/>
      <c r="G13" s="87">
        <v>41643832.159189202</v>
      </c>
      <c r="H13" s="87">
        <v>94.733507285161494</v>
      </c>
      <c r="I13" s="88"/>
      <c r="J13" s="87">
        <v>36086604.545443296</v>
      </c>
      <c r="K13" s="87">
        <v>94.835220982468101</v>
      </c>
    </row>
    <row r="14" spans="2:11" ht="15" customHeight="1" x14ac:dyDescent="0.25">
      <c r="B14" s="71" t="s">
        <v>21</v>
      </c>
      <c r="C14" s="17"/>
      <c r="D14" s="87">
        <v>27784588.419886999</v>
      </c>
      <c r="E14" s="87">
        <v>33.175325770526896</v>
      </c>
      <c r="F14" s="88"/>
      <c r="G14" s="87">
        <v>12154729.5724518</v>
      </c>
      <c r="H14" s="87">
        <v>27.2243668287867</v>
      </c>
      <c r="I14" s="88"/>
      <c r="J14" s="87">
        <v>15108726.3825773</v>
      </c>
      <c r="K14" s="87">
        <v>39.170553534564</v>
      </c>
    </row>
    <row r="15" spans="2:11" ht="15" customHeight="1" x14ac:dyDescent="0.25">
      <c r="B15" s="71" t="s">
        <v>22</v>
      </c>
      <c r="C15" s="17"/>
      <c r="D15" s="87">
        <v>33278841.8223571</v>
      </c>
      <c r="E15" s="87">
        <v>39.695184793869601</v>
      </c>
      <c r="F15" s="88"/>
      <c r="G15" s="87">
        <v>17089492.332643099</v>
      </c>
      <c r="H15" s="87">
        <v>38.1793801236755</v>
      </c>
      <c r="I15" s="88"/>
      <c r="J15" s="87">
        <v>15706982.789725401</v>
      </c>
      <c r="K15" s="87">
        <v>40.6606866029448</v>
      </c>
    </row>
    <row r="16" spans="2:11" ht="15" customHeight="1" x14ac:dyDescent="0.25">
      <c r="B16" s="71" t="s">
        <v>23</v>
      </c>
      <c r="C16" s="17"/>
      <c r="D16" s="87">
        <v>65365402.303637601</v>
      </c>
      <c r="E16" s="87">
        <v>78.523565142674499</v>
      </c>
      <c r="F16" s="88"/>
      <c r="G16" s="87">
        <v>33875089.073491402</v>
      </c>
      <c r="H16" s="87">
        <v>76.366685180699704</v>
      </c>
      <c r="I16" s="88"/>
      <c r="J16" s="87">
        <v>30779681.606389102</v>
      </c>
      <c r="K16" s="87">
        <v>80.337589810311201</v>
      </c>
    </row>
    <row r="17" spans="2:11" ht="6.95" customHeight="1" x14ac:dyDescent="0.25">
      <c r="B17" s="3"/>
      <c r="C17" s="3"/>
      <c r="D17" s="89"/>
      <c r="E17" s="88"/>
      <c r="F17" s="89"/>
      <c r="G17" s="89"/>
      <c r="H17" s="88"/>
      <c r="I17" s="88"/>
      <c r="J17" s="88"/>
      <c r="K17" s="88"/>
    </row>
    <row r="18" spans="2:11" ht="15" customHeight="1" x14ac:dyDescent="0.25">
      <c r="B18" s="72" t="s">
        <v>3</v>
      </c>
      <c r="C18" s="12"/>
      <c r="D18" s="84">
        <v>26571529.115474898</v>
      </c>
      <c r="E18" s="84">
        <v>100</v>
      </c>
      <c r="F18" s="85"/>
      <c r="G18" s="84">
        <v>14384690.616833201</v>
      </c>
      <c r="H18" s="84">
        <v>100</v>
      </c>
      <c r="I18" s="85"/>
      <c r="J18" s="84">
        <v>11869294.922418701</v>
      </c>
      <c r="K18" s="84">
        <v>100</v>
      </c>
    </row>
    <row r="19" spans="2:11" ht="6.95" customHeight="1" x14ac:dyDescent="0.25">
      <c r="B19" s="12"/>
      <c r="C19" s="12"/>
      <c r="D19" s="84"/>
      <c r="E19" s="84"/>
      <c r="F19" s="85"/>
      <c r="G19" s="84"/>
      <c r="H19" s="84"/>
      <c r="I19" s="86"/>
      <c r="J19" s="84"/>
      <c r="K19" s="84"/>
    </row>
    <row r="20" spans="2:11" ht="15" customHeight="1" x14ac:dyDescent="0.25">
      <c r="B20" s="71" t="s">
        <v>20</v>
      </c>
      <c r="C20" s="17"/>
      <c r="D20" s="87">
        <v>24875668.475729201</v>
      </c>
      <c r="E20" s="87">
        <v>92.994100354471399</v>
      </c>
      <c r="F20" s="88"/>
      <c r="G20" s="87">
        <v>13379286.1594695</v>
      </c>
      <c r="H20" s="87">
        <v>92.282858522485895</v>
      </c>
      <c r="I20" s="88"/>
      <c r="J20" s="87">
        <v>11166065.732067</v>
      </c>
      <c r="K20" s="87">
        <v>92.989073177645594</v>
      </c>
    </row>
    <row r="21" spans="2:11" ht="15" customHeight="1" x14ac:dyDescent="0.25">
      <c r="B21" s="71" t="s">
        <v>21</v>
      </c>
      <c r="C21" s="17"/>
      <c r="D21" s="87">
        <v>5963581.59744942</v>
      </c>
      <c r="E21" s="87">
        <v>21.770970488689699</v>
      </c>
      <c r="F21" s="88"/>
      <c r="G21" s="87">
        <v>2465523.3545070998</v>
      </c>
      <c r="H21" s="87">
        <v>16.564998026045899</v>
      </c>
      <c r="I21" s="88"/>
      <c r="J21" s="87">
        <v>3249934.0633318899</v>
      </c>
      <c r="K21" s="87">
        <v>26.282469077278499</v>
      </c>
    </row>
    <row r="22" spans="2:11" ht="15" customHeight="1" x14ac:dyDescent="0.25">
      <c r="B22" s="71" t="s">
        <v>22</v>
      </c>
      <c r="C22" s="17"/>
      <c r="D22" s="87">
        <v>9128211.0713433195</v>
      </c>
      <c r="E22" s="87">
        <v>32.871902491512401</v>
      </c>
      <c r="F22" s="88"/>
      <c r="G22" s="87">
        <v>4825538.6394272102</v>
      </c>
      <c r="H22" s="87">
        <v>31.8872630985889</v>
      </c>
      <c r="I22" s="88"/>
      <c r="J22" s="87">
        <v>4058540.8901427002</v>
      </c>
      <c r="K22" s="87">
        <v>32.591050121085203</v>
      </c>
    </row>
    <row r="23" spans="2:11" ht="15" customHeight="1" x14ac:dyDescent="0.25">
      <c r="B23" s="71" t="s">
        <v>23</v>
      </c>
      <c r="C23" s="17"/>
      <c r="D23" s="87">
        <v>19974122.041680399</v>
      </c>
      <c r="E23" s="87">
        <v>74.014671526194903</v>
      </c>
      <c r="F23" s="88"/>
      <c r="G23" s="87">
        <v>10609025.707703101</v>
      </c>
      <c r="H23" s="87">
        <v>72.008272403458406</v>
      </c>
      <c r="I23" s="88"/>
      <c r="J23" s="87">
        <v>9120495.9032600895</v>
      </c>
      <c r="K23" s="87">
        <v>75.1572324391813</v>
      </c>
    </row>
    <row r="24" spans="2:11" ht="6.95" customHeight="1" x14ac:dyDescent="0.25">
      <c r="B24" s="13"/>
      <c r="C24" s="13"/>
      <c r="D24" s="90"/>
      <c r="E24" s="91"/>
      <c r="F24" s="90"/>
      <c r="G24" s="90"/>
      <c r="H24" s="91"/>
      <c r="I24" s="91"/>
      <c r="J24" s="91"/>
      <c r="K24" s="91"/>
    </row>
    <row r="25" spans="2:11" ht="15" customHeight="1" x14ac:dyDescent="0.25">
      <c r="B25" s="72" t="s">
        <v>4</v>
      </c>
      <c r="C25" s="12"/>
      <c r="D25" s="84">
        <v>53635948.584985599</v>
      </c>
      <c r="E25" s="84">
        <v>100</v>
      </c>
      <c r="F25" s="85"/>
      <c r="G25" s="84">
        <v>28108735.697297499</v>
      </c>
      <c r="H25" s="84">
        <v>100</v>
      </c>
      <c r="I25" s="85"/>
      <c r="J25" s="84">
        <v>24969123.5782029</v>
      </c>
      <c r="K25" s="84">
        <v>100</v>
      </c>
    </row>
    <row r="26" spans="2:11" ht="6.95" customHeight="1" x14ac:dyDescent="0.25">
      <c r="B26" s="12"/>
      <c r="C26" s="12"/>
      <c r="D26" s="84"/>
      <c r="E26" s="84"/>
      <c r="F26" s="85"/>
      <c r="G26" s="84"/>
      <c r="H26" s="84"/>
      <c r="I26" s="86"/>
      <c r="J26" s="84"/>
      <c r="K26" s="84"/>
    </row>
    <row r="27" spans="2:11" ht="15" customHeight="1" x14ac:dyDescent="0.25">
      <c r="B27" s="71" t="s">
        <v>20</v>
      </c>
      <c r="C27" s="17"/>
      <c r="D27" s="87">
        <v>51548791.522436298</v>
      </c>
      <c r="E27" s="87">
        <v>95.671986816098098</v>
      </c>
      <c r="F27" s="88"/>
      <c r="G27" s="87">
        <v>27035817.102517799</v>
      </c>
      <c r="H27" s="87">
        <v>95.641971325156106</v>
      </c>
      <c r="I27" s="88"/>
      <c r="J27" s="87">
        <v>23968318.001493499</v>
      </c>
      <c r="K27" s="87">
        <v>95.302871989039303</v>
      </c>
    </row>
    <row r="28" spans="2:11" ht="15" customHeight="1" x14ac:dyDescent="0.25">
      <c r="B28" s="71" t="s">
        <v>21</v>
      </c>
      <c r="C28" s="17"/>
      <c r="D28" s="87">
        <v>21049911.204413101</v>
      </c>
      <c r="E28" s="87">
        <v>38.256585575390702</v>
      </c>
      <c r="F28" s="88"/>
      <c r="G28" s="87">
        <v>9272886.1869929694</v>
      </c>
      <c r="H28" s="87">
        <v>31.937658101350902</v>
      </c>
      <c r="I28" s="88"/>
      <c r="J28" s="87">
        <v>11395838.262698401</v>
      </c>
      <c r="K28" s="87">
        <v>44.443326542360097</v>
      </c>
    </row>
    <row r="29" spans="2:11" ht="15" customHeight="1" x14ac:dyDescent="0.25">
      <c r="B29" s="71" t="s">
        <v>22</v>
      </c>
      <c r="C29" s="17"/>
      <c r="D29" s="87">
        <v>23334656.307583202</v>
      </c>
      <c r="E29" s="87">
        <v>42.4911031149691</v>
      </c>
      <c r="F29" s="88"/>
      <c r="G29" s="87">
        <v>11797035.397014</v>
      </c>
      <c r="H29" s="87">
        <v>40.614589083058497</v>
      </c>
      <c r="I29" s="88"/>
      <c r="J29" s="87">
        <v>11206181.817971</v>
      </c>
      <c r="K29" s="87">
        <v>43.640249109140399</v>
      </c>
    </row>
    <row r="30" spans="2:11" ht="15" customHeight="1" x14ac:dyDescent="0.25">
      <c r="B30" s="71" t="s">
        <v>23</v>
      </c>
      <c r="C30" s="17"/>
      <c r="D30" s="87">
        <v>43652962.947721504</v>
      </c>
      <c r="E30" s="87">
        <v>80.265823609374493</v>
      </c>
      <c r="F30" s="88"/>
      <c r="G30" s="87">
        <v>22333062.4921811</v>
      </c>
      <c r="H30" s="87">
        <v>77.925719070100101</v>
      </c>
      <c r="I30" s="88"/>
      <c r="J30" s="87">
        <v>20840499.218880702</v>
      </c>
      <c r="K30" s="87">
        <v>82.160595093246002</v>
      </c>
    </row>
    <row r="31" spans="2:11" ht="6.95" customHeight="1" x14ac:dyDescent="0.25">
      <c r="B31" s="4"/>
      <c r="C31" s="4"/>
      <c r="D31" s="56"/>
      <c r="E31" s="4"/>
      <c r="F31" s="4"/>
      <c r="G31" s="56"/>
      <c r="H31" s="4"/>
      <c r="I31" s="4"/>
      <c r="J31" s="56"/>
      <c r="K31" s="4"/>
    </row>
    <row r="32" spans="2:11" ht="6.95" customHeight="1" x14ac:dyDescent="0.25">
      <c r="B32" s="5"/>
      <c r="C32" s="5"/>
      <c r="D32" s="57"/>
      <c r="E32" s="5"/>
      <c r="F32" s="5"/>
      <c r="G32" s="57"/>
      <c r="H32" s="5"/>
      <c r="I32" s="5"/>
      <c r="J32" s="57"/>
      <c r="K32" s="5"/>
    </row>
    <row r="33" spans="2:11" s="18" customFormat="1" ht="12" customHeight="1" x14ac:dyDescent="0.25">
      <c r="B33" s="41" t="s">
        <v>19</v>
      </c>
      <c r="C33" s="41"/>
      <c r="D33" s="58"/>
      <c r="E33" s="19"/>
      <c r="F33" s="19"/>
      <c r="G33" s="58"/>
      <c r="H33" s="19"/>
      <c r="I33" s="19"/>
      <c r="J33" s="58"/>
      <c r="K33" s="19"/>
    </row>
    <row r="34" spans="2:11" ht="12" customHeight="1" x14ac:dyDescent="0.25">
      <c r="B34" s="110" t="s">
        <v>36</v>
      </c>
      <c r="C34" s="110"/>
      <c r="D34" s="110"/>
      <c r="E34" s="110"/>
      <c r="F34" s="110"/>
      <c r="G34"/>
      <c r="J34"/>
    </row>
  </sheetData>
  <mergeCells count="7">
    <mergeCell ref="B34:F34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8EE3C381-3257-41EE-8ABC-F0C111A8145C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4FAFF-328A-4F9C-A781-5DA5997E9260}">
  <dimension ref="B1:K33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47</v>
      </c>
      <c r="C5" s="111"/>
      <c r="D5" s="111"/>
      <c r="E5" s="111"/>
      <c r="F5" s="111"/>
      <c r="G5" s="111"/>
      <c r="H5" s="111"/>
      <c r="K5" s="67" t="s">
        <v>26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53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85074250.450445905</v>
      </c>
      <c r="E11" s="84">
        <v>100</v>
      </c>
      <c r="F11" s="85"/>
      <c r="G11" s="84">
        <v>45189093.536525302</v>
      </c>
      <c r="H11" s="84">
        <v>100</v>
      </c>
      <c r="I11" s="85"/>
      <c r="J11" s="84">
        <v>38949471.211108603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30" customHeight="1" x14ac:dyDescent="0.25">
      <c r="B13" s="43" t="s">
        <v>38</v>
      </c>
      <c r="C13" s="11"/>
      <c r="D13" s="84"/>
      <c r="E13" s="84"/>
      <c r="F13" s="85"/>
      <c r="G13" s="84"/>
      <c r="H13" s="84"/>
      <c r="I13" s="85"/>
      <c r="J13" s="84"/>
      <c r="K13" s="84"/>
    </row>
    <row r="14" spans="2:11" ht="15" customHeight="1" x14ac:dyDescent="0.25">
      <c r="B14" s="21" t="s">
        <v>5</v>
      </c>
      <c r="C14" s="21"/>
      <c r="D14" s="87">
        <v>78637256.813223004</v>
      </c>
      <c r="E14" s="87">
        <v>91.979140320581095</v>
      </c>
      <c r="F14" s="88"/>
      <c r="G14" s="87">
        <v>41643832.159189202</v>
      </c>
      <c r="H14" s="87">
        <v>91.550430322383306</v>
      </c>
      <c r="I14" s="88"/>
      <c r="J14" s="87">
        <v>36086604.545443296</v>
      </c>
      <c r="K14" s="87">
        <v>91.912928033059799</v>
      </c>
    </row>
    <row r="15" spans="2:11" ht="15" customHeight="1" x14ac:dyDescent="0.25">
      <c r="B15" s="21" t="s">
        <v>6</v>
      </c>
      <c r="C15" s="21"/>
      <c r="D15" s="87">
        <v>1527281.27136067</v>
      </c>
      <c r="E15" s="87">
        <v>1.7644002846515101</v>
      </c>
      <c r="F15" s="88"/>
      <c r="G15" s="87">
        <v>678143.00226426194</v>
      </c>
      <c r="H15" s="87">
        <v>1.4522791204969501</v>
      </c>
      <c r="I15" s="88"/>
      <c r="J15" s="87">
        <v>754302.15105266799</v>
      </c>
      <c r="K15" s="87">
        <v>1.8850651054482399</v>
      </c>
    </row>
    <row r="16" spans="2:11" ht="15" customHeight="1" x14ac:dyDescent="0.25">
      <c r="B16" s="21" t="s">
        <v>7</v>
      </c>
      <c r="C16" s="21"/>
      <c r="D16" s="87">
        <v>4153014.5483959801</v>
      </c>
      <c r="E16" s="87">
        <v>4.7949180304444203</v>
      </c>
      <c r="F16" s="88"/>
      <c r="G16" s="87">
        <v>2359793.2043629</v>
      </c>
      <c r="H16" s="87">
        <v>5.0915465963400202</v>
      </c>
      <c r="I16" s="88"/>
      <c r="J16" s="87">
        <v>1593557.03736457</v>
      </c>
      <c r="K16" s="87">
        <v>3.97335500759467</v>
      </c>
    </row>
    <row r="17" spans="2:11" ht="6.95" customHeight="1" x14ac:dyDescent="0.25">
      <c r="B17" s="8"/>
      <c r="C17" s="8"/>
      <c r="D17" s="92"/>
      <c r="E17" s="93"/>
      <c r="F17" s="92"/>
      <c r="G17" s="92"/>
      <c r="H17" s="93"/>
      <c r="I17" s="93"/>
      <c r="J17" s="93"/>
      <c r="K17" s="93"/>
    </row>
    <row r="18" spans="2:11" ht="15" customHeight="1" x14ac:dyDescent="0.25">
      <c r="B18" s="74" t="s">
        <v>3</v>
      </c>
      <c r="C18" s="7"/>
      <c r="D18" s="84">
        <v>27919808.370060898</v>
      </c>
      <c r="E18" s="84">
        <v>100</v>
      </c>
      <c r="F18" s="85"/>
      <c r="G18" s="84">
        <v>15147712.0036007</v>
      </c>
      <c r="H18" s="84">
        <v>100</v>
      </c>
      <c r="I18" s="85"/>
      <c r="J18" s="84">
        <v>12466861.324348001</v>
      </c>
      <c r="K18" s="84">
        <v>100</v>
      </c>
    </row>
    <row r="19" spans="2:11" ht="6.95" customHeight="1" x14ac:dyDescent="0.25">
      <c r="B19" s="7"/>
      <c r="C19" s="7"/>
      <c r="D19" s="84"/>
      <c r="E19" s="84"/>
      <c r="F19" s="85"/>
      <c r="G19" s="84"/>
      <c r="H19" s="84"/>
      <c r="I19" s="86"/>
      <c r="J19" s="84"/>
      <c r="K19" s="84"/>
    </row>
    <row r="20" spans="2:11" ht="30" customHeight="1" x14ac:dyDescent="0.25">
      <c r="B20" s="43" t="s">
        <v>38</v>
      </c>
      <c r="C20" s="11"/>
      <c r="D20" s="84"/>
      <c r="E20" s="84"/>
      <c r="F20" s="85"/>
      <c r="G20" s="84"/>
      <c r="H20" s="84"/>
      <c r="I20" s="85"/>
      <c r="J20" s="84"/>
      <c r="K20" s="84"/>
    </row>
    <row r="21" spans="2:11" ht="15" customHeight="1" x14ac:dyDescent="0.25">
      <c r="B21" s="21" t="s">
        <v>5</v>
      </c>
      <c r="C21" s="21"/>
      <c r="D21" s="87">
        <v>24875668.475729201</v>
      </c>
      <c r="E21" s="87">
        <v>88.077263046453993</v>
      </c>
      <c r="F21" s="88"/>
      <c r="G21" s="87">
        <v>13379286.1594695</v>
      </c>
      <c r="H21" s="87">
        <v>87.167080154638498</v>
      </c>
      <c r="I21" s="88"/>
      <c r="J21" s="87">
        <v>11166065.732067</v>
      </c>
      <c r="K21" s="87">
        <v>87.881625764744598</v>
      </c>
    </row>
    <row r="22" spans="2:11" ht="15" customHeight="1" x14ac:dyDescent="0.25">
      <c r="B22" s="21" t="s">
        <v>6</v>
      </c>
      <c r="C22" s="21"/>
      <c r="D22" s="87">
        <v>512830.968255257</v>
      </c>
      <c r="E22" s="87">
        <v>1.7246837447171199</v>
      </c>
      <c r="F22" s="88"/>
      <c r="G22" s="87">
        <v>207088.36445499299</v>
      </c>
      <c r="H22" s="87">
        <v>1.24537747453015</v>
      </c>
      <c r="I22" s="88"/>
      <c r="J22" s="87">
        <v>241749.61290855001</v>
      </c>
      <c r="K22" s="87">
        <v>1.8137251531615499</v>
      </c>
    </row>
    <row r="23" spans="2:11" ht="15" customHeight="1" x14ac:dyDescent="0.25">
      <c r="B23" s="21" t="s">
        <v>7</v>
      </c>
      <c r="C23" s="21"/>
      <c r="D23" s="87">
        <v>2099922.2591082202</v>
      </c>
      <c r="E23" s="87">
        <v>7.1033688204141798</v>
      </c>
      <c r="F23" s="88"/>
      <c r="G23" s="87">
        <v>1219291.9703355399</v>
      </c>
      <c r="H23" s="87">
        <v>7.5316125227615602</v>
      </c>
      <c r="I23" s="88"/>
      <c r="J23" s="87">
        <v>741277.40417299198</v>
      </c>
      <c r="K23" s="87">
        <v>5.5399996775513998</v>
      </c>
    </row>
    <row r="24" spans="2:11" ht="6.95" customHeight="1" x14ac:dyDescent="0.25">
      <c r="B24" s="8"/>
      <c r="C24" s="8"/>
      <c r="D24" s="92"/>
      <c r="E24" s="93"/>
      <c r="F24" s="92"/>
      <c r="G24" s="92"/>
      <c r="H24" s="93"/>
      <c r="I24" s="93"/>
      <c r="J24" s="93"/>
      <c r="K24" s="93"/>
    </row>
    <row r="25" spans="2:11" ht="15" customHeight="1" x14ac:dyDescent="0.25">
      <c r="B25" s="74" t="s">
        <v>4</v>
      </c>
      <c r="C25" s="7"/>
      <c r="D25" s="84">
        <v>54724471.783623897</v>
      </c>
      <c r="E25" s="84">
        <v>100</v>
      </c>
      <c r="F25" s="85"/>
      <c r="G25" s="84">
        <v>28733115.775626201</v>
      </c>
      <c r="H25" s="84">
        <v>100</v>
      </c>
      <c r="I25" s="85"/>
      <c r="J25" s="84">
        <v>25428611.494824</v>
      </c>
      <c r="K25" s="84">
        <v>100</v>
      </c>
    </row>
    <row r="26" spans="2:11" ht="6.95" customHeight="1" x14ac:dyDescent="0.25">
      <c r="B26" s="7"/>
      <c r="C26" s="7"/>
      <c r="D26" s="84"/>
      <c r="E26" s="84"/>
      <c r="F26" s="85"/>
      <c r="G26" s="84"/>
      <c r="H26" s="84"/>
      <c r="I26" s="86"/>
      <c r="J26" s="84"/>
      <c r="K26" s="84"/>
    </row>
    <row r="27" spans="2:11" ht="30" customHeight="1" x14ac:dyDescent="0.25">
      <c r="B27" s="43" t="s">
        <v>38</v>
      </c>
      <c r="C27" s="11"/>
      <c r="D27" s="84"/>
      <c r="E27" s="84"/>
      <c r="F27" s="85"/>
      <c r="G27" s="84"/>
      <c r="H27" s="84"/>
      <c r="I27" s="85"/>
      <c r="J27" s="84"/>
      <c r="K27" s="84"/>
    </row>
    <row r="28" spans="2:11" ht="15" customHeight="1" x14ac:dyDescent="0.25">
      <c r="B28" s="21" t="s">
        <v>5</v>
      </c>
      <c r="C28" s="21"/>
      <c r="D28" s="87">
        <v>51548791.522436298</v>
      </c>
      <c r="E28" s="87">
        <v>93.634944131456905</v>
      </c>
      <c r="F28" s="88"/>
      <c r="G28" s="87">
        <v>27035817.102517799</v>
      </c>
      <c r="H28" s="87">
        <v>93.367647894567199</v>
      </c>
      <c r="I28" s="88"/>
      <c r="J28" s="87">
        <v>23968318.001493499</v>
      </c>
      <c r="K28" s="87">
        <v>93.398038399882594</v>
      </c>
    </row>
    <row r="29" spans="2:11" ht="15" customHeight="1" x14ac:dyDescent="0.25">
      <c r="B29" s="21" t="s">
        <v>6</v>
      </c>
      <c r="C29" s="21"/>
      <c r="D29" s="87">
        <v>897569.04248042195</v>
      </c>
      <c r="E29" s="87">
        <v>1.5843883989560501</v>
      </c>
      <c r="F29" s="88"/>
      <c r="G29" s="87">
        <v>399531.61303386802</v>
      </c>
      <c r="H29" s="87">
        <v>1.32251443807588</v>
      </c>
      <c r="I29" s="88"/>
      <c r="J29" s="87">
        <v>433548.70448108698</v>
      </c>
      <c r="K29" s="87">
        <v>1.63602804804108</v>
      </c>
    </row>
    <row r="30" spans="2:11" ht="15" customHeight="1" x14ac:dyDescent="0.25">
      <c r="B30" s="21" t="s">
        <v>7</v>
      </c>
      <c r="C30" s="21"/>
      <c r="D30" s="87">
        <v>1823651.0625710201</v>
      </c>
      <c r="E30" s="87">
        <v>3.23097807393287</v>
      </c>
      <c r="F30" s="88"/>
      <c r="G30" s="87">
        <v>981767.97406331205</v>
      </c>
      <c r="H30" s="87">
        <v>3.2818736310742498</v>
      </c>
      <c r="I30" s="88"/>
      <c r="J30" s="87">
        <v>711738.29792302195</v>
      </c>
      <c r="K30" s="87">
        <v>2.6992306825062302</v>
      </c>
    </row>
    <row r="31" spans="2:11" ht="6.95" customHeight="1" x14ac:dyDescent="0.25">
      <c r="B31" s="9"/>
      <c r="C31" s="9"/>
      <c r="D31" s="54"/>
      <c r="E31" s="23"/>
      <c r="F31" s="23"/>
      <c r="G31" s="54"/>
      <c r="H31" s="23"/>
      <c r="I31" s="23"/>
      <c r="J31" s="54"/>
      <c r="K31" s="23"/>
    </row>
    <row r="32" spans="2:11" ht="6.95" customHeight="1" x14ac:dyDescent="0.25">
      <c r="B32" s="22"/>
      <c r="C32" s="22"/>
      <c r="D32" s="51"/>
      <c r="E32" s="22"/>
      <c r="F32" s="22"/>
      <c r="G32" s="51"/>
      <c r="H32" s="22"/>
      <c r="I32" s="22"/>
      <c r="J32" s="51"/>
      <c r="K32" s="22"/>
    </row>
    <row r="33" spans="2:10" ht="12" customHeight="1" x14ac:dyDescent="0.25">
      <c r="B33" s="110" t="s">
        <v>36</v>
      </c>
      <c r="C33" s="110"/>
      <c r="D33" s="110"/>
      <c r="E33" s="110"/>
      <c r="F33" s="110"/>
      <c r="G33"/>
      <c r="J33"/>
    </row>
  </sheetData>
  <mergeCells count="7">
    <mergeCell ref="B33:F33"/>
    <mergeCell ref="B5:H5"/>
    <mergeCell ref="B7:B9"/>
    <mergeCell ref="D7:E8"/>
    <mergeCell ref="G7:K7"/>
    <mergeCell ref="G8:H8"/>
    <mergeCell ref="J8:K8"/>
  </mergeCells>
  <hyperlinks>
    <hyperlink ref="K1" location="Índice!A1" tooltip="Ir a ÍNDICE" display="INDICE" xr:uid="{F4ADB643-4850-4710-BB4D-96A7C734044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54B7-587F-4A48-8527-9D392D201DE0}">
  <dimension ref="B1:K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6" t="s">
        <v>48</v>
      </c>
      <c r="C5" s="76"/>
      <c r="D5" s="76"/>
      <c r="E5" s="76"/>
      <c r="F5" s="76"/>
      <c r="G5" s="76"/>
      <c r="K5" s="67" t="s">
        <v>27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54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85074250.450445905</v>
      </c>
      <c r="E11" s="84">
        <v>100</v>
      </c>
      <c r="F11" s="85"/>
      <c r="G11" s="84">
        <v>45189093.536525302</v>
      </c>
      <c r="H11" s="84">
        <v>100</v>
      </c>
      <c r="I11" s="85"/>
      <c r="J11" s="84">
        <v>38949471.211108603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55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4" t="s">
        <v>31</v>
      </c>
      <c r="C14" s="24"/>
      <c r="D14" s="87">
        <v>15473428.1586638</v>
      </c>
      <c r="E14" s="87">
        <v>17.892283173512901</v>
      </c>
      <c r="F14" s="88"/>
      <c r="G14" s="87">
        <v>7872331.4218803104</v>
      </c>
      <c r="H14" s="87">
        <v>17.025800086747299</v>
      </c>
      <c r="I14" s="88"/>
      <c r="J14" s="87">
        <v>7264655.5172980204</v>
      </c>
      <c r="K14" s="87">
        <v>18.1894584571968</v>
      </c>
    </row>
    <row r="15" spans="2:11" ht="15" customHeight="1" x14ac:dyDescent="0.25">
      <c r="B15" s="24" t="s">
        <v>32</v>
      </c>
      <c r="C15" s="24"/>
      <c r="D15" s="87">
        <v>27784588.419886999</v>
      </c>
      <c r="E15" s="87">
        <v>32.177592096819701</v>
      </c>
      <c r="F15" s="88"/>
      <c r="G15" s="87">
        <v>12154729.5724518</v>
      </c>
      <c r="H15" s="87">
        <v>26.368375515513499</v>
      </c>
      <c r="I15" s="88"/>
      <c r="J15" s="87">
        <v>15108726.3825773</v>
      </c>
      <c r="K15" s="87">
        <v>38.055799825521802</v>
      </c>
    </row>
    <row r="16" spans="2:11" ht="15" customHeight="1" x14ac:dyDescent="0.25">
      <c r="B16" s="24" t="s">
        <v>33</v>
      </c>
      <c r="C16" s="24"/>
      <c r="D16" s="87">
        <v>6445640.0332541196</v>
      </c>
      <c r="E16" s="87">
        <v>7.4667217320767199</v>
      </c>
      <c r="F16" s="88"/>
      <c r="G16" s="87">
        <v>3525269.73329052</v>
      </c>
      <c r="H16" s="87">
        <v>7.6329567716520001</v>
      </c>
      <c r="I16" s="88"/>
      <c r="J16" s="87">
        <v>2732365.51312317</v>
      </c>
      <c r="K16" s="87">
        <v>6.8403424702071103</v>
      </c>
    </row>
    <row r="17" spans="2:11" ht="15" customHeight="1" x14ac:dyDescent="0.25">
      <c r="B17" s="24" t="s">
        <v>8</v>
      </c>
      <c r="C17" s="24"/>
      <c r="D17" s="87">
        <v>33245349.039617602</v>
      </c>
      <c r="E17" s="87">
        <v>38.648671318776799</v>
      </c>
      <c r="F17" s="88"/>
      <c r="G17" s="87">
        <v>20294429.638726301</v>
      </c>
      <c r="H17" s="87">
        <v>44.065749815532598</v>
      </c>
      <c r="I17" s="88"/>
      <c r="J17" s="87">
        <v>12548739.276133001</v>
      </c>
      <c r="K17" s="87">
        <v>31.556961679872099</v>
      </c>
    </row>
    <row r="18" spans="2:11" ht="6.95" customHeight="1" x14ac:dyDescent="0.25">
      <c r="B18" s="82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27919808.370060898</v>
      </c>
      <c r="E19" s="84">
        <v>100</v>
      </c>
      <c r="F19" s="85"/>
      <c r="G19" s="84">
        <v>15147712.0036007</v>
      </c>
      <c r="H19" s="84">
        <v>100</v>
      </c>
      <c r="I19" s="85"/>
      <c r="J19" s="84">
        <v>12466861.324348001</v>
      </c>
      <c r="K19" s="84">
        <v>100</v>
      </c>
    </row>
    <row r="20" spans="2:11" ht="6.95" customHeight="1" x14ac:dyDescent="0.25">
      <c r="B20" s="74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55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4" t="s">
        <v>31</v>
      </c>
      <c r="C22" s="24"/>
      <c r="D22" s="87">
        <v>4365543.2228098996</v>
      </c>
      <c r="E22" s="87">
        <v>14.902568350679401</v>
      </c>
      <c r="F22" s="88"/>
      <c r="G22" s="87">
        <v>2142930.6519727199</v>
      </c>
      <c r="H22" s="87">
        <v>13.419682809777999</v>
      </c>
      <c r="I22" s="88"/>
      <c r="J22" s="87">
        <v>2087346.0339176101</v>
      </c>
      <c r="K22" s="87">
        <v>15.7083369452375</v>
      </c>
    </row>
    <row r="23" spans="2:11" ht="15" customHeight="1" x14ac:dyDescent="0.25">
      <c r="B23" s="24" t="s">
        <v>32</v>
      </c>
      <c r="C23" s="24"/>
      <c r="D23" s="87">
        <v>5963581.59744942</v>
      </c>
      <c r="E23" s="87">
        <v>20.692486614982698</v>
      </c>
      <c r="F23" s="88"/>
      <c r="G23" s="87">
        <v>2465523.3545070998</v>
      </c>
      <c r="H23" s="87">
        <v>15.706603237734999</v>
      </c>
      <c r="I23" s="88"/>
      <c r="J23" s="87">
        <v>3249934.0633318899</v>
      </c>
      <c r="K23" s="87">
        <v>25.028519167363601</v>
      </c>
    </row>
    <row r="24" spans="2:11" ht="15" customHeight="1" x14ac:dyDescent="0.25">
      <c r="B24" s="24" t="s">
        <v>33</v>
      </c>
      <c r="C24" s="24"/>
      <c r="D24" s="87">
        <v>2028464.3645339599</v>
      </c>
      <c r="E24" s="87">
        <v>6.96812575730016</v>
      </c>
      <c r="F24" s="88"/>
      <c r="G24" s="87">
        <v>1159758.1600969201</v>
      </c>
      <c r="H24" s="87">
        <v>7.3349049715090304</v>
      </c>
      <c r="I24" s="88"/>
      <c r="J24" s="87">
        <v>788942.63294905599</v>
      </c>
      <c r="K24" s="87">
        <v>5.9950786298215997</v>
      </c>
    </row>
    <row r="25" spans="2:11" ht="15" customHeight="1" x14ac:dyDescent="0.25">
      <c r="B25" s="24" t="s">
        <v>8</v>
      </c>
      <c r="C25" s="24"/>
      <c r="D25" s="87">
        <v>14725022.6913135</v>
      </c>
      <c r="E25" s="87">
        <v>50.824630406482498</v>
      </c>
      <c r="F25" s="88"/>
      <c r="G25" s="87">
        <v>8800957.9568484109</v>
      </c>
      <c r="H25" s="87">
        <v>55.461419886548903</v>
      </c>
      <c r="I25" s="88"/>
      <c r="J25" s="87">
        <v>5720496.6871525897</v>
      </c>
      <c r="K25" s="87">
        <v>43.661179263795098</v>
      </c>
    </row>
    <row r="26" spans="2:11" ht="6.95" customHeight="1" x14ac:dyDescent="0.25">
      <c r="B26" s="82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83" t="s">
        <v>4</v>
      </c>
      <c r="C27" s="10"/>
      <c r="D27" s="84">
        <v>54724471.783623897</v>
      </c>
      <c r="E27" s="84">
        <v>100</v>
      </c>
      <c r="F27" s="85"/>
      <c r="G27" s="84">
        <v>28733115.775626201</v>
      </c>
      <c r="H27" s="84">
        <v>100</v>
      </c>
      <c r="I27" s="85"/>
      <c r="J27" s="84">
        <v>25428611.494824</v>
      </c>
      <c r="K27" s="84">
        <v>100</v>
      </c>
    </row>
    <row r="28" spans="2:11" ht="6.95" customHeight="1" x14ac:dyDescent="0.25">
      <c r="B28" s="83"/>
      <c r="C28" s="10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55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4" t="s">
        <v>31</v>
      </c>
      <c r="C30" s="24"/>
      <c r="D30" s="87">
        <v>10637405.5751755</v>
      </c>
      <c r="E30" s="87">
        <v>18.909577759981399</v>
      </c>
      <c r="F30" s="88"/>
      <c r="G30" s="87">
        <v>5449938.0485277502</v>
      </c>
      <c r="H30" s="87">
        <v>18.338181017894001</v>
      </c>
      <c r="I30" s="88"/>
      <c r="J30" s="87">
        <v>4914880.5340781501</v>
      </c>
      <c r="K30" s="87">
        <v>18.6510562119777</v>
      </c>
    </row>
    <row r="31" spans="2:11" ht="15" customHeight="1" x14ac:dyDescent="0.25">
      <c r="B31" s="24" t="s">
        <v>32</v>
      </c>
      <c r="C31" s="24"/>
      <c r="D31" s="87">
        <v>21049911.204413101</v>
      </c>
      <c r="E31" s="87">
        <v>37.4919319608791</v>
      </c>
      <c r="F31" s="88"/>
      <c r="G31" s="87">
        <v>9272886.1869929694</v>
      </c>
      <c r="H31" s="87">
        <v>31.246865257606899</v>
      </c>
      <c r="I31" s="88"/>
      <c r="J31" s="87">
        <v>11395838.262698401</v>
      </c>
      <c r="K31" s="87">
        <v>43.630906488703097</v>
      </c>
    </row>
    <row r="32" spans="2:11" ht="15" customHeight="1" x14ac:dyDescent="0.25">
      <c r="B32" s="24" t="s">
        <v>33</v>
      </c>
      <c r="C32" s="24"/>
      <c r="D32" s="87">
        <v>4126722.46219288</v>
      </c>
      <c r="E32" s="87">
        <v>7.3406084112366496</v>
      </c>
      <c r="F32" s="88"/>
      <c r="G32" s="87">
        <v>2170631.26872057</v>
      </c>
      <c r="H32" s="87">
        <v>7.2795716493058</v>
      </c>
      <c r="I32" s="88"/>
      <c r="J32" s="87">
        <v>1792141.0451921499</v>
      </c>
      <c r="K32" s="87">
        <v>6.7992087713707301</v>
      </c>
    </row>
    <row r="33" spans="2:11" ht="15" customHeight="1" x14ac:dyDescent="0.25">
      <c r="B33" s="24" t="s">
        <v>8</v>
      </c>
      <c r="C33" s="24"/>
      <c r="D33" s="87">
        <v>17479342.556284599</v>
      </c>
      <c r="E33" s="87">
        <v>31.365249245045899</v>
      </c>
      <c r="F33" s="88"/>
      <c r="G33" s="87">
        <v>10842946.7664341</v>
      </c>
      <c r="H33" s="87">
        <v>36.757122338661603</v>
      </c>
      <c r="I33" s="88"/>
      <c r="J33" s="87">
        <v>6369199.1313253799</v>
      </c>
      <c r="K33" s="87">
        <v>24.3731642000898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B7:B9"/>
    <mergeCell ref="D7:E8"/>
    <mergeCell ref="G7:K7"/>
    <mergeCell ref="G8:H8"/>
    <mergeCell ref="J8:K8"/>
  </mergeCells>
  <hyperlinks>
    <hyperlink ref="K1" location="Índice!A1" tooltip="Ir a ÍNDICE" display="INDICE" xr:uid="{9E098405-32B6-4E0F-A068-23690597D283}"/>
  </hyperlink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D6A0D-2C80-4AB9-A5B5-0086DAC70F43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111" t="s">
        <v>49</v>
      </c>
      <c r="C5" s="111"/>
      <c r="D5" s="111"/>
      <c r="E5" s="111"/>
      <c r="F5" s="111"/>
      <c r="G5" s="111"/>
      <c r="K5" s="67" t="s">
        <v>28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9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73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85074250.450445905</v>
      </c>
      <c r="E11" s="84">
        <v>100</v>
      </c>
      <c r="F11" s="85"/>
      <c r="G11" s="84">
        <v>45189093.536525302</v>
      </c>
      <c r="H11" s="84">
        <v>100</v>
      </c>
      <c r="I11" s="85"/>
      <c r="J11" s="84">
        <v>38949471.211108603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77" t="s">
        <v>61</v>
      </c>
      <c r="C13" s="24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78" t="s">
        <v>39</v>
      </c>
      <c r="C14" s="24"/>
      <c r="D14" s="87">
        <v>33278841.8223571</v>
      </c>
      <c r="E14" s="87">
        <v>38.5066618258289</v>
      </c>
      <c r="F14" s="88"/>
      <c r="G14" s="87">
        <v>17089492.332643099</v>
      </c>
      <c r="H14" s="87">
        <v>36.996195835388797</v>
      </c>
      <c r="I14" s="88"/>
      <c r="J14" s="87">
        <v>15706982.789725401</v>
      </c>
      <c r="K14" s="87">
        <v>39.482521833707402</v>
      </c>
    </row>
    <row r="15" spans="2:11" ht="15" customHeight="1" x14ac:dyDescent="0.25">
      <c r="B15" s="78" t="s">
        <v>40</v>
      </c>
      <c r="C15" s="24"/>
      <c r="D15" s="87">
        <v>23529706.796782698</v>
      </c>
      <c r="E15" s="87">
        <v>27.298451404703201</v>
      </c>
      <c r="F15" s="88"/>
      <c r="G15" s="87">
        <v>11980644.1855412</v>
      </c>
      <c r="H15" s="87">
        <v>26.078953211791699</v>
      </c>
      <c r="I15" s="88"/>
      <c r="J15" s="87">
        <v>11124955.2608181</v>
      </c>
      <c r="K15" s="87">
        <v>27.889711355537301</v>
      </c>
    </row>
    <row r="16" spans="2:11" ht="15" customHeight="1" x14ac:dyDescent="0.25">
      <c r="B16" s="78" t="s">
        <v>41</v>
      </c>
      <c r="C16" s="24"/>
      <c r="D16" s="87">
        <v>10686092.078961801</v>
      </c>
      <c r="E16" s="87">
        <v>12.395483419908199</v>
      </c>
      <c r="F16" s="88"/>
      <c r="G16" s="87">
        <v>5454520.8338699201</v>
      </c>
      <c r="H16" s="87">
        <v>11.798608014942699</v>
      </c>
      <c r="I16" s="88"/>
      <c r="J16" s="87">
        <v>4957062.5646835696</v>
      </c>
      <c r="K16" s="87">
        <v>12.471473932314201</v>
      </c>
    </row>
    <row r="17" spans="2:11" ht="15" customHeight="1" x14ac:dyDescent="0.25">
      <c r="B17" s="78" t="s">
        <v>42</v>
      </c>
      <c r="C17" s="24"/>
      <c r="D17" s="87">
        <v>15266369.875145299</v>
      </c>
      <c r="E17" s="87">
        <v>17.6954349769325</v>
      </c>
      <c r="F17" s="88"/>
      <c r="G17" s="87">
        <v>9258073.5182386898</v>
      </c>
      <c r="H17" s="87">
        <v>20.0233198998394</v>
      </c>
      <c r="I17" s="88"/>
      <c r="J17" s="87">
        <v>5707384.6129794596</v>
      </c>
      <c r="K17" s="87">
        <v>14.297957665532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27919808.370060898</v>
      </c>
      <c r="E19" s="84">
        <v>100</v>
      </c>
      <c r="F19" s="85"/>
      <c r="G19" s="84">
        <v>15147712.0036007</v>
      </c>
      <c r="H19" s="84">
        <v>100</v>
      </c>
      <c r="I19" s="85"/>
      <c r="J19" s="84">
        <v>12466861.324348001</v>
      </c>
      <c r="K19" s="84">
        <v>100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77" t="s">
        <v>61</v>
      </c>
      <c r="C21" s="24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78" t="s">
        <v>39</v>
      </c>
      <c r="C22" s="24"/>
      <c r="D22" s="87">
        <v>9128211.0713433195</v>
      </c>
      <c r="E22" s="87">
        <v>31.232158682098699</v>
      </c>
      <c r="F22" s="88"/>
      <c r="G22" s="87">
        <v>4825538.6394272102</v>
      </c>
      <c r="H22" s="87">
        <v>30.318751586204801</v>
      </c>
      <c r="I22" s="88"/>
      <c r="J22" s="87">
        <v>4058540.8901427002</v>
      </c>
      <c r="K22" s="87">
        <v>30.905561420642801</v>
      </c>
    </row>
    <row r="23" spans="2:11" ht="15" customHeight="1" x14ac:dyDescent="0.25">
      <c r="B23" s="78" t="s">
        <v>40</v>
      </c>
      <c r="C23" s="24"/>
      <c r="D23" s="87">
        <v>6556095.5048547899</v>
      </c>
      <c r="E23" s="87">
        <v>22.7294450511462</v>
      </c>
      <c r="F23" s="88"/>
      <c r="G23" s="87">
        <v>3416325.4927392099</v>
      </c>
      <c r="H23" s="87">
        <v>21.854476469148601</v>
      </c>
      <c r="I23" s="88"/>
      <c r="J23" s="87">
        <v>2937610.3772444902</v>
      </c>
      <c r="K23" s="87">
        <v>22.209861620664601</v>
      </c>
    </row>
    <row r="24" spans="2:11" ht="15" customHeight="1" x14ac:dyDescent="0.25">
      <c r="B24" s="78" t="s">
        <v>41</v>
      </c>
      <c r="C24" s="24"/>
      <c r="D24" s="87">
        <v>4104442.3312746901</v>
      </c>
      <c r="E24" s="87">
        <v>14.0995635945243</v>
      </c>
      <c r="F24" s="88"/>
      <c r="G24" s="87">
        <v>1985793.54437016</v>
      </c>
      <c r="H24" s="87">
        <v>12.431537190958499</v>
      </c>
      <c r="I24" s="88"/>
      <c r="J24" s="87">
        <v>1993995.4783204701</v>
      </c>
      <c r="K24" s="87">
        <v>15.261028569582001</v>
      </c>
    </row>
    <row r="25" spans="2:11" ht="15" customHeight="1" x14ac:dyDescent="0.25">
      <c r="B25" s="78" t="s">
        <v>42</v>
      </c>
      <c r="C25" s="24"/>
      <c r="D25" s="87">
        <v>7098715.3495746097</v>
      </c>
      <c r="E25" s="87">
        <v>24.312611713213901</v>
      </c>
      <c r="F25" s="88"/>
      <c r="G25" s="87">
        <v>4211306.8019261798</v>
      </c>
      <c r="H25" s="87">
        <v>26.2332573265717</v>
      </c>
      <c r="I25" s="88"/>
      <c r="J25" s="87">
        <v>2718212.61645175</v>
      </c>
      <c r="K25" s="87">
        <v>20.636479348061599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54724471.783623897</v>
      </c>
      <c r="E27" s="84">
        <v>100</v>
      </c>
      <c r="F27" s="85"/>
      <c r="G27" s="84">
        <v>28733115.775626201</v>
      </c>
      <c r="H27" s="84">
        <v>100</v>
      </c>
      <c r="I27" s="85"/>
      <c r="J27" s="84">
        <v>25428611.494824</v>
      </c>
      <c r="K27" s="84">
        <v>100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77" t="s">
        <v>61</v>
      </c>
      <c r="C29" s="24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78" t="s">
        <v>39</v>
      </c>
      <c r="C30" s="24"/>
      <c r="D30" s="87">
        <v>23334656.307583202</v>
      </c>
      <c r="E30" s="87">
        <v>41.6576414641357</v>
      </c>
      <c r="F30" s="88"/>
      <c r="G30" s="87">
        <v>11797035.397014</v>
      </c>
      <c r="H30" s="87">
        <v>39.748182770881698</v>
      </c>
      <c r="I30" s="88"/>
      <c r="J30" s="87">
        <v>11206181.817971</v>
      </c>
      <c r="K30" s="87">
        <v>42.857986883224903</v>
      </c>
    </row>
    <row r="31" spans="2:11" ht="15" customHeight="1" x14ac:dyDescent="0.25">
      <c r="B31" s="78" t="s">
        <v>40</v>
      </c>
      <c r="C31" s="24"/>
      <c r="D31" s="87">
        <v>16231708.9465122</v>
      </c>
      <c r="E31" s="87">
        <v>29.021118960195398</v>
      </c>
      <c r="F31" s="88"/>
      <c r="G31" s="87">
        <v>8088189.1489211898</v>
      </c>
      <c r="H31" s="87">
        <v>27.451840281134398</v>
      </c>
      <c r="I31" s="88"/>
      <c r="J31" s="87">
        <v>7818827.2321137805</v>
      </c>
      <c r="K31" s="87">
        <v>29.849355879977701</v>
      </c>
    </row>
    <row r="32" spans="2:11" ht="15" customHeight="1" x14ac:dyDescent="0.25">
      <c r="B32" s="78" t="s">
        <v>41</v>
      </c>
      <c r="C32" s="24"/>
      <c r="D32" s="87">
        <v>6172794.0175774097</v>
      </c>
      <c r="E32" s="87">
        <v>10.982277335543801</v>
      </c>
      <c r="F32" s="88"/>
      <c r="G32" s="87">
        <v>3242466.09305955</v>
      </c>
      <c r="H32" s="87">
        <v>10.8710777015842</v>
      </c>
      <c r="I32" s="88"/>
      <c r="J32" s="87">
        <v>2694166.0889574201</v>
      </c>
      <c r="K32" s="87">
        <v>10.2623445907383</v>
      </c>
    </row>
    <row r="33" spans="2:11" ht="15" customHeight="1" x14ac:dyDescent="0.25">
      <c r="B33" s="78" t="s">
        <v>42</v>
      </c>
      <c r="C33" s="24"/>
      <c r="D33" s="87">
        <v>7589888.8244102905</v>
      </c>
      <c r="E33" s="87">
        <v>13.537627857694099</v>
      </c>
      <c r="F33" s="88"/>
      <c r="G33" s="87">
        <v>4660476.4496936798</v>
      </c>
      <c r="H33" s="87">
        <v>15.7143846806316</v>
      </c>
      <c r="I33" s="88"/>
      <c r="J33" s="87">
        <v>2709743.75265845</v>
      </c>
      <c r="K33" s="87">
        <v>10.2809076930273</v>
      </c>
    </row>
    <row r="34" spans="2:11" ht="6.95" customHeight="1" x14ac:dyDescent="0.25">
      <c r="B34" s="9"/>
      <c r="C34" s="9"/>
      <c r="D34" s="53"/>
      <c r="E34" s="9"/>
      <c r="F34" s="9"/>
      <c r="G34" s="53"/>
      <c r="H34" s="9"/>
      <c r="I34" s="9"/>
      <c r="J34" s="53"/>
      <c r="K34" s="9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7">
    <mergeCell ref="B36:F36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INDICE" xr:uid="{B61FA073-9924-4874-A6FB-5FECE18494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25D6-A86D-47FB-9B20-12078B9CCA47}">
  <dimension ref="B1:K36"/>
  <sheetViews>
    <sheetView showGridLines="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47" customWidth="1"/>
    <col min="5" max="5" width="15.7109375" customWidth="1"/>
    <col min="6" max="6" width="1.7109375" customWidth="1"/>
    <col min="7" max="7" width="15.7109375" style="47" customWidth="1"/>
    <col min="8" max="8" width="15.7109375" customWidth="1"/>
    <col min="9" max="9" width="1.7109375" customWidth="1"/>
    <col min="10" max="10" width="15.7109375" style="47" customWidth="1"/>
    <col min="11" max="11" width="15.7109375" customWidth="1"/>
  </cols>
  <sheetData>
    <row r="1" spans="2:11" s="60" customFormat="1" ht="15" customHeight="1" x14ac:dyDescent="0.2">
      <c r="B1" s="124" t="s">
        <v>60</v>
      </c>
      <c r="C1" s="61"/>
      <c r="D1" s="61"/>
      <c r="K1" s="62" t="s">
        <v>18</v>
      </c>
    </row>
    <row r="2" spans="2:11" s="63" customFormat="1" ht="6.95" customHeight="1" x14ac:dyDescent="0.2">
      <c r="B2" s="64"/>
      <c r="C2" s="64"/>
      <c r="D2" s="64"/>
      <c r="E2" s="65"/>
      <c r="K2" s="65"/>
    </row>
    <row r="3" spans="2:11" s="63" customFormat="1" ht="15" customHeight="1" x14ac:dyDescent="0.2">
      <c r="B3" s="61" t="s">
        <v>58</v>
      </c>
      <c r="C3" s="64"/>
      <c r="D3" s="64"/>
      <c r="E3" s="65"/>
      <c r="K3" s="65"/>
    </row>
    <row r="4" spans="2:11" s="63" customFormat="1" ht="6.95" customHeight="1" x14ac:dyDescent="0.2">
      <c r="B4" s="66"/>
      <c r="C4" s="66"/>
      <c r="D4" s="66"/>
      <c r="E4" s="65"/>
      <c r="K4" s="65"/>
    </row>
    <row r="5" spans="2:11" s="63" customFormat="1" ht="15" customHeight="1" x14ac:dyDescent="0.2">
      <c r="B5" s="75" t="s">
        <v>12</v>
      </c>
      <c r="C5" s="75"/>
      <c r="D5" s="75"/>
      <c r="E5" s="75"/>
      <c r="F5" s="75"/>
      <c r="G5" s="75"/>
      <c r="K5" s="67" t="s">
        <v>29</v>
      </c>
    </row>
    <row r="6" spans="2:11" s="63" customFormat="1" ht="6.95" customHeight="1" x14ac:dyDescent="0.2">
      <c r="B6" s="66"/>
      <c r="C6" s="66"/>
      <c r="D6" s="66"/>
      <c r="E6" s="65"/>
      <c r="F6" s="65"/>
      <c r="G6" s="65"/>
    </row>
    <row r="7" spans="2:11" s="63" customFormat="1" ht="15" customHeight="1" x14ac:dyDescent="0.2">
      <c r="B7" s="119" t="s">
        <v>56</v>
      </c>
      <c r="C7" s="68"/>
      <c r="D7" s="122" t="s">
        <v>35</v>
      </c>
      <c r="E7" s="122"/>
      <c r="F7" s="69"/>
      <c r="G7" s="117" t="s">
        <v>34</v>
      </c>
      <c r="H7" s="117"/>
      <c r="I7" s="117"/>
      <c r="J7" s="117"/>
      <c r="K7" s="117"/>
    </row>
    <row r="8" spans="2:11" ht="15" customHeight="1" x14ac:dyDescent="0.25">
      <c r="B8" s="120"/>
      <c r="C8" s="70"/>
      <c r="D8" s="123"/>
      <c r="E8" s="123"/>
      <c r="F8" s="14"/>
      <c r="G8" s="118" t="s">
        <v>0</v>
      </c>
      <c r="H8" s="118"/>
      <c r="I8" s="14"/>
      <c r="J8" s="118" t="s">
        <v>1</v>
      </c>
      <c r="K8" s="118"/>
    </row>
    <row r="9" spans="2:11" ht="15" customHeight="1" x14ac:dyDescent="0.25">
      <c r="B9" s="121"/>
      <c r="C9" s="46"/>
      <c r="D9" s="48" t="s">
        <v>10</v>
      </c>
      <c r="E9" s="45" t="s">
        <v>11</v>
      </c>
      <c r="F9" s="15"/>
      <c r="G9" s="52" t="s">
        <v>10</v>
      </c>
      <c r="H9" s="16" t="s">
        <v>11</v>
      </c>
      <c r="I9" s="15"/>
      <c r="J9" s="52" t="s">
        <v>10</v>
      </c>
      <c r="K9" s="16" t="s">
        <v>11</v>
      </c>
    </row>
    <row r="10" spans="2:11" ht="6.95" customHeight="1" x14ac:dyDescent="0.25">
      <c r="B10" s="6"/>
      <c r="C10" s="6"/>
      <c r="D10" s="49"/>
      <c r="E10" s="6"/>
      <c r="F10" s="6"/>
      <c r="G10" s="49"/>
      <c r="H10" s="6"/>
      <c r="I10" s="6"/>
      <c r="J10" s="49"/>
      <c r="K10" s="6"/>
    </row>
    <row r="11" spans="2:11" ht="15" customHeight="1" x14ac:dyDescent="0.25">
      <c r="B11" s="7" t="s">
        <v>2</v>
      </c>
      <c r="C11" s="7"/>
      <c r="D11" s="84">
        <v>85074250.450445905</v>
      </c>
      <c r="E11" s="84">
        <v>100</v>
      </c>
      <c r="F11" s="85"/>
      <c r="G11" s="84">
        <v>45189093.536525302</v>
      </c>
      <c r="H11" s="84">
        <v>100</v>
      </c>
      <c r="I11" s="85"/>
      <c r="J11" s="84">
        <v>38949471.211108603</v>
      </c>
      <c r="K11" s="84">
        <v>100</v>
      </c>
    </row>
    <row r="12" spans="2:11" ht="6.95" customHeight="1" x14ac:dyDescent="0.25">
      <c r="B12" s="7"/>
      <c r="C12" s="7"/>
      <c r="D12" s="84"/>
      <c r="E12" s="84"/>
      <c r="F12" s="85"/>
      <c r="G12" s="84"/>
      <c r="H12" s="84"/>
      <c r="I12" s="86"/>
      <c r="J12" s="84"/>
      <c r="K12" s="84"/>
    </row>
    <row r="13" spans="2:11" ht="45" customHeight="1" x14ac:dyDescent="0.25">
      <c r="B13" s="43" t="s">
        <v>57</v>
      </c>
      <c r="C13" s="11"/>
      <c r="D13" s="87"/>
      <c r="E13" s="87"/>
      <c r="F13" s="88"/>
      <c r="G13" s="87"/>
      <c r="H13" s="87"/>
      <c r="I13" s="88"/>
      <c r="J13" s="87"/>
      <c r="K13" s="87"/>
    </row>
    <row r="14" spans="2:11" ht="15" customHeight="1" x14ac:dyDescent="0.25">
      <c r="B14" s="21" t="s">
        <v>43</v>
      </c>
      <c r="C14" s="11"/>
      <c r="D14" s="87">
        <v>5105668.3264922705</v>
      </c>
      <c r="E14" s="87">
        <v>5.9156156691979396</v>
      </c>
      <c r="F14" s="88"/>
      <c r="G14" s="87">
        <v>2976330.3287422499</v>
      </c>
      <c r="H14" s="87">
        <v>6.4363878406783703</v>
      </c>
      <c r="I14" s="88"/>
      <c r="J14" s="87">
        <v>1939529.7564053801</v>
      </c>
      <c r="K14" s="87">
        <v>4.85518120113856</v>
      </c>
    </row>
    <row r="15" spans="2:11" ht="15" customHeight="1" x14ac:dyDescent="0.25">
      <c r="B15" s="21" t="s">
        <v>44</v>
      </c>
      <c r="C15" s="11"/>
      <c r="D15" s="87">
        <v>8681367.0427375697</v>
      </c>
      <c r="E15" s="87">
        <v>10.0401482137786</v>
      </c>
      <c r="F15" s="88"/>
      <c r="G15" s="87">
        <v>4855636.6609944301</v>
      </c>
      <c r="H15" s="87">
        <v>10.5240389558847</v>
      </c>
      <c r="I15" s="88"/>
      <c r="J15" s="87">
        <v>3569833.5998264002</v>
      </c>
      <c r="K15" s="87">
        <v>8.9395105711453606</v>
      </c>
    </row>
    <row r="16" spans="2:11" ht="15" customHeight="1" x14ac:dyDescent="0.25">
      <c r="B16" s="21" t="s">
        <v>45</v>
      </c>
      <c r="C16" s="11"/>
      <c r="D16" s="87">
        <v>65365402.303637601</v>
      </c>
      <c r="E16" s="87">
        <v>76.103952092667996</v>
      </c>
      <c r="F16" s="88"/>
      <c r="G16" s="87">
        <v>33875089.073491402</v>
      </c>
      <c r="H16" s="87">
        <v>73.916300379782001</v>
      </c>
      <c r="I16" s="88"/>
      <c r="J16" s="87">
        <v>30779681.606389102</v>
      </c>
      <c r="K16" s="87">
        <v>77.981373173805807</v>
      </c>
    </row>
    <row r="17" spans="2:11" ht="15" customHeight="1" x14ac:dyDescent="0.25">
      <c r="B17" s="21" t="s">
        <v>7</v>
      </c>
      <c r="C17" s="11"/>
      <c r="D17" s="87">
        <v>4276711.5873574195</v>
      </c>
      <c r="E17" s="87">
        <v>4.94820538083383</v>
      </c>
      <c r="F17" s="88"/>
      <c r="G17" s="87">
        <v>2441421.2572349701</v>
      </c>
      <c r="H17" s="87">
        <v>5.26736245859344</v>
      </c>
      <c r="I17" s="88"/>
      <c r="J17" s="87">
        <v>1706065.80063179</v>
      </c>
      <c r="K17" s="87">
        <v>4.2685367896795903</v>
      </c>
    </row>
    <row r="18" spans="2:11" ht="6.95" customHeight="1" x14ac:dyDescent="0.25">
      <c r="B18" s="8"/>
      <c r="C18" s="8"/>
      <c r="D18" s="92"/>
      <c r="E18" s="93"/>
      <c r="F18" s="92"/>
      <c r="G18" s="92"/>
      <c r="H18" s="93"/>
      <c r="I18" s="93"/>
      <c r="J18" s="93"/>
      <c r="K18" s="93"/>
    </row>
    <row r="19" spans="2:11" ht="15" customHeight="1" x14ac:dyDescent="0.25">
      <c r="B19" s="74" t="s">
        <v>3</v>
      </c>
      <c r="C19" s="7"/>
      <c r="D19" s="84">
        <v>27919808.370060898</v>
      </c>
      <c r="E19" s="84">
        <v>100</v>
      </c>
      <c r="F19" s="85"/>
      <c r="G19" s="84">
        <v>15147712.0036007</v>
      </c>
      <c r="H19" s="84">
        <v>100</v>
      </c>
      <c r="I19" s="85"/>
      <c r="J19" s="84">
        <v>12466861.324348001</v>
      </c>
      <c r="K19" s="84">
        <v>100</v>
      </c>
    </row>
    <row r="20" spans="2:11" ht="6.95" customHeight="1" x14ac:dyDescent="0.25">
      <c r="B20" s="7"/>
      <c r="C20" s="7"/>
      <c r="D20" s="84"/>
      <c r="E20" s="84"/>
      <c r="F20" s="85"/>
      <c r="G20" s="84"/>
      <c r="H20" s="84"/>
      <c r="I20" s="86"/>
      <c r="J20" s="84"/>
      <c r="K20" s="84"/>
    </row>
    <row r="21" spans="2:11" ht="45" customHeight="1" x14ac:dyDescent="0.25">
      <c r="B21" s="43" t="s">
        <v>57</v>
      </c>
      <c r="C21" s="11"/>
      <c r="D21" s="87"/>
      <c r="E21" s="87"/>
      <c r="F21" s="88"/>
      <c r="G21" s="87"/>
      <c r="H21" s="87"/>
      <c r="I21" s="88"/>
      <c r="J21" s="87"/>
      <c r="K21" s="87"/>
    </row>
    <row r="22" spans="2:11" ht="15" customHeight="1" x14ac:dyDescent="0.25">
      <c r="B22" s="21" t="s">
        <v>43</v>
      </c>
      <c r="C22" s="11"/>
      <c r="D22" s="87">
        <v>2215277.83362582</v>
      </c>
      <c r="E22" s="87">
        <v>7.5246732411808699</v>
      </c>
      <c r="F22" s="88"/>
      <c r="G22" s="87">
        <v>1333081.73525806</v>
      </c>
      <c r="H22" s="87">
        <v>8.2752372458643908</v>
      </c>
      <c r="I22" s="88"/>
      <c r="J22" s="87">
        <v>784027.49467656901</v>
      </c>
      <c r="K22" s="87">
        <v>5.8883658196272499</v>
      </c>
    </row>
    <row r="23" spans="2:11" ht="15" customHeight="1" x14ac:dyDescent="0.25">
      <c r="B23" s="21" t="s">
        <v>44</v>
      </c>
      <c r="C23" s="11"/>
      <c r="D23" s="87">
        <v>2991181.1988598099</v>
      </c>
      <c r="E23" s="87">
        <v>10.208598728061601</v>
      </c>
      <c r="F23" s="88"/>
      <c r="G23" s="87">
        <v>1584983.1778385099</v>
      </c>
      <c r="H23" s="87">
        <v>10.0008830998186</v>
      </c>
      <c r="I23" s="88"/>
      <c r="J23" s="87">
        <v>1258630.5553786899</v>
      </c>
      <c r="K23" s="87">
        <v>9.4813638422414996</v>
      </c>
    </row>
    <row r="24" spans="2:11" ht="15" customHeight="1" x14ac:dyDescent="0.25">
      <c r="B24" s="21" t="s">
        <v>45</v>
      </c>
      <c r="C24" s="11"/>
      <c r="D24" s="87">
        <v>19974122.041680399</v>
      </c>
      <c r="E24" s="87">
        <v>70.049376780918905</v>
      </c>
      <c r="F24" s="88"/>
      <c r="G24" s="87">
        <v>10609025.707703101</v>
      </c>
      <c r="H24" s="87">
        <v>68.193229052066002</v>
      </c>
      <c r="I24" s="88"/>
      <c r="J24" s="87">
        <v>9120495.9032600895</v>
      </c>
      <c r="K24" s="87">
        <v>71.178981187128798</v>
      </c>
    </row>
    <row r="25" spans="2:11" ht="15" customHeight="1" x14ac:dyDescent="0.25">
      <c r="B25" s="21" t="s">
        <v>7</v>
      </c>
      <c r="C25" s="11"/>
      <c r="D25" s="87">
        <v>1952765.77102068</v>
      </c>
      <c r="E25" s="87">
        <v>6.6520241886311</v>
      </c>
      <c r="F25" s="88"/>
      <c r="G25" s="87">
        <v>1061699.30057561</v>
      </c>
      <c r="H25" s="87">
        <v>6.5828167926179697</v>
      </c>
      <c r="I25" s="88"/>
      <c r="J25" s="87">
        <v>821564.95043390105</v>
      </c>
      <c r="K25" s="87">
        <v>6.2309718715191798</v>
      </c>
    </row>
    <row r="26" spans="2:11" ht="6.95" customHeight="1" x14ac:dyDescent="0.25">
      <c r="B26" s="8"/>
      <c r="C26" s="8"/>
      <c r="D26" s="92"/>
      <c r="E26" s="92"/>
      <c r="F26" s="92"/>
      <c r="G26" s="92"/>
      <c r="H26" s="92"/>
      <c r="I26" s="92"/>
      <c r="J26" s="92"/>
      <c r="K26" s="92"/>
    </row>
    <row r="27" spans="2:11" ht="15" customHeight="1" x14ac:dyDescent="0.25">
      <c r="B27" s="74" t="s">
        <v>4</v>
      </c>
      <c r="C27" s="7"/>
      <c r="D27" s="84">
        <v>54724471.783623897</v>
      </c>
      <c r="E27" s="84">
        <v>100</v>
      </c>
      <c r="F27" s="85"/>
      <c r="G27" s="84">
        <v>28733115.775626201</v>
      </c>
      <c r="H27" s="84">
        <v>100</v>
      </c>
      <c r="I27" s="85"/>
      <c r="J27" s="84">
        <v>25428611.494824</v>
      </c>
      <c r="K27" s="84">
        <v>100</v>
      </c>
    </row>
    <row r="28" spans="2:11" ht="6.95" customHeight="1" x14ac:dyDescent="0.25">
      <c r="B28" s="7"/>
      <c r="C28" s="7"/>
      <c r="D28" s="84"/>
      <c r="E28" s="84"/>
      <c r="F28" s="85"/>
      <c r="G28" s="84"/>
      <c r="H28" s="84"/>
      <c r="I28" s="86"/>
      <c r="J28" s="84"/>
      <c r="K28" s="84"/>
    </row>
    <row r="29" spans="2:11" ht="45" customHeight="1" x14ac:dyDescent="0.25">
      <c r="B29" s="43" t="s">
        <v>57</v>
      </c>
      <c r="C29" s="11"/>
      <c r="D29" s="87"/>
      <c r="E29" s="87"/>
      <c r="F29" s="88"/>
      <c r="G29" s="87"/>
      <c r="H29" s="87"/>
      <c r="I29" s="88"/>
      <c r="J29" s="87"/>
      <c r="K29" s="87"/>
    </row>
    <row r="30" spans="2:11" ht="15" customHeight="1" x14ac:dyDescent="0.25">
      <c r="B30" s="21" t="s">
        <v>43</v>
      </c>
      <c r="C30" s="11"/>
      <c r="D30" s="87">
        <v>2653664.7493426101</v>
      </c>
      <c r="E30" s="87">
        <v>4.7296213073674904</v>
      </c>
      <c r="F30" s="88"/>
      <c r="G30" s="87">
        <v>1482039.7143462</v>
      </c>
      <c r="H30" s="87">
        <v>4.9963808214079002</v>
      </c>
      <c r="I30" s="88"/>
      <c r="J30" s="87">
        <v>1027509.50268573</v>
      </c>
      <c r="K30" s="87">
        <v>3.88834757523734</v>
      </c>
    </row>
    <row r="31" spans="2:11" ht="15" customHeight="1" x14ac:dyDescent="0.25">
      <c r="B31" s="21" t="s">
        <v>44</v>
      </c>
      <c r="C31" s="11"/>
      <c r="D31" s="87">
        <v>5361082.4301204896</v>
      </c>
      <c r="E31" s="87">
        <v>9.5406854876049199</v>
      </c>
      <c r="F31" s="88"/>
      <c r="G31" s="87">
        <v>3029477.3755339398</v>
      </c>
      <c r="H31" s="87">
        <v>10.2232177596784</v>
      </c>
      <c r="I31" s="88"/>
      <c r="J31" s="87">
        <v>2140053.2739427602</v>
      </c>
      <c r="K31" s="87">
        <v>8.1250577450142192</v>
      </c>
    </row>
    <row r="32" spans="2:11" ht="15" customHeight="1" x14ac:dyDescent="0.25">
      <c r="B32" s="21" t="s">
        <v>45</v>
      </c>
      <c r="C32" s="11"/>
      <c r="D32" s="87">
        <v>43652962.947721504</v>
      </c>
      <c r="E32" s="87">
        <v>78.656948694712199</v>
      </c>
      <c r="F32" s="88"/>
      <c r="G32" s="87">
        <v>22333062.4921811</v>
      </c>
      <c r="H32" s="87">
        <v>76.2180498579757</v>
      </c>
      <c r="I32" s="88"/>
      <c r="J32" s="87">
        <v>20840499.218880702</v>
      </c>
      <c r="K32" s="87">
        <v>80.637698481032302</v>
      </c>
    </row>
    <row r="33" spans="2:11" ht="15" customHeight="1" x14ac:dyDescent="0.25">
      <c r="B33" s="21" t="s">
        <v>7</v>
      </c>
      <c r="C33" s="11"/>
      <c r="D33" s="87">
        <v>2084176.7217829099</v>
      </c>
      <c r="E33" s="87">
        <v>3.6910303563228801</v>
      </c>
      <c r="F33" s="88"/>
      <c r="G33" s="87">
        <v>1216323.29699936</v>
      </c>
      <c r="H33" s="87">
        <v>4.0566401830706598</v>
      </c>
      <c r="I33" s="88"/>
      <c r="J33" s="87">
        <v>742216.85807913798</v>
      </c>
      <c r="K33" s="87">
        <v>2.8099392199683599</v>
      </c>
    </row>
    <row r="34" spans="2:11" ht="6.95" customHeight="1" x14ac:dyDescent="0.25">
      <c r="B34" s="9"/>
      <c r="C34" s="9"/>
      <c r="D34" s="50"/>
      <c r="E34" s="44"/>
      <c r="F34" s="44"/>
      <c r="G34" s="50"/>
      <c r="H34" s="44"/>
      <c r="I34" s="44"/>
      <c r="J34" s="50"/>
      <c r="K34" s="44"/>
    </row>
    <row r="35" spans="2:11" ht="6.95" customHeight="1" x14ac:dyDescent="0.25">
      <c r="B35" s="22"/>
      <c r="C35" s="22"/>
      <c r="D35" s="51"/>
      <c r="E35" s="22"/>
      <c r="F35" s="22"/>
      <c r="G35" s="51"/>
      <c r="H35" s="22"/>
      <c r="I35" s="22"/>
      <c r="J35" s="51"/>
      <c r="K35" s="22"/>
    </row>
    <row r="36" spans="2:11" ht="12" customHeight="1" x14ac:dyDescent="0.25">
      <c r="B36" s="110" t="s">
        <v>36</v>
      </c>
      <c r="C36" s="110"/>
      <c r="D36" s="110"/>
      <c r="E36" s="110"/>
      <c r="F36" s="110"/>
      <c r="G36"/>
      <c r="J36"/>
    </row>
  </sheetData>
  <mergeCells count="6">
    <mergeCell ref="B36:F36"/>
    <mergeCell ref="J8:K8"/>
    <mergeCell ref="G8:H8"/>
    <mergeCell ref="G7:K7"/>
    <mergeCell ref="D7:E8"/>
    <mergeCell ref="B7:B9"/>
  </mergeCells>
  <hyperlinks>
    <hyperlink ref="K1" location="Índice!A1" tooltip="Ir a ÍNDICE" display="INDICE" xr:uid="{0D18888E-CCC4-4062-901E-3AD8CECC901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ÍNDICE</vt:lpstr>
      <vt:lpstr>Cuadro 12.1</vt:lpstr>
      <vt:lpstr>Cuadro 12.2</vt:lpstr>
      <vt:lpstr>Cuadro 12.3</vt:lpstr>
      <vt:lpstr>Cuadro 12.4</vt:lpstr>
      <vt:lpstr>Cuadro 12.5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2021-07-05T19:41:02Z</dcterms:created>
  <dcterms:modified xsi:type="dcterms:W3CDTF">2025-03-11T17:46:35Z</dcterms:modified>
</cp:coreProperties>
</file>