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12\"/>
    </mc:Choice>
  </mc:AlternateContent>
  <xr:revisionPtr revIDLastSave="0" documentId="13_ncr:1_{87403117-4924-4FD2-8E82-AC05730BD2CD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ÍNDICE" sheetId="11" r:id="rId1"/>
    <sheet name="Cuadro 12.1" sheetId="15" r:id="rId2"/>
    <sheet name="Cuadro 12.2" sheetId="14" r:id="rId3"/>
    <sheet name="Cuadro 12.3" sheetId="13" r:id="rId4"/>
    <sheet name="Cuadro 12.4" sheetId="12" r:id="rId5"/>
    <sheet name="Cuadro 12.5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1" l="1"/>
</calcChain>
</file>

<file path=xl/sharedStrings.xml><?xml version="1.0" encoding="utf-8"?>
<sst xmlns="http://schemas.openxmlformats.org/spreadsheetml/2006/main" count="190" uniqueCount="62">
  <si>
    <t>Mujeres</t>
  </si>
  <si>
    <t>Hombres</t>
  </si>
  <si>
    <t xml:space="preserve">Estados Unidos Mexicanos </t>
  </si>
  <si>
    <t>1 a 14 999 habitantes</t>
  </si>
  <si>
    <t xml:space="preserve">15 000 y más habitantes </t>
  </si>
  <si>
    <t>Nada</t>
  </si>
  <si>
    <t>Otro valor</t>
  </si>
  <si>
    <t>No sabe</t>
  </si>
  <si>
    <t xml:space="preserve">     No responde o No sabe </t>
  </si>
  <si>
    <t>Tamaño de localidad y conocimiento del interés compuesto</t>
  </si>
  <si>
    <t>Absolutos</t>
  </si>
  <si>
    <t>Relativos</t>
  </si>
  <si>
    <t xml:space="preserve">Población de 18 a 70 años por tamaño de localidad y conocimiento del significado de inflación, según sexo  </t>
  </si>
  <si>
    <t>TABULADOS BÁSICOS</t>
  </si>
  <si>
    <t>Nivel de confianza del 90%</t>
  </si>
  <si>
    <t>Tema</t>
  </si>
  <si>
    <t>ID Cuadro</t>
  </si>
  <si>
    <t>Título</t>
  </si>
  <si>
    <t>ÍNDICE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</si>
  <si>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tipo de interés e inflación puede ser mayor al total porque una persona pudo haber respondido correctamente en más de una.</t>
    </r>
  </si>
  <si>
    <t>Interés simple sin cálculo</t>
  </si>
  <si>
    <t>Interés simple con cálculo</t>
  </si>
  <si>
    <t>Interés compuesto</t>
  </si>
  <si>
    <t>Inflación</t>
  </si>
  <si>
    <r>
      <t xml:space="preserve">Tema 12. 
</t>
    </r>
    <r>
      <rPr>
        <sz val="11"/>
        <color theme="10"/>
        <rFont val="Arial"/>
        <family val="2"/>
      </rPr>
      <t>Capacidades financieras</t>
    </r>
  </si>
  <si>
    <t>Cuadro 12.1</t>
  </si>
  <si>
    <t>Cuadro 12.2</t>
  </si>
  <si>
    <t>Cuadro 12.3</t>
  </si>
  <si>
    <t>Cuadro 12.4</t>
  </si>
  <si>
    <t>Cuadro 12.5</t>
  </si>
  <si>
    <t>Encuesta Nacional de Inclusión Financiera (ENIF) 2024</t>
  </si>
  <si>
    <t xml:space="preserve">     Más de 102 pesos</t>
  </si>
  <si>
    <t xml:space="preserve">     Exactamente 102 pesos</t>
  </si>
  <si>
    <t xml:space="preserve">     Menos de 102 pesos</t>
  </si>
  <si>
    <t>Sexo</t>
  </si>
  <si>
    <t>Población de 18 a 70 años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</si>
  <si>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</si>
  <si>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 xml:space="preserve">Tamaño de localidad, tipo de interés 
y significado de inflación </t>
  </si>
  <si>
    <t>Si usted le presta 25 pesos a un amigo y a la siguiente semana 
le regresa los 25 pesos ¿cuánto le pagó de interés?</t>
  </si>
  <si>
    <t>más de 110 pesos</t>
  </si>
  <si>
    <t>exactamente 110 pesos</t>
  </si>
  <si>
    <t>menos de 110 pesos</t>
  </si>
  <si>
    <t xml:space="preserve">No responde o No sabe </t>
  </si>
  <si>
    <t xml:space="preserve">más de lo que puede comprar hoy </t>
  </si>
  <si>
    <t>lo mismo</t>
  </si>
  <si>
    <t xml:space="preserve">menos de lo que puede comprar hoy </t>
  </si>
  <si>
    <t>Población de 18 a 70 años que contestó correctamente la pregunta de interés simple, con y sin cálculo, interés compuesto o significado de inflación, por tamaño de localidad según sexo</t>
  </si>
  <si>
    <t xml:space="preserve">Población de 18 a 70 años por tamaño de localidad y conocimiento de interés simple sin cálculo según sexo  </t>
  </si>
  <si>
    <t xml:space="preserve">Población de 18 a 70 años por tamaño de localidad y conocimiento de interés simple con cálculo según sexo  </t>
  </si>
  <si>
    <t xml:space="preserve">Población de 18 a 70 años por tamaño de localidad y conocimiento de interés compuesto según sexo  </t>
  </si>
  <si>
    <t xml:space="preserve">Población de 18 a 70 años por tamaño de localidad y conocimiento del significado de inflación según sexo  </t>
  </si>
  <si>
    <r>
      <t>Población de 18 a 70 años que contestó correctamente la pregunta de interés simple</t>
    </r>
    <r>
      <rPr>
        <b/>
        <vertAlign val="superscript"/>
        <sz val="8"/>
        <rFont val="Arial"/>
        <family val="2"/>
      </rPr>
      <t>1</t>
    </r>
  </si>
  <si>
    <t xml:space="preserve">Población de 18 a 70 años que contestó correctamente la pregunta de interés simple, con y sin cálculo, interés compuesto 
o significado de inflación, por tamaño de localidad, tipo de interés y significado de la inflación según sexo  </t>
  </si>
  <si>
    <t xml:space="preserve">Tamaño de localidad y conocimiento
del interés simple sin cálculo </t>
  </si>
  <si>
    <t xml:space="preserve">Tamaño de localidad y conocimiento
del interés simple con cálculo </t>
  </si>
  <si>
    <t>Supongamos que deposita 100 pesos en una cuenta de ahorro que le da una ganancia del 2% al año. Si no realiza depósitos ni retiros, incluyendo los intereses, ¿cuánto tendrá al final del año?</t>
  </si>
  <si>
    <t>Tamaño de localidad y conocimiento
del significado de inflación</t>
  </si>
  <si>
    <t>Si le regalan $1 000 pesos, pero tiene que esperar un año para gastarlo y en ese año la inflación es de 5%, ¿usted podría comprar...</t>
  </si>
  <si>
    <t>Límite superior.</t>
  </si>
  <si>
    <t>Marzo 2025</t>
  </si>
  <si>
    <t>INEGI. Encuesta Nacional de Inclusión Financiera (ENIF) 2024. Tabulados básicos.</t>
  </si>
  <si>
    <t>Si deposita 100 pesos en una cuenta de ahorro que le da una ganancia del 2% al año y no hace depósitos ni retiros, considerando que los intereses se reinvierten, ¿usted tendrá al final de cinco años...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</si>
</sst>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###\ ###\ ##0.0"/>
    <numFmt numFmtId="167" formatCode="###,###,###,##0"/>
    <numFmt numFmtId="168" formatCode="#,##0.000"/>
    <numFmt numFmtId="169" formatCode="###,###,###,###,##0.0;[Red]\-###,###,###,###,##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color rgb="FF003399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u/>
      <sz val="9"/>
      <color rgb="FF003399"/>
      <name val="Arial"/>
      <family val="2"/>
    </font>
    <font>
      <vertAlign val="superscript"/>
      <sz val="8"/>
      <name val="Arial"/>
      <family val="2"/>
    </font>
    <font>
      <b/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color indexed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8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</cellStyleXfs>
  <cellXfs count="125">
    <xf numFmtId="0" fontId="0" fillId="0" borderId="0" xfId="0"/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wrapText="1" indent="1"/>
    </xf>
    <xf numFmtId="0" fontId="2" fillId="2" borderId="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5" fillId="2" borderId="0" xfId="5" applyFont="1" applyFill="1" applyAlignment="1">
      <alignment horizontal="left"/>
    </xf>
    <xf numFmtId="0" fontId="5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wrapText="1" indent="1"/>
    </xf>
    <xf numFmtId="0" fontId="2" fillId="2" borderId="2" xfId="5" applyFont="1" applyFill="1" applyBorder="1" applyAlignment="1">
      <alignment horizontal="left"/>
    </xf>
    <xf numFmtId="0" fontId="8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 wrapText="1" indent="1"/>
    </xf>
    <xf numFmtId="165" fontId="5" fillId="2" borderId="0" xfId="8" applyNumberFormat="1" applyFont="1" applyFill="1" applyBorder="1" applyAlignment="1">
      <alignment horizontal="left" vertical="center"/>
    </xf>
    <xf numFmtId="165" fontId="5" fillId="2" borderId="0" xfId="8" applyNumberFormat="1" applyFont="1" applyFill="1" applyBorder="1" applyAlignment="1">
      <alignment horizontal="left"/>
    </xf>
    <xf numFmtId="0" fontId="5" fillId="2" borderId="1" xfId="6" applyFont="1" applyFill="1" applyBorder="1" applyAlignment="1">
      <alignment horizontal="right" vertical="center" wrapText="1"/>
    </xf>
    <xf numFmtId="0" fontId="5" fillId="2" borderId="2" xfId="6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2" fillId="2" borderId="0" xfId="1" applyFont="1" applyFill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166" fontId="8" fillId="0" borderId="0" xfId="0" applyNumberFormat="1" applyFont="1" applyAlignment="1">
      <alignment horizontal="right" vertical="center" wrapText="1"/>
    </xf>
    <xf numFmtId="0" fontId="2" fillId="2" borderId="0" xfId="5" applyFont="1" applyFill="1" applyAlignment="1">
      <alignment horizontal="left" vertical="center" wrapText="1" indent="3"/>
    </xf>
    <xf numFmtId="0" fontId="2" fillId="2" borderId="0" xfId="5" applyFont="1" applyFill="1" applyAlignment="1">
      <alignment horizontal="left"/>
    </xf>
    <xf numFmtId="166" fontId="12" fillId="0" borderId="2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 indent="1"/>
    </xf>
    <xf numFmtId="0" fontId="13" fillId="0" borderId="0" xfId="9" applyFont="1"/>
    <xf numFmtId="0" fontId="17" fillId="0" borderId="0" xfId="9" applyFont="1" applyAlignment="1">
      <alignment horizontal="center" vertical="center"/>
    </xf>
    <xf numFmtId="0" fontId="17" fillId="0" borderId="0" xfId="9" applyFont="1" applyAlignment="1">
      <alignment vertical="center"/>
    </xf>
    <xf numFmtId="0" fontId="18" fillId="0" borderId="0" xfId="9" applyFont="1" applyAlignment="1">
      <alignment vertical="center"/>
    </xf>
    <xf numFmtId="0" fontId="11" fillId="0" borderId="0" xfId="9" applyFont="1"/>
    <xf numFmtId="0" fontId="21" fillId="0" borderId="0" xfId="9" applyFont="1"/>
    <xf numFmtId="17" fontId="20" fillId="0" borderId="0" xfId="9" quotePrefix="1" applyNumberFormat="1" applyFont="1"/>
    <xf numFmtId="17" fontId="14" fillId="0" borderId="0" xfId="9" quotePrefix="1" applyNumberFormat="1" applyFont="1"/>
    <xf numFmtId="0" fontId="18" fillId="5" borderId="5" xfId="9" applyFont="1" applyFill="1" applyBorder="1" applyAlignment="1">
      <alignment horizontal="center" vertical="center"/>
    </xf>
    <xf numFmtId="0" fontId="18" fillId="5" borderId="6" xfId="9" applyFont="1" applyFill="1" applyBorder="1" applyAlignment="1">
      <alignment horizontal="center" vertical="center"/>
    </xf>
    <xf numFmtId="0" fontId="24" fillId="0" borderId="9" xfId="2" applyFont="1" applyBorder="1" applyAlignment="1" applyProtection="1">
      <alignment horizontal="center" vertical="center"/>
    </xf>
    <xf numFmtId="0" fontId="24" fillId="0" borderId="14" xfId="2" applyFont="1" applyBorder="1" applyAlignment="1" applyProtection="1">
      <alignment horizontal="center" vertical="center"/>
    </xf>
    <xf numFmtId="0" fontId="24" fillId="0" borderId="15" xfId="2" applyFont="1" applyBorder="1" applyAlignment="1" applyProtection="1">
      <alignment horizontal="center" vertical="center"/>
    </xf>
    <xf numFmtId="0" fontId="24" fillId="0" borderId="17" xfId="2" applyFont="1" applyBorder="1" applyAlignment="1" applyProtection="1">
      <alignment horizontal="center" vertical="center"/>
    </xf>
    <xf numFmtId="0" fontId="25" fillId="0" borderId="0" xfId="9" applyFont="1"/>
    <xf numFmtId="0" fontId="25" fillId="0" borderId="0" xfId="9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2" borderId="2" xfId="1" applyFont="1" applyFill="1" applyBorder="1" applyAlignment="1">
      <alignment horizontal="left" vertical="center" wrapText="1"/>
    </xf>
    <xf numFmtId="0" fontId="2" fillId="2" borderId="0" xfId="5" applyFont="1" applyFill="1" applyAlignment="1">
      <alignment horizontal="left" vertical="center" wrapText="1" indent="2"/>
    </xf>
    <xf numFmtId="0" fontId="2" fillId="0" borderId="2" xfId="5" applyFont="1" applyBorder="1" applyAlignment="1">
      <alignment horizontal="left"/>
    </xf>
    <xf numFmtId="0" fontId="5" fillId="3" borderId="4" xfId="0" applyFont="1" applyFill="1" applyBorder="1" applyAlignment="1">
      <alignment horizontal="right" vertical="center"/>
    </xf>
    <xf numFmtId="0" fontId="5" fillId="2" borderId="2" xfId="5" applyFont="1" applyFill="1" applyBorder="1" applyAlignment="1">
      <alignment horizontal="left" vertical="center" wrapText="1"/>
    </xf>
    <xf numFmtId="167" fontId="0" fillId="0" borderId="0" xfId="0" applyNumberFormat="1"/>
    <xf numFmtId="167" fontId="5" fillId="3" borderId="4" xfId="0" applyNumberFormat="1" applyFont="1" applyFill="1" applyBorder="1" applyAlignment="1">
      <alignment horizontal="right" vertical="center"/>
    </xf>
    <xf numFmtId="167" fontId="5" fillId="2" borderId="0" xfId="5" applyNumberFormat="1" applyFont="1" applyFill="1" applyAlignment="1">
      <alignment horizontal="left"/>
    </xf>
    <xf numFmtId="167" fontId="2" fillId="0" borderId="2" xfId="5" applyNumberFormat="1" applyFont="1" applyBorder="1" applyAlignment="1">
      <alignment horizontal="left"/>
    </xf>
    <xf numFmtId="167" fontId="2" fillId="2" borderId="0" xfId="5" applyNumberFormat="1" applyFont="1" applyFill="1" applyAlignment="1">
      <alignment horizontal="left"/>
    </xf>
    <xf numFmtId="167" fontId="5" fillId="3" borderId="2" xfId="0" applyNumberFormat="1" applyFont="1" applyFill="1" applyBorder="1" applyAlignment="1">
      <alignment horizontal="right" vertical="center"/>
    </xf>
    <xf numFmtId="167" fontId="2" fillId="2" borderId="2" xfId="5" applyNumberFormat="1" applyFont="1" applyFill="1" applyBorder="1" applyAlignment="1">
      <alignment horizontal="left"/>
    </xf>
    <xf numFmtId="167" fontId="12" fillId="0" borderId="2" xfId="0" applyNumberFormat="1" applyFont="1" applyBorder="1" applyAlignment="1">
      <alignment horizontal="right" vertical="center" wrapText="1"/>
    </xf>
    <xf numFmtId="167" fontId="5" fillId="2" borderId="0" xfId="1" applyNumberFormat="1" applyFont="1" applyFill="1" applyAlignment="1">
      <alignment horizontal="left"/>
    </xf>
    <xf numFmtId="167" fontId="2" fillId="2" borderId="2" xfId="1" applyNumberFormat="1" applyFont="1" applyFill="1" applyBorder="1" applyAlignment="1">
      <alignment horizontal="left"/>
    </xf>
    <xf numFmtId="167" fontId="2" fillId="2" borderId="0" xfId="1" applyNumberFormat="1" applyFont="1" applyFill="1" applyAlignment="1">
      <alignment horizontal="left"/>
    </xf>
    <xf numFmtId="167" fontId="2" fillId="2" borderId="0" xfId="1" applyNumberFormat="1" applyFont="1" applyFill="1" applyAlignment="1">
      <alignment horizontal="left" vertical="center"/>
    </xf>
    <xf numFmtId="0" fontId="16" fillId="0" borderId="0" xfId="9" applyFont="1" applyAlignment="1">
      <alignment horizontal="center" vertical="center"/>
    </xf>
    <xf numFmtId="0" fontId="10" fillId="0" borderId="0" xfId="0" applyFont="1"/>
    <xf numFmtId="168" fontId="10" fillId="0" borderId="0" xfId="0" applyNumberFormat="1" applyFont="1" applyAlignment="1">
      <alignment horizontal="left" vertical="center"/>
    </xf>
    <xf numFmtId="0" fontId="26" fillId="0" borderId="0" xfId="2" applyFont="1" applyFill="1" applyAlignment="1">
      <alignment horizontal="right" vertical="center"/>
    </xf>
    <xf numFmtId="0" fontId="30" fillId="0" borderId="0" xfId="0" applyFont="1"/>
    <xf numFmtId="168" fontId="10" fillId="0" borderId="0" xfId="0" applyNumberFormat="1" applyFont="1" applyAlignment="1">
      <alignment vertical="top"/>
    </xf>
    <xf numFmtId="0" fontId="11" fillId="0" borderId="0" xfId="0" applyFont="1"/>
    <xf numFmtId="0" fontId="30" fillId="0" borderId="0" xfId="0" applyFont="1" applyAlignment="1">
      <alignment vertical="top"/>
    </xf>
    <xf numFmtId="0" fontId="11" fillId="0" borderId="0" xfId="0" applyFont="1" applyAlignment="1">
      <alignment horizontal="right"/>
    </xf>
    <xf numFmtId="0" fontId="30" fillId="0" borderId="1" xfId="0" applyFont="1" applyBorder="1" applyAlignment="1">
      <alignment vertical="top"/>
    </xf>
    <xf numFmtId="0" fontId="11" fillId="0" borderId="1" xfId="0" applyFont="1" applyBorder="1"/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 indent="2"/>
    </xf>
    <xf numFmtId="165" fontId="5" fillId="2" borderId="0" xfId="8" applyNumberFormat="1" applyFont="1" applyFill="1" applyBorder="1" applyAlignment="1">
      <alignment horizontal="left" vertical="center" indent="1"/>
    </xf>
    <xf numFmtId="0" fontId="5" fillId="2" borderId="0" xfId="6" applyFont="1" applyFill="1" applyAlignment="1">
      <alignment horizontal="right" vertical="center" wrapText="1"/>
    </xf>
    <xf numFmtId="0" fontId="5" fillId="2" borderId="0" xfId="5" applyFont="1" applyFill="1" applyAlignment="1">
      <alignment horizontal="left" vertical="center" inden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3"/>
    </xf>
    <xf numFmtId="0" fontId="1" fillId="0" borderId="0" xfId="17"/>
    <xf numFmtId="0" fontId="20" fillId="0" borderId="0" xfId="17" applyFont="1"/>
    <xf numFmtId="0" fontId="13" fillId="0" borderId="0" xfId="17" applyFont="1"/>
    <xf numFmtId="0" fontId="2" fillId="2" borderId="0" xfId="5" applyFont="1" applyFill="1" applyAlignment="1">
      <alignment horizontal="left" wrapText="1" indent="2"/>
    </xf>
    <xf numFmtId="0" fontId="8" fillId="2" borderId="0" xfId="5" applyFont="1" applyFill="1" applyAlignment="1">
      <alignment horizontal="left" vertical="center" indent="1"/>
    </xf>
    <xf numFmtId="169" fontId="28" fillId="6" borderId="0" xfId="2" applyNumberFormat="1" applyFont="1" applyFill="1" applyAlignment="1">
      <alignment horizontal="right" vertical="center" readingOrder="1"/>
    </xf>
    <xf numFmtId="169" fontId="8" fillId="0" borderId="0" xfId="0" applyNumberFormat="1" applyFont="1" applyAlignment="1">
      <alignment horizontal="right" vertical="center" wrapText="1"/>
    </xf>
    <xf numFmtId="169" fontId="0" fillId="0" borderId="0" xfId="0" applyNumberFormat="1"/>
    <xf numFmtId="169" fontId="25" fillId="6" borderId="0" xfId="2" applyNumberFormat="1" applyFont="1" applyFill="1" applyAlignment="1">
      <alignment horizontal="right" vertical="center" readingOrder="1"/>
    </xf>
    <xf numFmtId="169" fontId="12" fillId="0" borderId="0" xfId="0" applyNumberFormat="1" applyFont="1" applyAlignment="1">
      <alignment horizontal="right" vertical="center" wrapText="1"/>
    </xf>
    <xf numFmtId="169" fontId="5" fillId="0" borderId="0" xfId="1" applyNumberFormat="1" applyFont="1"/>
    <xf numFmtId="169" fontId="6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69" fontId="7" fillId="0" borderId="3" xfId="1" applyNumberFormat="1" applyFont="1" applyBorder="1" applyAlignment="1" applyProtection="1">
      <alignment horizontal="right" vertical="center" wrapText="1" readingOrder="1"/>
      <protection locked="0"/>
    </xf>
    <xf numFmtId="169" fontId="5" fillId="0" borderId="0" xfId="5" applyNumberFormat="1" applyFont="1"/>
    <xf numFmtId="169" fontId="2" fillId="0" borderId="0" xfId="5" applyNumberFormat="1" applyFont="1"/>
    <xf numFmtId="0" fontId="22" fillId="0" borderId="8" xfId="11" applyFont="1" applyFill="1" applyBorder="1" applyAlignment="1">
      <alignment horizontal="center" vertical="center" wrapText="1"/>
    </xf>
    <xf numFmtId="0" fontId="22" fillId="0" borderId="13" xfId="11" applyFont="1" applyFill="1" applyBorder="1" applyAlignment="1">
      <alignment horizontal="center" vertical="center" wrapText="1"/>
    </xf>
    <xf numFmtId="0" fontId="22" fillId="0" borderId="16" xfId="11" applyFont="1" applyFill="1" applyBorder="1" applyAlignment="1">
      <alignment horizontal="left" vertical="center" wrapText="1" readingOrder="1"/>
    </xf>
    <xf numFmtId="0" fontId="13" fillId="0" borderId="10" xfId="9" applyFont="1" applyBorder="1" applyAlignment="1">
      <alignment horizontal="left" vertical="center" wrapText="1" indent="1"/>
    </xf>
    <xf numFmtId="0" fontId="13" fillId="0" borderId="11" xfId="9" applyFont="1" applyBorder="1" applyAlignment="1">
      <alignment horizontal="left" vertical="center" wrapText="1" indent="1"/>
    </xf>
    <xf numFmtId="0" fontId="13" fillId="0" borderId="12" xfId="9" applyFont="1" applyBorder="1" applyAlignment="1">
      <alignment horizontal="left" vertical="center" wrapText="1" indent="1"/>
    </xf>
    <xf numFmtId="0" fontId="13" fillId="0" borderId="18" xfId="9" applyFont="1" applyBorder="1" applyAlignment="1">
      <alignment horizontal="left" vertical="center" wrapText="1" indent="1"/>
    </xf>
    <xf numFmtId="0" fontId="13" fillId="0" borderId="19" xfId="9" applyFont="1" applyBorder="1" applyAlignment="1">
      <alignment horizontal="left" vertical="center" wrapText="1" indent="1"/>
    </xf>
    <xf numFmtId="0" fontId="13" fillId="0" borderId="20" xfId="9" applyFont="1" applyBorder="1" applyAlignment="1">
      <alignment horizontal="left" vertical="center" wrapText="1" indent="1"/>
    </xf>
    <xf numFmtId="0" fontId="18" fillId="5" borderId="6" xfId="9" applyFont="1" applyFill="1" applyBorder="1" applyAlignment="1">
      <alignment horizontal="center" vertical="center"/>
    </xf>
    <xf numFmtId="0" fontId="18" fillId="5" borderId="7" xfId="9" applyFont="1" applyFill="1" applyBorder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16" fillId="0" borderId="0" xfId="17" applyFont="1" applyAlignment="1">
      <alignment horizontal="center" vertical="center"/>
    </xf>
    <xf numFmtId="0" fontId="29" fillId="4" borderId="0" xfId="16" applyFont="1" applyFill="1" applyAlignment="1">
      <alignment horizontal="center" vertical="center"/>
    </xf>
    <xf numFmtId="0" fontId="20" fillId="0" borderId="0" xfId="16" applyFont="1" applyAlignment="1">
      <alignment horizontal="center" vertical="center"/>
    </xf>
    <xf numFmtId="0" fontId="20" fillId="0" borderId="0" xfId="9" applyFont="1" applyAlignment="1">
      <alignment horizontal="right"/>
    </xf>
    <xf numFmtId="0" fontId="7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4" xfId="13" applyFont="1" applyFill="1" applyBorder="1" applyAlignment="1">
      <alignment horizontal="center" vertical="center" wrapText="1"/>
    </xf>
    <xf numFmtId="0" fontId="5" fillId="2" borderId="4" xfId="6" applyFont="1" applyFill="1" applyBorder="1" applyAlignment="1">
      <alignment horizontal="center" vertical="center" wrapText="1"/>
    </xf>
    <xf numFmtId="0" fontId="5" fillId="2" borderId="1" xfId="5" applyFont="1" applyFill="1" applyBorder="1" applyAlignment="1">
      <alignment horizontal="left" vertical="center" wrapText="1"/>
    </xf>
    <xf numFmtId="0" fontId="5" fillId="2" borderId="0" xfId="5" applyFont="1" applyFill="1" applyAlignment="1">
      <alignment horizontal="left" vertical="center" wrapText="1"/>
    </xf>
    <xf numFmtId="0" fontId="5" fillId="2" borderId="2" xfId="5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2" xfId="6" applyFont="1" applyFill="1" applyBorder="1" applyAlignment="1">
      <alignment horizontal="center" vertical="center"/>
    </xf>
    <xf numFmtId="0" fontId="32" fillId="7" borderId="0" xfId="0" applyFont="1" applyFill="1" applyAlignment="1">
      <alignment vertical="center"/>
    </xf>
  </cellXfs>
  <cellStyles count="18">
    <cellStyle name="Hipervínculo" xfId="2" builtinId="8"/>
    <cellStyle name="Hipervínculo 2" xfId="11" xr:uid="{00000000-0005-0000-0000-000001000000}"/>
    <cellStyle name="Millares" xfId="8" builtinId="3"/>
    <cellStyle name="Normal" xfId="0" builtinId="0"/>
    <cellStyle name="Normal 10" xfId="1" xr:uid="{00000000-0005-0000-0000-000004000000}"/>
    <cellStyle name="Normal 10 2" xfId="5" xr:uid="{00000000-0005-0000-0000-000005000000}"/>
    <cellStyle name="Normal 2 2 2" xfId="12" xr:uid="{00000000-0005-0000-0000-000006000000}"/>
    <cellStyle name="Normal 3 2 5" xfId="14" xr:uid="{AF9D5415-3AFA-45C9-992A-C70303B26A01}"/>
    <cellStyle name="Normal 4 3" xfId="4" xr:uid="{00000000-0005-0000-0000-000007000000}"/>
    <cellStyle name="Normal 4 3 2" xfId="7" xr:uid="{00000000-0005-0000-0000-000008000000}"/>
    <cellStyle name="Normal 6" xfId="10" xr:uid="{00000000-0005-0000-0000-000009000000}"/>
    <cellStyle name="Normal 6 2" xfId="16" xr:uid="{F7CEDE91-55C7-4C4A-9339-8E9C0A3A409A}"/>
    <cellStyle name="Normal 6 2 2" xfId="17" xr:uid="{31F14A70-F1D1-470E-84A6-1FD8FDB52AC3}"/>
    <cellStyle name="Normal 7 2 2" xfId="9" xr:uid="{00000000-0005-0000-0000-00000A000000}"/>
    <cellStyle name="Normal 8 2" xfId="13" xr:uid="{20175B2A-621B-4B8E-A511-E7EC07B408A0}"/>
    <cellStyle name="Normal 9" xfId="3" xr:uid="{00000000-0005-0000-0000-00000B000000}"/>
    <cellStyle name="Normal 9 2" xfId="6" xr:uid="{00000000-0005-0000-0000-00000C000000}"/>
    <cellStyle name="Normal 9 3" xfId="15" xr:uid="{94D9C2EE-5DE7-49E2-8A26-A892718A0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8D0AA895-822C-43B2-9DEF-B814E2D50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9F0F-B177-47D2-A292-FF2CC0ED179A}">
  <dimension ref="A1:T19"/>
  <sheetViews>
    <sheetView showGridLines="0" tabSelected="1" workbookViewId="0"/>
  </sheetViews>
  <sheetFormatPr baseColWidth="10" defaultColWidth="11.42578125" defaultRowHeight="14.25" x14ac:dyDescent="0.2"/>
  <cols>
    <col min="1" max="1" width="1.7109375" style="25" customWidth="1"/>
    <col min="2" max="2" width="20.28515625" style="25" customWidth="1"/>
    <col min="3" max="3" width="17.42578125" style="25" customWidth="1"/>
    <col min="4" max="14" width="11.42578125" style="25"/>
    <col min="15" max="15" width="1.5703125" style="25" customWidth="1"/>
    <col min="16" max="16384" width="11.42578125" style="25"/>
  </cols>
  <sheetData>
    <row r="1" spans="1:20" s="79" customFormat="1" ht="20.100000000000001" customHeight="1" x14ac:dyDescent="0.25">
      <c r="A1" s="81"/>
      <c r="B1" s="80"/>
      <c r="C1" s="80"/>
    </row>
    <row r="2" spans="1:20" s="79" customFormat="1" ht="20.100000000000001" customHeight="1" x14ac:dyDescent="0.25">
      <c r="B2" s="105" t="s">
        <v>30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20" s="79" customFormat="1" ht="20.100000000000001" customHeight="1" x14ac:dyDescent="0.25">
      <c r="B3" s="106" t="s">
        <v>13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1:20" ht="6.95" customHeight="1" x14ac:dyDescent="0.2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20" ht="20.100000000000001" customHeight="1" x14ac:dyDescent="0.2">
      <c r="A5" s="107" t="s">
        <v>58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27"/>
    </row>
    <row r="6" spans="1:20" ht="6.95" customHeight="1" x14ac:dyDescent="0.2">
      <c r="A6" s="26"/>
      <c r="B6" s="27" t="s">
        <v>14</v>
      </c>
      <c r="C6" s="28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6"/>
      <c r="T6" s="29"/>
    </row>
    <row r="7" spans="1:20" ht="20.100000000000001" customHeight="1" x14ac:dyDescent="0.2">
      <c r="A7" s="26"/>
      <c r="B7" s="108" t="s">
        <v>14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26"/>
    </row>
    <row r="8" spans="1:20" ht="20.100000000000001" customHeight="1" x14ac:dyDescent="0.2">
      <c r="A8" s="30"/>
      <c r="B8" s="31" t="s">
        <v>59</v>
      </c>
      <c r="C8" s="32"/>
      <c r="D8" s="30"/>
      <c r="E8" s="30"/>
      <c r="F8" s="30"/>
      <c r="G8" s="30"/>
      <c r="H8" s="30"/>
      <c r="I8" s="30"/>
      <c r="J8" s="30"/>
      <c r="K8" s="30"/>
      <c r="L8" s="30"/>
      <c r="M8" s="109" t="str">
        <f>CONCATENATE("Total de tabulados: ", COUNTIF(C11:C15,"&lt;&gt;"))</f>
        <v>Total de tabulados: 5</v>
      </c>
      <c r="N8" s="109"/>
      <c r="O8" s="30"/>
    </row>
    <row r="9" spans="1:20" ht="6.95" customHeight="1" thickBot="1" x14ac:dyDescent="0.25"/>
    <row r="10" spans="1:20" ht="15.75" thickBot="1" x14ac:dyDescent="0.25">
      <c r="B10" s="33" t="s">
        <v>15</v>
      </c>
      <c r="C10" s="34" t="s">
        <v>16</v>
      </c>
      <c r="D10" s="103" t="s">
        <v>17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4"/>
    </row>
    <row r="11" spans="1:20" ht="39.950000000000003" customHeight="1" x14ac:dyDescent="0.2">
      <c r="B11" s="94" t="s">
        <v>24</v>
      </c>
      <c r="C11" s="35" t="s">
        <v>25</v>
      </c>
      <c r="D11" s="97" t="s">
        <v>46</v>
      </c>
      <c r="E11" s="98"/>
      <c r="F11" s="98"/>
      <c r="G11" s="98"/>
      <c r="H11" s="98"/>
      <c r="I11" s="98"/>
      <c r="J11" s="98"/>
      <c r="K11" s="98"/>
      <c r="L11" s="98"/>
      <c r="M11" s="98"/>
      <c r="N11" s="99"/>
      <c r="O11" s="20"/>
      <c r="P11" s="20"/>
      <c r="Q11" s="20"/>
      <c r="R11" s="20"/>
      <c r="S11" s="20"/>
      <c r="T11" s="20"/>
    </row>
    <row r="12" spans="1:20" ht="39.950000000000003" customHeight="1" x14ac:dyDescent="0.2">
      <c r="B12" s="95"/>
      <c r="C12" s="36" t="s">
        <v>26</v>
      </c>
      <c r="D12" s="97" t="s">
        <v>47</v>
      </c>
      <c r="E12" s="98"/>
      <c r="F12" s="98"/>
      <c r="G12" s="98"/>
      <c r="H12" s="98"/>
      <c r="I12" s="98"/>
      <c r="J12" s="98"/>
      <c r="K12" s="98"/>
      <c r="L12" s="98"/>
      <c r="M12" s="98"/>
      <c r="N12" s="99"/>
      <c r="O12" s="20"/>
      <c r="P12" s="20"/>
      <c r="Q12" s="20"/>
      <c r="R12" s="20"/>
      <c r="S12" s="20"/>
      <c r="T12" s="20"/>
    </row>
    <row r="13" spans="1:20" ht="39.950000000000003" customHeight="1" x14ac:dyDescent="0.2">
      <c r="B13" s="95"/>
      <c r="C13" s="37" t="s">
        <v>27</v>
      </c>
      <c r="D13" s="97" t="s">
        <v>48</v>
      </c>
      <c r="E13" s="98"/>
      <c r="F13" s="98"/>
      <c r="G13" s="98"/>
      <c r="H13" s="98"/>
      <c r="I13" s="98"/>
      <c r="J13" s="98"/>
      <c r="K13" s="98"/>
      <c r="L13" s="98"/>
      <c r="M13" s="98"/>
      <c r="N13" s="99"/>
      <c r="O13" s="20"/>
      <c r="P13" s="20"/>
      <c r="Q13" s="20"/>
      <c r="R13" s="20"/>
      <c r="S13" s="20"/>
      <c r="T13" s="20"/>
    </row>
    <row r="14" spans="1:20" ht="39.950000000000003" customHeight="1" x14ac:dyDescent="0.2">
      <c r="B14" s="95"/>
      <c r="C14" s="36" t="s">
        <v>28</v>
      </c>
      <c r="D14" s="97" t="s">
        <v>49</v>
      </c>
      <c r="E14" s="98"/>
      <c r="F14" s="98"/>
      <c r="G14" s="98"/>
      <c r="H14" s="98"/>
      <c r="I14" s="98"/>
      <c r="J14" s="98"/>
      <c r="K14" s="98"/>
      <c r="L14" s="98"/>
      <c r="M14" s="98"/>
      <c r="N14" s="99"/>
      <c r="O14" s="20"/>
      <c r="P14" s="20"/>
      <c r="Q14" s="20"/>
      <c r="R14" s="20"/>
      <c r="S14" s="20"/>
      <c r="T14" s="20"/>
    </row>
    <row r="15" spans="1:20" ht="39.950000000000003" customHeight="1" thickBot="1" x14ac:dyDescent="0.25">
      <c r="B15" s="96"/>
      <c r="C15" s="38" t="s">
        <v>29</v>
      </c>
      <c r="D15" s="100" t="s">
        <v>50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7" spans="2:2" x14ac:dyDescent="0.2">
      <c r="B17" s="39"/>
    </row>
    <row r="18" spans="2:2" x14ac:dyDescent="0.2">
      <c r="B18" s="39"/>
    </row>
    <row r="19" spans="2:2" x14ac:dyDescent="0.2">
      <c r="B19" s="40"/>
    </row>
  </sheetData>
  <mergeCells count="12">
    <mergeCell ref="D10:N10"/>
    <mergeCell ref="B2:N2"/>
    <mergeCell ref="B3:N3"/>
    <mergeCell ref="A5:N5"/>
    <mergeCell ref="B7:N7"/>
    <mergeCell ref="M8:N8"/>
    <mergeCell ref="B11:B15"/>
    <mergeCell ref="D11:N11"/>
    <mergeCell ref="D12:N12"/>
    <mergeCell ref="D13:N13"/>
    <mergeCell ref="D14:N14"/>
    <mergeCell ref="D15:N15"/>
  </mergeCells>
  <hyperlinks>
    <hyperlink ref="C11" location="'Cuadro 12.1'!A1" tooltip="Ir a Cuadro 12.1" display="Cuadro 12.1" xr:uid="{235820B3-B1A8-4900-A468-169BE3C309DF}"/>
    <hyperlink ref="C15" location="'Cuadro 12.5'!A1" tooltip="Ir a Cuadro 12.5" display="Cuadro 12.5" xr:uid="{5346AEED-E68A-49B9-BB99-22690D02A466}"/>
    <hyperlink ref="C12" location="'Cuadro 12.2'!A1" tooltip="Ir a Cuadro 12.2" display="Cuadro 12.2" xr:uid="{DF9FD62E-6E05-4419-8677-70A08F3C1D70}"/>
    <hyperlink ref="C13" location="'Cuadro 12.3'!A1" tooltip="Ir a Cuadro 12.3" display="Cuadro 12.3" xr:uid="{82FD4CBB-F9CC-4C1A-8FB9-7EBF68BAF8DD}"/>
    <hyperlink ref="C14" location="'Cuadro 12.4'!A1" tooltip="Ir a Cuadro 12.4" display="Cuadro 12.4" xr:uid="{BC1855EC-621B-4870-8331-C5CF4FF179C1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B81F-FE1C-44E9-9BA1-338644D283D6}">
  <dimension ref="B1:K34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  <col min="12" max="12" width="17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30" customHeight="1" x14ac:dyDescent="0.2">
      <c r="B5" s="111" t="s">
        <v>52</v>
      </c>
      <c r="C5" s="111"/>
      <c r="D5" s="111"/>
      <c r="E5" s="111"/>
      <c r="F5" s="111"/>
      <c r="G5" s="111"/>
      <c r="H5" s="111"/>
      <c r="K5" s="67" t="s">
        <v>25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20.100000000000001" customHeight="1" x14ac:dyDescent="0.2">
      <c r="B7" s="112" t="s">
        <v>37</v>
      </c>
      <c r="C7" s="68"/>
      <c r="D7" s="115" t="s">
        <v>51</v>
      </c>
      <c r="E7" s="115"/>
      <c r="F7" s="69"/>
      <c r="G7" s="117" t="s">
        <v>34</v>
      </c>
      <c r="H7" s="117"/>
      <c r="I7" s="117"/>
      <c r="J7" s="117"/>
      <c r="K7" s="117"/>
    </row>
    <row r="8" spans="2:11" ht="20.100000000000001" customHeight="1" x14ac:dyDescent="0.25">
      <c r="B8" s="113"/>
      <c r="C8" s="70"/>
      <c r="D8" s="116"/>
      <c r="E8" s="116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14"/>
      <c r="C9" s="42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1"/>
      <c r="C10" s="1"/>
      <c r="D10" s="55"/>
      <c r="E10" s="1"/>
      <c r="F10" s="1"/>
      <c r="G10" s="55"/>
      <c r="H10" s="1"/>
      <c r="I10" s="1"/>
      <c r="J10" s="55"/>
      <c r="K10" s="1"/>
    </row>
    <row r="11" spans="2:11" ht="15" customHeight="1" x14ac:dyDescent="0.25">
      <c r="B11" s="2" t="s">
        <v>2</v>
      </c>
      <c r="C11" s="2"/>
      <c r="D11" s="84">
        <v>85628126.270717695</v>
      </c>
      <c r="E11" s="84">
        <v>100</v>
      </c>
      <c r="F11" s="85"/>
      <c r="G11" s="84">
        <v>46356568.204356097</v>
      </c>
      <c r="H11" s="84">
        <v>100</v>
      </c>
      <c r="I11" s="85"/>
      <c r="J11" s="84">
        <v>40197632.120549597</v>
      </c>
      <c r="K11" s="84">
        <v>100</v>
      </c>
    </row>
    <row r="12" spans="2:11" ht="6.95" customHeight="1" x14ac:dyDescent="0.25">
      <c r="B12" s="2"/>
      <c r="C12" s="2"/>
      <c r="D12" s="84"/>
      <c r="E12" s="84"/>
      <c r="F12" s="85"/>
      <c r="G12" s="84"/>
      <c r="H12" s="84"/>
      <c r="I12" s="86"/>
      <c r="J12" s="84"/>
      <c r="K12" s="84"/>
    </row>
    <row r="13" spans="2:11" ht="15" customHeight="1" x14ac:dyDescent="0.25">
      <c r="B13" s="71" t="s">
        <v>20</v>
      </c>
      <c r="C13" s="17"/>
      <c r="D13" s="87">
        <v>81781525.186776996</v>
      </c>
      <c r="E13" s="87">
        <v>95.854705203182107</v>
      </c>
      <c r="F13" s="88"/>
      <c r="G13" s="87">
        <v>44235413.840810798</v>
      </c>
      <c r="H13" s="87">
        <v>95.870701376166906</v>
      </c>
      <c r="I13" s="88"/>
      <c r="J13" s="87">
        <v>38452931.454556704</v>
      </c>
      <c r="K13" s="87">
        <v>96.227352425465</v>
      </c>
    </row>
    <row r="14" spans="2:11" ht="15" customHeight="1" x14ac:dyDescent="0.25">
      <c r="B14" s="71" t="s">
        <v>21</v>
      </c>
      <c r="C14" s="17"/>
      <c r="D14" s="87">
        <v>29857657.580113001</v>
      </c>
      <c r="E14" s="87">
        <v>35.389685863422201</v>
      </c>
      <c r="F14" s="88"/>
      <c r="G14" s="87">
        <v>13642710.4275482</v>
      </c>
      <c r="H14" s="87">
        <v>30.031616027514801</v>
      </c>
      <c r="I14" s="88"/>
      <c r="J14" s="87">
        <v>16736079.6174227</v>
      </c>
      <c r="K14" s="87">
        <v>42.455264260121403</v>
      </c>
    </row>
    <row r="15" spans="2:11" ht="15" customHeight="1" x14ac:dyDescent="0.25">
      <c r="B15" s="71" t="s">
        <v>22</v>
      </c>
      <c r="C15" s="17"/>
      <c r="D15" s="87">
        <v>35510840.177642897</v>
      </c>
      <c r="E15" s="87">
        <v>42.129616873741597</v>
      </c>
      <c r="F15" s="88"/>
      <c r="G15" s="87">
        <v>18593443.667356901</v>
      </c>
      <c r="H15" s="87">
        <v>41.016911131522797</v>
      </c>
      <c r="I15" s="88"/>
      <c r="J15" s="87">
        <v>17399763.210274599</v>
      </c>
      <c r="K15" s="87">
        <v>44.199783791220199</v>
      </c>
    </row>
    <row r="16" spans="2:11" ht="15" customHeight="1" x14ac:dyDescent="0.25">
      <c r="B16" s="71" t="s">
        <v>23</v>
      </c>
      <c r="C16" s="17"/>
      <c r="D16" s="87">
        <v>68349809.696362406</v>
      </c>
      <c r="E16" s="87">
        <v>80.529658883605805</v>
      </c>
      <c r="F16" s="88"/>
      <c r="G16" s="87">
        <v>36127156.926508598</v>
      </c>
      <c r="H16" s="87">
        <v>78.999405287137407</v>
      </c>
      <c r="I16" s="88"/>
      <c r="J16" s="87">
        <v>32933284.393610898</v>
      </c>
      <c r="K16" s="87">
        <v>82.973907640010296</v>
      </c>
    </row>
    <row r="17" spans="2:11" ht="6.95" customHeight="1" x14ac:dyDescent="0.25">
      <c r="B17" s="3"/>
      <c r="C17" s="3"/>
      <c r="D17" s="89"/>
      <c r="E17" s="88"/>
      <c r="F17" s="89"/>
      <c r="G17" s="89"/>
      <c r="H17" s="88"/>
      <c r="I17" s="88"/>
      <c r="J17" s="88"/>
      <c r="K17" s="88"/>
    </row>
    <row r="18" spans="2:11" ht="15" customHeight="1" x14ac:dyDescent="0.25">
      <c r="B18" s="72" t="s">
        <v>3</v>
      </c>
      <c r="C18" s="12"/>
      <c r="D18" s="84">
        <v>30347656.884525102</v>
      </c>
      <c r="E18" s="84">
        <v>100</v>
      </c>
      <c r="F18" s="85"/>
      <c r="G18" s="84">
        <v>16734839.383166799</v>
      </c>
      <c r="H18" s="84">
        <v>100</v>
      </c>
      <c r="I18" s="85"/>
      <c r="J18" s="84">
        <v>13930361.077581299</v>
      </c>
      <c r="K18" s="84">
        <v>100</v>
      </c>
    </row>
    <row r="19" spans="2:11" ht="6.95" customHeight="1" x14ac:dyDescent="0.25">
      <c r="B19" s="12"/>
      <c r="C19" s="12"/>
      <c r="D19" s="84"/>
      <c r="E19" s="84"/>
      <c r="F19" s="85"/>
      <c r="G19" s="84"/>
      <c r="H19" s="84"/>
      <c r="I19" s="86"/>
      <c r="J19" s="84"/>
      <c r="K19" s="84"/>
    </row>
    <row r="20" spans="2:11" ht="15" customHeight="1" x14ac:dyDescent="0.25">
      <c r="B20" s="71" t="s">
        <v>20</v>
      </c>
      <c r="C20" s="17"/>
      <c r="D20" s="87">
        <v>28576783.524270799</v>
      </c>
      <c r="E20" s="87">
        <v>94.824650250992306</v>
      </c>
      <c r="F20" s="88"/>
      <c r="G20" s="87">
        <v>15703561.8405305</v>
      </c>
      <c r="H20" s="87">
        <v>94.627727852051294</v>
      </c>
      <c r="I20" s="88"/>
      <c r="J20" s="87">
        <v>13203538.267933</v>
      </c>
      <c r="K20" s="87">
        <v>95.925104592786695</v>
      </c>
    </row>
    <row r="21" spans="2:11" ht="15" customHeight="1" x14ac:dyDescent="0.25">
      <c r="B21" s="71" t="s">
        <v>21</v>
      </c>
      <c r="C21" s="17"/>
      <c r="D21" s="87">
        <v>7461366.40255058</v>
      </c>
      <c r="E21" s="87">
        <v>25.400990122271999</v>
      </c>
      <c r="F21" s="88"/>
      <c r="G21" s="87">
        <v>3381246.6454929002</v>
      </c>
      <c r="H21" s="87">
        <v>21.0112121545063</v>
      </c>
      <c r="I21" s="88"/>
      <c r="J21" s="87">
        <v>4328243.9366681101</v>
      </c>
      <c r="K21" s="87">
        <v>32.463880098850098</v>
      </c>
    </row>
    <row r="22" spans="2:11" ht="15" customHeight="1" x14ac:dyDescent="0.25">
      <c r="B22" s="71" t="s">
        <v>22</v>
      </c>
      <c r="C22" s="17"/>
      <c r="D22" s="87">
        <v>10745734.928656699</v>
      </c>
      <c r="E22" s="87">
        <v>36.960248656959699</v>
      </c>
      <c r="F22" s="88"/>
      <c r="G22" s="87">
        <v>5840837.3605727898</v>
      </c>
      <c r="H22" s="87">
        <v>36.663746508561303</v>
      </c>
      <c r="I22" s="88"/>
      <c r="J22" s="87">
        <v>5149029.1098573003</v>
      </c>
      <c r="K22" s="87">
        <v>38.786413206332803</v>
      </c>
    </row>
    <row r="23" spans="2:11" ht="15" customHeight="1" x14ac:dyDescent="0.25">
      <c r="B23" s="71" t="s">
        <v>23</v>
      </c>
      <c r="C23" s="17"/>
      <c r="D23" s="87">
        <v>23056703.958319601</v>
      </c>
      <c r="E23" s="87">
        <v>77.185052236544806</v>
      </c>
      <c r="F23" s="88"/>
      <c r="G23" s="87">
        <v>12469238.292296899</v>
      </c>
      <c r="H23" s="87">
        <v>76.311859680798605</v>
      </c>
      <c r="I23" s="88"/>
      <c r="J23" s="87">
        <v>10832066.096739899</v>
      </c>
      <c r="K23" s="87">
        <v>79.515853124440099</v>
      </c>
    </row>
    <row r="24" spans="2:11" ht="6.95" customHeight="1" x14ac:dyDescent="0.25">
      <c r="B24" s="13"/>
      <c r="C24" s="13"/>
      <c r="D24" s="90"/>
      <c r="E24" s="91"/>
      <c r="F24" s="90"/>
      <c r="G24" s="90"/>
      <c r="H24" s="91"/>
      <c r="I24" s="91"/>
      <c r="J24" s="91"/>
      <c r="K24" s="91"/>
    </row>
    <row r="25" spans="2:11" ht="15" customHeight="1" x14ac:dyDescent="0.25">
      <c r="B25" s="72" t="s">
        <v>4</v>
      </c>
      <c r="C25" s="12"/>
      <c r="D25" s="84">
        <v>57583817.415014401</v>
      </c>
      <c r="E25" s="84">
        <v>100</v>
      </c>
      <c r="F25" s="85"/>
      <c r="G25" s="84">
        <v>30884378.302702501</v>
      </c>
      <c r="H25" s="84">
        <v>100</v>
      </c>
      <c r="I25" s="85"/>
      <c r="J25" s="84">
        <v>27257528.4217971</v>
      </c>
      <c r="K25" s="84">
        <v>100</v>
      </c>
    </row>
    <row r="26" spans="2:11" ht="6.95" customHeight="1" x14ac:dyDescent="0.25">
      <c r="B26" s="12"/>
      <c r="C26" s="12"/>
      <c r="D26" s="84"/>
      <c r="E26" s="84"/>
      <c r="F26" s="85"/>
      <c r="G26" s="84"/>
      <c r="H26" s="84"/>
      <c r="I26" s="86"/>
      <c r="J26" s="84"/>
      <c r="K26" s="84"/>
    </row>
    <row r="27" spans="2:11" ht="15" customHeight="1" x14ac:dyDescent="0.25">
      <c r="B27" s="71" t="s">
        <v>20</v>
      </c>
      <c r="C27" s="17"/>
      <c r="D27" s="87">
        <v>55417538.477563702</v>
      </c>
      <c r="E27" s="87">
        <v>96.679308006802401</v>
      </c>
      <c r="F27" s="88"/>
      <c r="G27" s="87">
        <v>29760580.897482201</v>
      </c>
      <c r="H27" s="87">
        <v>96.910664563839305</v>
      </c>
      <c r="I27" s="88"/>
      <c r="J27" s="87">
        <v>26201613.998506501</v>
      </c>
      <c r="K27" s="87">
        <v>96.820996108038798</v>
      </c>
    </row>
    <row r="28" spans="2:11" ht="15" customHeight="1" x14ac:dyDescent="0.25">
      <c r="B28" s="71" t="s">
        <v>21</v>
      </c>
      <c r="C28" s="17"/>
      <c r="D28" s="87">
        <v>23167386.795586899</v>
      </c>
      <c r="E28" s="87">
        <v>41.256795166661902</v>
      </c>
      <c r="F28" s="88"/>
      <c r="G28" s="87">
        <v>10677783.813007001</v>
      </c>
      <c r="H28" s="87">
        <v>35.699625802665402</v>
      </c>
      <c r="I28" s="88"/>
      <c r="J28" s="87">
        <v>12870789.737301599</v>
      </c>
      <c r="K28" s="87">
        <v>48.484812906440901</v>
      </c>
    </row>
    <row r="29" spans="2:11" ht="15" customHeight="1" x14ac:dyDescent="0.25">
      <c r="B29" s="71" t="s">
        <v>22</v>
      </c>
      <c r="C29" s="17"/>
      <c r="D29" s="87">
        <v>25581079.692416798</v>
      </c>
      <c r="E29" s="87">
        <v>45.471203872801397</v>
      </c>
      <c r="F29" s="88"/>
      <c r="G29" s="87">
        <v>13219524.602986</v>
      </c>
      <c r="H29" s="87">
        <v>44.197207764959998</v>
      </c>
      <c r="I29" s="88"/>
      <c r="J29" s="87">
        <v>12692994.182029</v>
      </c>
      <c r="K29" s="87">
        <v>47.880746722643003</v>
      </c>
    </row>
    <row r="30" spans="2:11" ht="15" customHeight="1" x14ac:dyDescent="0.25">
      <c r="B30" s="71" t="s">
        <v>23</v>
      </c>
      <c r="C30" s="17"/>
      <c r="D30" s="87">
        <v>47031423.052278496</v>
      </c>
      <c r="E30" s="87">
        <v>82.806603642450497</v>
      </c>
      <c r="F30" s="88"/>
      <c r="G30" s="87">
        <v>24590919.5078189</v>
      </c>
      <c r="H30" s="87">
        <v>81.157193555939699</v>
      </c>
      <c r="I30" s="88"/>
      <c r="J30" s="87">
        <v>22919904.781119298</v>
      </c>
      <c r="K30" s="87">
        <v>85.418226539815905</v>
      </c>
    </row>
    <row r="31" spans="2:11" ht="6.95" customHeight="1" x14ac:dyDescent="0.25">
      <c r="B31" s="4"/>
      <c r="C31" s="4"/>
      <c r="D31" s="56"/>
      <c r="E31" s="4"/>
      <c r="F31" s="4"/>
      <c r="G31" s="56"/>
      <c r="H31" s="4"/>
      <c r="I31" s="4"/>
      <c r="J31" s="56"/>
      <c r="K31" s="4"/>
    </row>
    <row r="32" spans="2:11" ht="6.95" customHeight="1" x14ac:dyDescent="0.25">
      <c r="B32" s="5"/>
      <c r="C32" s="5"/>
      <c r="D32" s="57"/>
      <c r="E32" s="5"/>
      <c r="F32" s="5"/>
      <c r="G32" s="57"/>
      <c r="H32" s="5"/>
      <c r="I32" s="5"/>
      <c r="J32" s="57"/>
      <c r="K32" s="5"/>
    </row>
    <row r="33" spans="2:11" s="18" customFormat="1" ht="12" customHeight="1" x14ac:dyDescent="0.25">
      <c r="B33" s="41" t="s">
        <v>19</v>
      </c>
      <c r="C33" s="41"/>
      <c r="D33" s="58"/>
      <c r="E33" s="19"/>
      <c r="F33" s="19"/>
      <c r="G33" s="58"/>
      <c r="H33" s="19"/>
      <c r="I33" s="19"/>
      <c r="J33" s="58"/>
      <c r="K33" s="19"/>
    </row>
    <row r="34" spans="2:11" ht="12" customHeight="1" x14ac:dyDescent="0.25">
      <c r="B34" s="110" t="s">
        <v>36</v>
      </c>
      <c r="C34" s="110"/>
      <c r="D34" s="110"/>
      <c r="E34" s="110"/>
      <c r="F34" s="110"/>
      <c r="G34"/>
      <c r="J34"/>
    </row>
  </sheetData>
  <mergeCells count="7">
    <mergeCell ref="B34:F3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9A9EF625-33AF-4187-A042-E83C51DD2C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35B5-3FB6-42A9-96B3-BACBCF854760}">
  <dimension ref="B1:K33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111" t="s">
        <v>47</v>
      </c>
      <c r="C5" s="111"/>
      <c r="D5" s="111"/>
      <c r="E5" s="111"/>
      <c r="F5" s="111"/>
      <c r="G5" s="111"/>
      <c r="H5" s="111"/>
      <c r="K5" s="67" t="s">
        <v>26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53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88168959.549554095</v>
      </c>
      <c r="E11" s="84">
        <v>100</v>
      </c>
      <c r="F11" s="85"/>
      <c r="G11" s="84">
        <v>47788866.463474698</v>
      </c>
      <c r="H11" s="84">
        <v>100</v>
      </c>
      <c r="I11" s="85"/>
      <c r="J11" s="84">
        <v>41315778.788891397</v>
      </c>
      <c r="K11" s="84">
        <v>100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30" customHeight="1" x14ac:dyDescent="0.25">
      <c r="B13" s="43" t="s">
        <v>38</v>
      </c>
      <c r="C13" s="11"/>
      <c r="D13" s="84"/>
      <c r="E13" s="84"/>
      <c r="F13" s="85"/>
      <c r="G13" s="84"/>
      <c r="H13" s="84"/>
      <c r="I13" s="85"/>
      <c r="J13" s="84"/>
      <c r="K13" s="84"/>
    </row>
    <row r="14" spans="2:11" ht="15" customHeight="1" x14ac:dyDescent="0.25">
      <c r="B14" s="21" t="s">
        <v>5</v>
      </c>
      <c r="C14" s="21"/>
      <c r="D14" s="87">
        <v>81781525.186776996</v>
      </c>
      <c r="E14" s="87">
        <v>93.215744950824302</v>
      </c>
      <c r="F14" s="88"/>
      <c r="G14" s="87">
        <v>44235413.840810798</v>
      </c>
      <c r="H14" s="87">
        <v>93.179899317028003</v>
      </c>
      <c r="I14" s="88"/>
      <c r="J14" s="87">
        <v>38452931.454556704</v>
      </c>
      <c r="K14" s="87">
        <v>93.820090925954204</v>
      </c>
    </row>
    <row r="15" spans="2:11" ht="15" customHeight="1" x14ac:dyDescent="0.25">
      <c r="B15" s="21" t="s">
        <v>6</v>
      </c>
      <c r="C15" s="21"/>
      <c r="D15" s="87">
        <v>2061820.72863933</v>
      </c>
      <c r="E15" s="87">
        <v>2.3790255962242801</v>
      </c>
      <c r="F15" s="88"/>
      <c r="G15" s="87">
        <v>1020064.99773574</v>
      </c>
      <c r="H15" s="87">
        <v>2.2006467987208902</v>
      </c>
      <c r="I15" s="88"/>
      <c r="J15" s="87">
        <v>1136591.8489473299</v>
      </c>
      <c r="K15" s="87">
        <v>2.8265479525064698</v>
      </c>
    </row>
    <row r="16" spans="2:11" ht="15" customHeight="1" x14ac:dyDescent="0.25">
      <c r="B16" s="21" t="s">
        <v>7</v>
      </c>
      <c r="C16" s="21"/>
      <c r="D16" s="87">
        <v>5082311.4516040199</v>
      </c>
      <c r="E16" s="87">
        <v>5.8667708172743396</v>
      </c>
      <c r="F16" s="88"/>
      <c r="G16" s="87">
        <v>3040712.7956371</v>
      </c>
      <c r="H16" s="87">
        <v>6.5251978450308199</v>
      </c>
      <c r="I16" s="88"/>
      <c r="J16" s="87">
        <v>2241262.96263543</v>
      </c>
      <c r="K16" s="87">
        <v>5.5820129754365899</v>
      </c>
    </row>
    <row r="17" spans="2:11" ht="6.95" customHeight="1" x14ac:dyDescent="0.25">
      <c r="B17" s="8"/>
      <c r="C17" s="8"/>
      <c r="D17" s="92"/>
      <c r="E17" s="93"/>
      <c r="F17" s="92"/>
      <c r="G17" s="92"/>
      <c r="H17" s="93"/>
      <c r="I17" s="93"/>
      <c r="J17" s="93"/>
      <c r="K17" s="93"/>
    </row>
    <row r="18" spans="2:11" ht="15" customHeight="1" x14ac:dyDescent="0.25">
      <c r="B18" s="74" t="s">
        <v>3</v>
      </c>
      <c r="C18" s="7"/>
      <c r="D18" s="84">
        <v>31876327.629939102</v>
      </c>
      <c r="E18" s="84">
        <v>100</v>
      </c>
      <c r="F18" s="85"/>
      <c r="G18" s="84">
        <v>17557347.996399298</v>
      </c>
      <c r="H18" s="84">
        <v>100</v>
      </c>
      <c r="I18" s="85"/>
      <c r="J18" s="84">
        <v>14624214.675651999</v>
      </c>
      <c r="K18" s="84">
        <v>100</v>
      </c>
    </row>
    <row r="19" spans="2:11" ht="6.95" customHeight="1" x14ac:dyDescent="0.25">
      <c r="B19" s="7"/>
      <c r="C19" s="7"/>
      <c r="D19" s="84"/>
      <c r="E19" s="84"/>
      <c r="F19" s="85"/>
      <c r="G19" s="84"/>
      <c r="H19" s="84"/>
      <c r="I19" s="86"/>
      <c r="J19" s="84"/>
      <c r="K19" s="84"/>
    </row>
    <row r="20" spans="2:11" ht="30" customHeight="1" x14ac:dyDescent="0.25">
      <c r="B20" s="43" t="s">
        <v>38</v>
      </c>
      <c r="C20" s="11"/>
      <c r="D20" s="84"/>
      <c r="E20" s="84"/>
      <c r="F20" s="85"/>
      <c r="G20" s="84"/>
      <c r="H20" s="84"/>
      <c r="I20" s="85"/>
      <c r="J20" s="84"/>
      <c r="K20" s="84"/>
    </row>
    <row r="21" spans="2:11" ht="15" customHeight="1" x14ac:dyDescent="0.25">
      <c r="B21" s="21" t="s">
        <v>5</v>
      </c>
      <c r="C21" s="21"/>
      <c r="D21" s="87">
        <v>28576783.524270799</v>
      </c>
      <c r="E21" s="87">
        <v>90.705031515187898</v>
      </c>
      <c r="F21" s="88"/>
      <c r="G21" s="87">
        <v>15703561.8405305</v>
      </c>
      <c r="H21" s="87">
        <v>90.682145622657103</v>
      </c>
      <c r="I21" s="88"/>
      <c r="J21" s="87">
        <v>13203538.267933</v>
      </c>
      <c r="K21" s="87">
        <v>92.027093992270594</v>
      </c>
    </row>
    <row r="22" spans="2:11" ht="15" customHeight="1" x14ac:dyDescent="0.25">
      <c r="B22" s="21" t="s">
        <v>6</v>
      </c>
      <c r="C22" s="21"/>
      <c r="D22" s="87">
        <v>869347.031744743</v>
      </c>
      <c r="E22" s="87">
        <v>2.8982838664342099</v>
      </c>
      <c r="F22" s="88"/>
      <c r="G22" s="87">
        <v>459223.63554500701</v>
      </c>
      <c r="H22" s="87">
        <v>2.8292947627322098</v>
      </c>
      <c r="I22" s="88"/>
      <c r="J22" s="87">
        <v>474116.38709144999</v>
      </c>
      <c r="K22" s="87">
        <v>3.47115906480012</v>
      </c>
    </row>
    <row r="23" spans="2:11" ht="15" customHeight="1" x14ac:dyDescent="0.25">
      <c r="B23" s="21" t="s">
        <v>7</v>
      </c>
      <c r="C23" s="21"/>
      <c r="D23" s="87">
        <v>2861583.7408917798</v>
      </c>
      <c r="E23" s="87">
        <v>9.4913690067925796</v>
      </c>
      <c r="F23" s="88"/>
      <c r="G23" s="87">
        <v>1736608.0296644601</v>
      </c>
      <c r="H23" s="87">
        <v>10.544489462680399</v>
      </c>
      <c r="I23" s="88"/>
      <c r="J23" s="87">
        <v>1264328.59582701</v>
      </c>
      <c r="K23" s="87">
        <v>9.2663963474717495</v>
      </c>
    </row>
    <row r="24" spans="2:11" ht="6.95" customHeight="1" x14ac:dyDescent="0.25">
      <c r="B24" s="8"/>
      <c r="C24" s="8"/>
      <c r="D24" s="92"/>
      <c r="E24" s="93"/>
      <c r="F24" s="92"/>
      <c r="G24" s="92"/>
      <c r="H24" s="93"/>
      <c r="I24" s="93"/>
      <c r="J24" s="93"/>
      <c r="K24" s="93"/>
    </row>
    <row r="25" spans="2:11" ht="15" customHeight="1" x14ac:dyDescent="0.25">
      <c r="B25" s="74" t="s">
        <v>4</v>
      </c>
      <c r="C25" s="7"/>
      <c r="D25" s="84">
        <v>58722602.216376103</v>
      </c>
      <c r="E25" s="84">
        <v>100</v>
      </c>
      <c r="F25" s="85"/>
      <c r="G25" s="84">
        <v>31539784.224373799</v>
      </c>
      <c r="H25" s="84">
        <v>100</v>
      </c>
      <c r="I25" s="85"/>
      <c r="J25" s="84">
        <v>27745562.505176</v>
      </c>
      <c r="K25" s="84">
        <v>100</v>
      </c>
    </row>
    <row r="26" spans="2:11" ht="6.95" customHeight="1" x14ac:dyDescent="0.25">
      <c r="B26" s="7"/>
      <c r="C26" s="7"/>
      <c r="D26" s="84"/>
      <c r="E26" s="84"/>
      <c r="F26" s="85"/>
      <c r="G26" s="84"/>
      <c r="H26" s="84"/>
      <c r="I26" s="86"/>
      <c r="J26" s="84"/>
      <c r="K26" s="84"/>
    </row>
    <row r="27" spans="2:11" ht="30" customHeight="1" x14ac:dyDescent="0.25">
      <c r="B27" s="43" t="s">
        <v>38</v>
      </c>
      <c r="C27" s="11"/>
      <c r="D27" s="84"/>
      <c r="E27" s="84"/>
      <c r="F27" s="85"/>
      <c r="G27" s="84"/>
      <c r="H27" s="84"/>
      <c r="I27" s="85"/>
      <c r="J27" s="84"/>
      <c r="K27" s="84"/>
    </row>
    <row r="28" spans="2:11" ht="15" customHeight="1" x14ac:dyDescent="0.25">
      <c r="B28" s="21" t="s">
        <v>5</v>
      </c>
      <c r="C28" s="21"/>
      <c r="D28" s="87">
        <v>55417538.477563702</v>
      </c>
      <c r="E28" s="87">
        <v>94.939915013874597</v>
      </c>
      <c r="F28" s="88"/>
      <c r="G28" s="87">
        <v>29760580.897482201</v>
      </c>
      <c r="H28" s="87">
        <v>95.096481092091807</v>
      </c>
      <c r="I28" s="88"/>
      <c r="J28" s="87">
        <v>26201613.998506501</v>
      </c>
      <c r="K28" s="87">
        <v>95.302333325684799</v>
      </c>
    </row>
    <row r="29" spans="2:11" ht="15" customHeight="1" x14ac:dyDescent="0.25">
      <c r="B29" s="21" t="s">
        <v>6</v>
      </c>
      <c r="C29" s="21"/>
      <c r="D29" s="87">
        <v>1309354.9575195799</v>
      </c>
      <c r="E29" s="87">
        <v>2.30627871512042</v>
      </c>
      <c r="F29" s="88"/>
      <c r="G29" s="87">
        <v>632364.38696613198</v>
      </c>
      <c r="H29" s="87">
        <v>2.1015650404293802</v>
      </c>
      <c r="I29" s="88"/>
      <c r="J29" s="87">
        <v>741479.29551891296</v>
      </c>
      <c r="K29" s="87">
        <v>2.7835159208036502</v>
      </c>
    </row>
    <row r="30" spans="2:11" ht="15" customHeight="1" x14ac:dyDescent="0.25">
      <c r="B30" s="21" t="s">
        <v>7</v>
      </c>
      <c r="C30" s="21"/>
      <c r="D30" s="87">
        <v>2450168.9374289801</v>
      </c>
      <c r="E30" s="87">
        <v>4.30349566665915</v>
      </c>
      <c r="F30" s="88"/>
      <c r="G30" s="87">
        <v>1462838.0259366899</v>
      </c>
      <c r="H30" s="87">
        <v>4.8299179037614701</v>
      </c>
      <c r="I30" s="88"/>
      <c r="J30" s="87">
        <v>1117475.7020769799</v>
      </c>
      <c r="K30" s="87">
        <v>4.18085362308166</v>
      </c>
    </row>
    <row r="31" spans="2:11" ht="6.95" customHeight="1" x14ac:dyDescent="0.25">
      <c r="B31" s="9"/>
      <c r="C31" s="9"/>
      <c r="D31" s="54"/>
      <c r="E31" s="23"/>
      <c r="F31" s="23"/>
      <c r="G31" s="54"/>
      <c r="H31" s="23"/>
      <c r="I31" s="23"/>
      <c r="J31" s="54"/>
      <c r="K31" s="23"/>
    </row>
    <row r="32" spans="2:11" ht="6.95" customHeight="1" x14ac:dyDescent="0.25">
      <c r="B32" s="22"/>
      <c r="C32" s="22"/>
      <c r="D32" s="51"/>
      <c r="E32" s="22"/>
      <c r="F32" s="22"/>
      <c r="G32" s="51"/>
      <c r="H32" s="22"/>
      <c r="I32" s="22"/>
      <c r="J32" s="51"/>
      <c r="K32" s="22"/>
    </row>
    <row r="33" spans="2:10" ht="12" customHeight="1" x14ac:dyDescent="0.25">
      <c r="B33" s="110" t="s">
        <v>36</v>
      </c>
      <c r="C33" s="110"/>
      <c r="D33" s="110"/>
      <c r="E33" s="110"/>
      <c r="F33" s="110"/>
      <c r="G33"/>
      <c r="J33"/>
    </row>
  </sheetData>
  <mergeCells count="7">
    <mergeCell ref="B33:F33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F2DD6DCD-4B50-4291-8896-56B6F4C8E67E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D6DD-1FD2-41D2-B994-6812DB425879}">
  <dimension ref="B1:K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76" t="s">
        <v>48</v>
      </c>
      <c r="C5" s="76"/>
      <c r="D5" s="76"/>
      <c r="E5" s="76"/>
      <c r="F5" s="76"/>
      <c r="G5" s="76"/>
      <c r="K5" s="67" t="s">
        <v>27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54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88168959.549554095</v>
      </c>
      <c r="E11" s="84">
        <v>100</v>
      </c>
      <c r="F11" s="85"/>
      <c r="G11" s="84">
        <v>47788866.463474698</v>
      </c>
      <c r="H11" s="84">
        <v>100</v>
      </c>
      <c r="I11" s="85"/>
      <c r="J11" s="84">
        <v>41315778.788891397</v>
      </c>
      <c r="K11" s="84">
        <v>100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43" t="s">
        <v>55</v>
      </c>
      <c r="C13" s="11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24" t="s">
        <v>31</v>
      </c>
      <c r="C14" s="24"/>
      <c r="D14" s="87">
        <v>17058247.841336198</v>
      </c>
      <c r="E14" s="87">
        <v>19.663793050195899</v>
      </c>
      <c r="F14" s="88"/>
      <c r="G14" s="87">
        <v>8987122.5781196896</v>
      </c>
      <c r="H14" s="87">
        <v>19.2396847657919</v>
      </c>
      <c r="I14" s="88"/>
      <c r="J14" s="87">
        <v>8407566.4827019796</v>
      </c>
      <c r="K14" s="87">
        <v>20.861617818028101</v>
      </c>
    </row>
    <row r="15" spans="2:11" ht="15" customHeight="1" x14ac:dyDescent="0.25">
      <c r="B15" s="24" t="s">
        <v>32</v>
      </c>
      <c r="C15" s="24"/>
      <c r="D15" s="87">
        <v>29857657.580113001</v>
      </c>
      <c r="E15" s="87">
        <v>34.367291249546398</v>
      </c>
      <c r="F15" s="88"/>
      <c r="G15" s="87">
        <v>13642710.4275482</v>
      </c>
      <c r="H15" s="87">
        <v>29.123140968608102</v>
      </c>
      <c r="I15" s="88"/>
      <c r="J15" s="87">
        <v>16736079.6174227</v>
      </c>
      <c r="K15" s="87">
        <v>41.293123899253203</v>
      </c>
    </row>
    <row r="16" spans="2:11" ht="15" customHeight="1" x14ac:dyDescent="0.25">
      <c r="B16" s="24" t="s">
        <v>33</v>
      </c>
      <c r="C16" s="24"/>
      <c r="D16" s="87">
        <v>7579749.9667458804</v>
      </c>
      <c r="E16" s="87">
        <v>8.7248392531994092</v>
      </c>
      <c r="F16" s="88"/>
      <c r="G16" s="87">
        <v>4337576.2667094804</v>
      </c>
      <c r="H16" s="87">
        <v>9.2803977480642903</v>
      </c>
      <c r="I16" s="88"/>
      <c r="J16" s="87">
        <v>3430178.48687683</v>
      </c>
      <c r="K16" s="87">
        <v>8.5151046255161393</v>
      </c>
    </row>
    <row r="17" spans="2:11" ht="15" customHeight="1" x14ac:dyDescent="0.25">
      <c r="B17" s="24" t="s">
        <v>8</v>
      </c>
      <c r="C17" s="24"/>
      <c r="D17" s="87">
        <v>35798548.960382402</v>
      </c>
      <c r="E17" s="87">
        <v>41.058808125872098</v>
      </c>
      <c r="F17" s="88"/>
      <c r="G17" s="87">
        <v>22163790.361273699</v>
      </c>
      <c r="H17" s="87">
        <v>47.263894328090302</v>
      </c>
      <c r="I17" s="88"/>
      <c r="J17" s="87">
        <v>14036938.723866999</v>
      </c>
      <c r="K17" s="87">
        <v>34.687591224404699</v>
      </c>
    </row>
    <row r="18" spans="2:11" ht="6.95" customHeight="1" x14ac:dyDescent="0.25">
      <c r="B18" s="82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31876327.629939102</v>
      </c>
      <c r="E19" s="84">
        <v>100</v>
      </c>
      <c r="F19" s="85"/>
      <c r="G19" s="84">
        <v>17557347.996399298</v>
      </c>
      <c r="H19" s="84">
        <v>100</v>
      </c>
      <c r="I19" s="85"/>
      <c r="J19" s="84">
        <v>14624214.675651999</v>
      </c>
      <c r="K19" s="84">
        <v>100</v>
      </c>
    </row>
    <row r="20" spans="2:11" ht="6.95" customHeight="1" x14ac:dyDescent="0.25">
      <c r="B20" s="74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43" t="s">
        <v>55</v>
      </c>
      <c r="C21" s="11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24" t="s">
        <v>31</v>
      </c>
      <c r="C22" s="24"/>
      <c r="D22" s="87">
        <v>5412842.7771900902</v>
      </c>
      <c r="E22" s="87">
        <v>17.8031770506622</v>
      </c>
      <c r="F22" s="88"/>
      <c r="G22" s="87">
        <v>2782963.3480272801</v>
      </c>
      <c r="H22" s="87">
        <v>16.7034479840502</v>
      </c>
      <c r="I22" s="88"/>
      <c r="J22" s="87">
        <v>2765145.9660823899</v>
      </c>
      <c r="K22" s="87">
        <v>20.115208786205599</v>
      </c>
    </row>
    <row r="23" spans="2:11" ht="15" customHeight="1" x14ac:dyDescent="0.25">
      <c r="B23" s="24" t="s">
        <v>32</v>
      </c>
      <c r="C23" s="24"/>
      <c r="D23" s="87">
        <v>7461366.40255058</v>
      </c>
      <c r="E23" s="87">
        <v>24.2099064092086</v>
      </c>
      <c r="F23" s="88"/>
      <c r="G23" s="87">
        <v>3381246.6454929002</v>
      </c>
      <c r="H23" s="87">
        <v>20.047925266417</v>
      </c>
      <c r="I23" s="88"/>
      <c r="J23" s="87">
        <v>4328243.9366681101</v>
      </c>
      <c r="K23" s="87">
        <v>30.917416682508101</v>
      </c>
    </row>
    <row r="24" spans="2:11" ht="15" customHeight="1" x14ac:dyDescent="0.25">
      <c r="B24" s="24" t="s">
        <v>33</v>
      </c>
      <c r="C24" s="24"/>
      <c r="D24" s="87">
        <v>2801165.6354660299</v>
      </c>
      <c r="E24" s="87">
        <v>9.1855267128193105</v>
      </c>
      <c r="F24" s="88"/>
      <c r="G24" s="87">
        <v>1663405.8399030799</v>
      </c>
      <c r="H24" s="87">
        <v>9.92948164022628</v>
      </c>
      <c r="I24" s="88"/>
      <c r="J24" s="87">
        <v>1217523.3670509399</v>
      </c>
      <c r="K24" s="87">
        <v>8.8176663493737699</v>
      </c>
    </row>
    <row r="25" spans="2:11" ht="15" customHeight="1" x14ac:dyDescent="0.25">
      <c r="B25" s="24" t="s">
        <v>8</v>
      </c>
      <c r="C25" s="24"/>
      <c r="D25" s="87">
        <v>17038149.308686499</v>
      </c>
      <c r="E25" s="87">
        <v>55.413578697864999</v>
      </c>
      <c r="F25" s="88"/>
      <c r="G25" s="87">
        <v>10308274.0431516</v>
      </c>
      <c r="H25" s="87">
        <v>61.396534203735598</v>
      </c>
      <c r="I25" s="88"/>
      <c r="J25" s="87">
        <v>6933443.3128474103</v>
      </c>
      <c r="K25" s="87">
        <v>49.756594175694701</v>
      </c>
    </row>
    <row r="26" spans="2:11" ht="6.95" customHeight="1" x14ac:dyDescent="0.25">
      <c r="B26" s="82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83" t="s">
        <v>4</v>
      </c>
      <c r="C27" s="10"/>
      <c r="D27" s="84">
        <v>58722602.216376103</v>
      </c>
      <c r="E27" s="84">
        <v>100</v>
      </c>
      <c r="F27" s="85"/>
      <c r="G27" s="84">
        <v>31539784.224373799</v>
      </c>
      <c r="H27" s="84">
        <v>100</v>
      </c>
      <c r="I27" s="85"/>
      <c r="J27" s="84">
        <v>27745562.505176</v>
      </c>
      <c r="K27" s="84">
        <v>100</v>
      </c>
    </row>
    <row r="28" spans="2:11" ht="6.95" customHeight="1" x14ac:dyDescent="0.25">
      <c r="B28" s="83"/>
      <c r="C28" s="10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43" t="s">
        <v>55</v>
      </c>
      <c r="C29" s="11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24" t="s">
        <v>31</v>
      </c>
      <c r="C30" s="24"/>
      <c r="D30" s="87">
        <v>12115884.4248245</v>
      </c>
      <c r="E30" s="87">
        <v>21.203030168540401</v>
      </c>
      <c r="F30" s="88"/>
      <c r="G30" s="87">
        <v>6483621.9514722396</v>
      </c>
      <c r="H30" s="87">
        <v>21.260245472286499</v>
      </c>
      <c r="I30" s="88"/>
      <c r="J30" s="87">
        <v>5904849.4659218499</v>
      </c>
      <c r="K30" s="87">
        <v>22.044376123275899</v>
      </c>
    </row>
    <row r="31" spans="2:11" ht="15" customHeight="1" x14ac:dyDescent="0.25">
      <c r="B31" s="24" t="s">
        <v>32</v>
      </c>
      <c r="C31" s="24"/>
      <c r="D31" s="87">
        <v>23167386.795586899</v>
      </c>
      <c r="E31" s="87">
        <v>40.460361458341303</v>
      </c>
      <c r="F31" s="88"/>
      <c r="G31" s="87">
        <v>10677783.813007001</v>
      </c>
      <c r="H31" s="87">
        <v>34.954263276112201</v>
      </c>
      <c r="I31" s="88"/>
      <c r="J31" s="87">
        <v>12870789.737301599</v>
      </c>
      <c r="K31" s="87">
        <v>47.641326531785303</v>
      </c>
    </row>
    <row r="32" spans="2:11" ht="15" customHeight="1" x14ac:dyDescent="0.25">
      <c r="B32" s="24" t="s">
        <v>33</v>
      </c>
      <c r="C32" s="24"/>
      <c r="D32" s="87">
        <v>5069037.53780712</v>
      </c>
      <c r="E32" s="87">
        <v>8.8709335453236395</v>
      </c>
      <c r="F32" s="88"/>
      <c r="G32" s="87">
        <v>2869050.73127943</v>
      </c>
      <c r="H32" s="87">
        <v>9.4433071237414499</v>
      </c>
      <c r="I32" s="88"/>
      <c r="J32" s="87">
        <v>2363936.9548078501</v>
      </c>
      <c r="K32" s="87">
        <v>8.8327331559265296</v>
      </c>
    </row>
    <row r="33" spans="2:11" ht="15" customHeight="1" x14ac:dyDescent="0.25">
      <c r="B33" s="24" t="s">
        <v>8</v>
      </c>
      <c r="C33" s="24"/>
      <c r="D33" s="87">
        <v>19801383.443715401</v>
      </c>
      <c r="E33" s="87">
        <v>34.358307450651701</v>
      </c>
      <c r="F33" s="88"/>
      <c r="G33" s="87">
        <v>12506041.2335659</v>
      </c>
      <c r="H33" s="87">
        <v>40.720443864391598</v>
      </c>
      <c r="I33" s="88"/>
      <c r="J33" s="87">
        <v>7562538.8686746201</v>
      </c>
      <c r="K33" s="87">
        <v>28.0272285168708</v>
      </c>
    </row>
    <row r="34" spans="2:11" ht="6.95" customHeight="1" x14ac:dyDescent="0.25">
      <c r="B34" s="9"/>
      <c r="C34" s="9"/>
      <c r="D34" s="53"/>
      <c r="E34" s="9"/>
      <c r="F34" s="9"/>
      <c r="G34" s="53"/>
      <c r="H34" s="9"/>
      <c r="I34" s="9"/>
      <c r="J34" s="53"/>
      <c r="K34" s="9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6">
    <mergeCell ref="B36:F36"/>
    <mergeCell ref="B7:B9"/>
    <mergeCell ref="D7:E8"/>
    <mergeCell ref="G7:K7"/>
    <mergeCell ref="G8:H8"/>
    <mergeCell ref="J8:K8"/>
  </mergeCells>
  <hyperlinks>
    <hyperlink ref="K1" location="Índice!A1" tooltip="Ir a ÍNDICE" display="INDICE" xr:uid="{761A7E81-35EA-4A41-9B9C-D123368B8FC3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1AB9-1CCD-439A-B3DA-28A3FE78B00B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111" t="s">
        <v>49</v>
      </c>
      <c r="C5" s="111"/>
      <c r="D5" s="111"/>
      <c r="E5" s="111"/>
      <c r="F5" s="111"/>
      <c r="G5" s="111"/>
      <c r="K5" s="67" t="s">
        <v>28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9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88168959.549554095</v>
      </c>
      <c r="E11" s="84">
        <v>100</v>
      </c>
      <c r="F11" s="85"/>
      <c r="G11" s="84">
        <v>47788866.463474698</v>
      </c>
      <c r="H11" s="84">
        <v>100</v>
      </c>
      <c r="I11" s="85"/>
      <c r="J11" s="84">
        <v>41315778.788891397</v>
      </c>
      <c r="K11" s="84">
        <v>100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77" t="s">
        <v>61</v>
      </c>
      <c r="C13" s="24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78" t="s">
        <v>39</v>
      </c>
      <c r="C14" s="24"/>
      <c r="D14" s="87">
        <v>35510840.177642897</v>
      </c>
      <c r="E14" s="87">
        <v>40.907338872957503</v>
      </c>
      <c r="F14" s="88"/>
      <c r="G14" s="87">
        <v>18593443.667356901</v>
      </c>
      <c r="H14" s="87">
        <v>39.759491211304798</v>
      </c>
      <c r="I14" s="88"/>
      <c r="J14" s="87">
        <v>17399763.210274599</v>
      </c>
      <c r="K14" s="87">
        <v>43.010826159353201</v>
      </c>
    </row>
    <row r="15" spans="2:11" ht="15" customHeight="1" x14ac:dyDescent="0.25">
      <c r="B15" s="78" t="s">
        <v>40</v>
      </c>
      <c r="C15" s="24"/>
      <c r="D15" s="87">
        <v>25687495.203217302</v>
      </c>
      <c r="E15" s="87">
        <v>29.520170231319302</v>
      </c>
      <c r="F15" s="88"/>
      <c r="G15" s="87">
        <v>13591781.8144588</v>
      </c>
      <c r="H15" s="87">
        <v>28.928547490525201</v>
      </c>
      <c r="I15" s="88"/>
      <c r="J15" s="87">
        <v>12519820.7391819</v>
      </c>
      <c r="K15" s="87">
        <v>31.026883310273799</v>
      </c>
    </row>
    <row r="16" spans="2:11" ht="15" customHeight="1" x14ac:dyDescent="0.25">
      <c r="B16" s="78" t="s">
        <v>41</v>
      </c>
      <c r="C16" s="24"/>
      <c r="D16" s="87">
        <v>12132313.921038199</v>
      </c>
      <c r="E16" s="87">
        <v>13.947143226180801</v>
      </c>
      <c r="F16" s="88"/>
      <c r="G16" s="87">
        <v>6381077.1661300799</v>
      </c>
      <c r="H16" s="87">
        <v>13.660324403019599</v>
      </c>
      <c r="I16" s="88"/>
      <c r="J16" s="87">
        <v>6025745.4353164304</v>
      </c>
      <c r="K16" s="87">
        <v>14.8948097334066</v>
      </c>
    </row>
    <row r="17" spans="2:11" ht="15" customHeight="1" x14ac:dyDescent="0.25">
      <c r="B17" s="78" t="s">
        <v>42</v>
      </c>
      <c r="C17" s="24"/>
      <c r="D17" s="87">
        <v>17151550.124854699</v>
      </c>
      <c r="E17" s="87">
        <v>19.729316042169501</v>
      </c>
      <c r="F17" s="88"/>
      <c r="G17" s="87">
        <v>10628926.481761299</v>
      </c>
      <c r="H17" s="87">
        <v>22.7545599331877</v>
      </c>
      <c r="I17" s="88"/>
      <c r="J17" s="87">
        <v>6823535.3870205404</v>
      </c>
      <c r="K17" s="87">
        <v>16.925816009875401</v>
      </c>
    </row>
    <row r="18" spans="2:11" ht="6.95" customHeight="1" x14ac:dyDescent="0.25">
      <c r="B18" s="8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31876327.629939102</v>
      </c>
      <c r="E19" s="84">
        <v>100</v>
      </c>
      <c r="F19" s="85"/>
      <c r="G19" s="84">
        <v>17557347.996399298</v>
      </c>
      <c r="H19" s="84">
        <v>100</v>
      </c>
      <c r="I19" s="85"/>
      <c r="J19" s="84">
        <v>14624214.675651999</v>
      </c>
      <c r="K19" s="84">
        <v>100</v>
      </c>
    </row>
    <row r="20" spans="2:11" ht="6.95" customHeight="1" x14ac:dyDescent="0.25">
      <c r="B20" s="7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77" t="s">
        <v>61</v>
      </c>
      <c r="C21" s="24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78" t="s">
        <v>39</v>
      </c>
      <c r="C22" s="24"/>
      <c r="D22" s="87">
        <v>10745734.928656699</v>
      </c>
      <c r="E22" s="87">
        <v>35.240183276585697</v>
      </c>
      <c r="F22" s="88"/>
      <c r="G22" s="87">
        <v>5840837.3605727898</v>
      </c>
      <c r="H22" s="87">
        <v>34.908928778851902</v>
      </c>
      <c r="I22" s="88"/>
      <c r="J22" s="87">
        <v>5149029.1098573003</v>
      </c>
      <c r="K22" s="87">
        <v>37.069368774082598</v>
      </c>
    </row>
    <row r="23" spans="2:11" ht="15" customHeight="1" x14ac:dyDescent="0.25">
      <c r="B23" s="78" t="s">
        <v>40</v>
      </c>
      <c r="C23" s="24"/>
      <c r="D23" s="87">
        <v>8194236.4951452101</v>
      </c>
      <c r="E23" s="87">
        <v>26.605956821643701</v>
      </c>
      <c r="F23" s="88"/>
      <c r="G23" s="87">
        <v>4567242.5072607901</v>
      </c>
      <c r="H23" s="87">
        <v>26.9671309518437</v>
      </c>
      <c r="I23" s="88"/>
      <c r="J23" s="87">
        <v>3829153.6227555098</v>
      </c>
      <c r="K23" s="87">
        <v>27.745806437702701</v>
      </c>
    </row>
    <row r="24" spans="2:11" ht="15" customHeight="1" x14ac:dyDescent="0.25">
      <c r="B24" s="78" t="s">
        <v>41</v>
      </c>
      <c r="C24" s="24"/>
      <c r="D24" s="87">
        <v>5243989.6687253099</v>
      </c>
      <c r="E24" s="87">
        <v>17.1681156414718</v>
      </c>
      <c r="F24" s="88"/>
      <c r="G24" s="87">
        <v>2593364.45562984</v>
      </c>
      <c r="H24" s="87">
        <v>15.571212230690699</v>
      </c>
      <c r="I24" s="88"/>
      <c r="J24" s="87">
        <v>2775278.5216795299</v>
      </c>
      <c r="K24" s="87">
        <v>19.948159873136198</v>
      </c>
    </row>
    <row r="25" spans="2:11" ht="15" customHeight="1" x14ac:dyDescent="0.25">
      <c r="B25" s="78" t="s">
        <v>42</v>
      </c>
      <c r="C25" s="24"/>
      <c r="D25" s="87">
        <v>8724710.6504253894</v>
      </c>
      <c r="E25" s="87">
        <v>28.6119652193156</v>
      </c>
      <c r="F25" s="88"/>
      <c r="G25" s="87">
        <v>5264651.1980738202</v>
      </c>
      <c r="H25" s="87">
        <v>31.714705465730201</v>
      </c>
      <c r="I25" s="88"/>
      <c r="J25" s="87">
        <v>3629255.38354825</v>
      </c>
      <c r="K25" s="87">
        <v>26.223733956127599</v>
      </c>
    </row>
    <row r="26" spans="2:11" ht="6.95" customHeight="1" x14ac:dyDescent="0.25">
      <c r="B26" s="8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74" t="s">
        <v>4</v>
      </c>
      <c r="C27" s="7"/>
      <c r="D27" s="84">
        <v>58722602.216376103</v>
      </c>
      <c r="E27" s="84">
        <v>100</v>
      </c>
      <c r="F27" s="85"/>
      <c r="G27" s="84">
        <v>31539784.224373799</v>
      </c>
      <c r="H27" s="84">
        <v>100</v>
      </c>
      <c r="I27" s="85"/>
      <c r="J27" s="84">
        <v>27745562.505176</v>
      </c>
      <c r="K27" s="84">
        <v>100</v>
      </c>
    </row>
    <row r="28" spans="2:11" ht="6.95" customHeight="1" x14ac:dyDescent="0.25">
      <c r="B28" s="7"/>
      <c r="C28" s="7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77" t="s">
        <v>61</v>
      </c>
      <c r="C29" s="24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78" t="s">
        <v>39</v>
      </c>
      <c r="C30" s="24"/>
      <c r="D30" s="87">
        <v>25581079.692416798</v>
      </c>
      <c r="E30" s="87">
        <v>44.577700312947101</v>
      </c>
      <c r="F30" s="88"/>
      <c r="G30" s="87">
        <v>13219524.602986</v>
      </c>
      <c r="H30" s="87">
        <v>43.262788992547598</v>
      </c>
      <c r="I30" s="88"/>
      <c r="J30" s="87">
        <v>12692994.182029</v>
      </c>
      <c r="K30" s="87">
        <v>47.032176713862597</v>
      </c>
    </row>
    <row r="31" spans="2:11" ht="15" customHeight="1" x14ac:dyDescent="0.25">
      <c r="B31" s="78" t="s">
        <v>40</v>
      </c>
      <c r="C31" s="24"/>
      <c r="D31" s="87">
        <v>18235161.0534878</v>
      </c>
      <c r="E31" s="87">
        <v>31.741787979123298</v>
      </c>
      <c r="F31" s="88"/>
      <c r="G31" s="87">
        <v>9500668.8510788102</v>
      </c>
      <c r="H31" s="87">
        <v>30.9122271521565</v>
      </c>
      <c r="I31" s="88"/>
      <c r="J31" s="87">
        <v>9059184.7678862195</v>
      </c>
      <c r="K31" s="87">
        <v>33.632634456158101</v>
      </c>
    </row>
    <row r="32" spans="2:11" ht="15" customHeight="1" x14ac:dyDescent="0.25">
      <c r="B32" s="78" t="s">
        <v>41</v>
      </c>
      <c r="C32" s="24"/>
      <c r="D32" s="87">
        <v>7297179.9824225903</v>
      </c>
      <c r="E32" s="87">
        <v>12.7644329586327</v>
      </c>
      <c r="F32" s="88"/>
      <c r="G32" s="87">
        <v>4013973.90694045</v>
      </c>
      <c r="H32" s="87">
        <v>13.2075380610554</v>
      </c>
      <c r="I32" s="88"/>
      <c r="J32" s="87">
        <v>3519367.9110425799</v>
      </c>
      <c r="K32" s="87">
        <v>13.1081510186528</v>
      </c>
    </row>
    <row r="33" spans="2:11" ht="15" customHeight="1" x14ac:dyDescent="0.25">
      <c r="B33" s="78" t="s">
        <v>42</v>
      </c>
      <c r="C33" s="24"/>
      <c r="D33" s="87">
        <v>9004605.1755897105</v>
      </c>
      <c r="E33" s="87">
        <v>15.717413131728</v>
      </c>
      <c r="F33" s="88"/>
      <c r="G33" s="87">
        <v>5750565.5503063202</v>
      </c>
      <c r="H33" s="87">
        <v>18.831960360008502</v>
      </c>
      <c r="I33" s="88"/>
      <c r="J33" s="87">
        <v>3473708.24734155</v>
      </c>
      <c r="K33" s="87">
        <v>12.9764427643583</v>
      </c>
    </row>
    <row r="34" spans="2:11" ht="6.95" customHeight="1" x14ac:dyDescent="0.25">
      <c r="B34" s="9"/>
      <c r="C34" s="9"/>
      <c r="D34" s="53"/>
      <c r="E34" s="9"/>
      <c r="F34" s="9"/>
      <c r="G34" s="53"/>
      <c r="H34" s="9"/>
      <c r="I34" s="9"/>
      <c r="J34" s="53"/>
      <c r="K34" s="9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7">
    <mergeCell ref="B36:F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18CDFAB4-282C-4803-9767-58D827AB779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25D6-A86D-47FB-9B20-12078B9CCA47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75" t="s">
        <v>12</v>
      </c>
      <c r="C5" s="75"/>
      <c r="D5" s="75"/>
      <c r="E5" s="75"/>
      <c r="F5" s="75"/>
      <c r="G5" s="75"/>
      <c r="K5" s="67" t="s">
        <v>29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56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14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88168959.549554095</v>
      </c>
      <c r="E11" s="84">
        <v>100</v>
      </c>
      <c r="F11" s="85"/>
      <c r="G11" s="84">
        <v>47788866.463474698</v>
      </c>
      <c r="H11" s="84">
        <v>100</v>
      </c>
      <c r="I11" s="85"/>
      <c r="J11" s="84">
        <v>41315778.788891397</v>
      </c>
      <c r="K11" s="84">
        <v>100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43" t="s">
        <v>57</v>
      </c>
      <c r="C13" s="11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21" t="s">
        <v>43</v>
      </c>
      <c r="C14" s="11"/>
      <c r="D14" s="87">
        <v>6016643.6735077295</v>
      </c>
      <c r="E14" s="87">
        <v>6.9244973718846001</v>
      </c>
      <c r="F14" s="88"/>
      <c r="G14" s="87">
        <v>3663869.6712577501</v>
      </c>
      <c r="H14" s="87">
        <v>7.8469971679838997</v>
      </c>
      <c r="I14" s="88"/>
      <c r="J14" s="87">
        <v>2542582.2435946199</v>
      </c>
      <c r="K14" s="87">
        <v>6.3130690690593099</v>
      </c>
    </row>
    <row r="15" spans="2:11" ht="15" customHeight="1" x14ac:dyDescent="0.25">
      <c r="B15" s="21" t="s">
        <v>44</v>
      </c>
      <c r="C15" s="11"/>
      <c r="D15" s="87">
        <v>10000590.957262401</v>
      </c>
      <c r="E15" s="87">
        <v>11.527170932524401</v>
      </c>
      <c r="F15" s="88"/>
      <c r="G15" s="87">
        <v>5855671.3390055699</v>
      </c>
      <c r="H15" s="87">
        <v>12.5164923700339</v>
      </c>
      <c r="I15" s="88"/>
      <c r="J15" s="87">
        <v>4400816.4001735998</v>
      </c>
      <c r="K15" s="87">
        <v>10.921263549660299</v>
      </c>
    </row>
    <row r="16" spans="2:11" ht="15" customHeight="1" x14ac:dyDescent="0.25">
      <c r="B16" s="21" t="s">
        <v>45</v>
      </c>
      <c r="C16" s="11"/>
      <c r="D16" s="87">
        <v>68349809.696362406</v>
      </c>
      <c r="E16" s="87">
        <v>78.263092941881993</v>
      </c>
      <c r="F16" s="88"/>
      <c r="G16" s="87">
        <v>36127156.926508598</v>
      </c>
      <c r="H16" s="87">
        <v>76.661849538757806</v>
      </c>
      <c r="I16" s="88"/>
      <c r="J16" s="87">
        <v>32933284.393610898</v>
      </c>
      <c r="K16" s="87">
        <v>80.774666332705493</v>
      </c>
    </row>
    <row r="17" spans="2:11" ht="15" customHeight="1" x14ac:dyDescent="0.25">
      <c r="B17" s="21" t="s">
        <v>7</v>
      </c>
      <c r="C17" s="11"/>
      <c r="D17" s="87">
        <v>5447016.4126425805</v>
      </c>
      <c r="E17" s="87">
        <v>6.2773173972305996</v>
      </c>
      <c r="F17" s="88"/>
      <c r="G17" s="87">
        <v>3182784.7427650299</v>
      </c>
      <c r="H17" s="87">
        <v>6.8305712882859204</v>
      </c>
      <c r="I17" s="88"/>
      <c r="J17" s="87">
        <v>2393456.19936821</v>
      </c>
      <c r="K17" s="87">
        <v>5.9463993128055996</v>
      </c>
    </row>
    <row r="18" spans="2:11" ht="6.95" customHeight="1" x14ac:dyDescent="0.25">
      <c r="B18" s="8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31876327.629939102</v>
      </c>
      <c r="E19" s="84">
        <v>100</v>
      </c>
      <c r="F19" s="85"/>
      <c r="G19" s="84">
        <v>17557347.996399298</v>
      </c>
      <c r="H19" s="84">
        <v>100</v>
      </c>
      <c r="I19" s="85"/>
      <c r="J19" s="84">
        <v>14624214.675651999</v>
      </c>
      <c r="K19" s="84">
        <v>100</v>
      </c>
    </row>
    <row r="20" spans="2:11" ht="6.95" customHeight="1" x14ac:dyDescent="0.25">
      <c r="B20" s="7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43" t="s">
        <v>57</v>
      </c>
      <c r="C21" s="11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21" t="s">
        <v>43</v>
      </c>
      <c r="C22" s="11"/>
      <c r="D22" s="87">
        <v>2847820.16637418</v>
      </c>
      <c r="E22" s="87">
        <v>9.4098591172310506</v>
      </c>
      <c r="F22" s="88"/>
      <c r="G22" s="87">
        <v>1785078.26474194</v>
      </c>
      <c r="H22" s="87">
        <v>10.793127098980101</v>
      </c>
      <c r="I22" s="88"/>
      <c r="J22" s="87">
        <v>1160910.5053234301</v>
      </c>
      <c r="K22" s="87">
        <v>8.4701484010703698</v>
      </c>
    </row>
    <row r="23" spans="2:11" ht="15" customHeight="1" x14ac:dyDescent="0.25">
      <c r="B23" s="21" t="s">
        <v>44</v>
      </c>
      <c r="C23" s="11"/>
      <c r="D23" s="87">
        <v>3772264.8011401901</v>
      </c>
      <c r="E23" s="87">
        <v>12.4130837164362</v>
      </c>
      <c r="F23" s="88"/>
      <c r="G23" s="87">
        <v>2190890.8221614901</v>
      </c>
      <c r="H23" s="87">
        <v>13.0895744624057</v>
      </c>
      <c r="I23" s="88"/>
      <c r="J23" s="87">
        <v>1728941.4446213101</v>
      </c>
      <c r="K23" s="87">
        <v>12.574400941704299</v>
      </c>
    </row>
    <row r="24" spans="2:11" ht="15" customHeight="1" x14ac:dyDescent="0.25">
      <c r="B24" s="21" t="s">
        <v>45</v>
      </c>
      <c r="C24" s="11"/>
      <c r="D24" s="87">
        <v>23056703.958319601</v>
      </c>
      <c r="E24" s="87">
        <v>73.875729015214802</v>
      </c>
      <c r="F24" s="88"/>
      <c r="G24" s="87">
        <v>12469238.292296899</v>
      </c>
      <c r="H24" s="87">
        <v>72.936394315082694</v>
      </c>
      <c r="I24" s="88"/>
      <c r="J24" s="87">
        <v>10832066.096739899</v>
      </c>
      <c r="K24" s="87">
        <v>76.120904575991105</v>
      </c>
    </row>
    <row r="25" spans="2:11" ht="15" customHeight="1" x14ac:dyDescent="0.25">
      <c r="B25" s="21" t="s">
        <v>7</v>
      </c>
      <c r="C25" s="11"/>
      <c r="D25" s="87">
        <v>2986000.2289793198</v>
      </c>
      <c r="E25" s="87">
        <v>9.8666552123255098</v>
      </c>
      <c r="F25" s="88"/>
      <c r="G25" s="87">
        <v>1671062.69942439</v>
      </c>
      <c r="H25" s="87">
        <v>10.1287379331645</v>
      </c>
      <c r="I25" s="88"/>
      <c r="J25" s="87">
        <v>1384439.0495660999</v>
      </c>
      <c r="K25" s="87">
        <v>10.0548633607174</v>
      </c>
    </row>
    <row r="26" spans="2:11" ht="6.95" customHeight="1" x14ac:dyDescent="0.25">
      <c r="B26" s="8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74" t="s">
        <v>4</v>
      </c>
      <c r="C27" s="7"/>
      <c r="D27" s="84">
        <v>58722602.216376103</v>
      </c>
      <c r="E27" s="84">
        <v>100</v>
      </c>
      <c r="F27" s="85"/>
      <c r="G27" s="84">
        <v>31539784.224373799</v>
      </c>
      <c r="H27" s="84">
        <v>100</v>
      </c>
      <c r="I27" s="85"/>
      <c r="J27" s="84">
        <v>27745562.505176</v>
      </c>
      <c r="K27" s="84">
        <v>100</v>
      </c>
    </row>
    <row r="28" spans="2:11" ht="6.95" customHeight="1" x14ac:dyDescent="0.25">
      <c r="B28" s="7"/>
      <c r="C28" s="7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43" t="s">
        <v>57</v>
      </c>
      <c r="C29" s="11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21" t="s">
        <v>43</v>
      </c>
      <c r="C30" s="11"/>
      <c r="D30" s="87">
        <v>3405549.2506573899</v>
      </c>
      <c r="E30" s="87">
        <v>5.9523888782808401</v>
      </c>
      <c r="F30" s="88"/>
      <c r="G30" s="87">
        <v>2040000.2856538</v>
      </c>
      <c r="H30" s="87">
        <v>6.6905962445703402</v>
      </c>
      <c r="I30" s="88"/>
      <c r="J30" s="87">
        <v>1509664.4973142699</v>
      </c>
      <c r="K30" s="87">
        <v>5.6545331472728</v>
      </c>
    </row>
    <row r="31" spans="2:11" ht="15" customHeight="1" x14ac:dyDescent="0.25">
      <c r="B31" s="21" t="s">
        <v>44</v>
      </c>
      <c r="C31" s="11"/>
      <c r="D31" s="87">
        <v>6557429.5698795104</v>
      </c>
      <c r="E31" s="87">
        <v>11.470895648458599</v>
      </c>
      <c r="F31" s="88"/>
      <c r="G31" s="87">
        <v>3905956.6244660602</v>
      </c>
      <c r="H31" s="87">
        <v>12.7902227749566</v>
      </c>
      <c r="I31" s="88"/>
      <c r="J31" s="87">
        <v>2843024.7260572398</v>
      </c>
      <c r="K31" s="87">
        <v>10.617416750217201</v>
      </c>
    </row>
    <row r="32" spans="2:11" ht="15" customHeight="1" x14ac:dyDescent="0.25">
      <c r="B32" s="21" t="s">
        <v>45</v>
      </c>
      <c r="C32" s="11"/>
      <c r="D32" s="87">
        <v>47031423.052278496</v>
      </c>
      <c r="E32" s="87">
        <v>81.213875298509507</v>
      </c>
      <c r="F32" s="88"/>
      <c r="G32" s="87">
        <v>24590919.5078189</v>
      </c>
      <c r="H32" s="87">
        <v>79.487024893695505</v>
      </c>
      <c r="I32" s="88"/>
      <c r="J32" s="87">
        <v>22919904.781119298</v>
      </c>
      <c r="K32" s="87">
        <v>83.955000222665504</v>
      </c>
    </row>
    <row r="33" spans="2:11" ht="15" customHeight="1" x14ac:dyDescent="0.25">
      <c r="B33" s="21" t="s">
        <v>7</v>
      </c>
      <c r="C33" s="11"/>
      <c r="D33" s="87">
        <v>2700785.2782170898</v>
      </c>
      <c r="E33" s="87">
        <v>4.7445543287435701</v>
      </c>
      <c r="F33" s="88"/>
      <c r="G33" s="87">
        <v>1675120.70300064</v>
      </c>
      <c r="H33" s="87">
        <v>5.5378674646449797</v>
      </c>
      <c r="I33" s="88"/>
      <c r="J33" s="87">
        <v>1151301.1419208599</v>
      </c>
      <c r="K33" s="87">
        <v>4.3120068585922597</v>
      </c>
    </row>
    <row r="34" spans="2:11" ht="6.95" customHeight="1" x14ac:dyDescent="0.25">
      <c r="B34" s="9"/>
      <c r="C34" s="9"/>
      <c r="D34" s="50"/>
      <c r="E34" s="44"/>
      <c r="F34" s="44"/>
      <c r="G34" s="50"/>
      <c r="H34" s="44"/>
      <c r="I34" s="44"/>
      <c r="J34" s="50"/>
      <c r="K34" s="44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6">
    <mergeCell ref="B36:F36"/>
    <mergeCell ref="J8:K8"/>
    <mergeCell ref="G8:H8"/>
    <mergeCell ref="G7:K7"/>
    <mergeCell ref="D7:E8"/>
    <mergeCell ref="B7:B9"/>
  </mergeCells>
  <hyperlinks>
    <hyperlink ref="K1" location="Índice!A1" tooltip="Ir a ÍNDICE" display="INDICE" xr:uid="{0D18888E-CCC4-4062-901E-3AD8CECC901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</vt:lpstr>
      <vt:lpstr>Cuadro 12.1</vt:lpstr>
      <vt:lpstr>Cuadro 12.2</vt:lpstr>
      <vt:lpstr>Cuadro 12.3</vt:lpstr>
      <vt:lpstr>Cuadro 12.4</vt:lpstr>
      <vt:lpstr>Cuadro 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2021-07-05T19:41:02Z</dcterms:created>
  <dcterms:modified xsi:type="dcterms:W3CDTF">2025-03-11T17:46:20Z</dcterms:modified>
</cp:coreProperties>
</file>