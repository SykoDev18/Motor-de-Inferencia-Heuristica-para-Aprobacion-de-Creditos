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4\"/>
    </mc:Choice>
  </mc:AlternateContent>
  <xr:revisionPtr revIDLastSave="0" documentId="13_ncr:1_{81FB3C63-D42D-4DDB-A227-EA9E55214A05}" xr6:coauthVersionLast="47" xr6:coauthVersionMax="47" xr10:uidLastSave="{00000000-0000-0000-0000-000000000000}"/>
  <bookViews>
    <workbookView xWindow="-120" yWindow="-120" windowWidth="29040" windowHeight="15840" tabRatio="882" xr2:uid="{00000000-000D-0000-FFFF-FFFF00000000}"/>
  </bookViews>
  <sheets>
    <sheet name="ÍNDICE" sheetId="29" r:id="rId1"/>
    <sheet name="Cuadro 4.1" sheetId="35" r:id="rId2"/>
    <sheet name="Cuadro 4.2" sheetId="16" r:id="rId3"/>
    <sheet name="Cuadro 4.3" sheetId="34" r:id="rId4"/>
    <sheet name="Cuadro 4.4" sheetId="33" r:id="rId5"/>
    <sheet name="Cuadro 4.5" sheetId="32" r:id="rId6"/>
    <sheet name="Cuadro 4.6" sheetId="40" r:id="rId7"/>
    <sheet name="Cuadro 4.7" sheetId="39" r:id="rId8"/>
    <sheet name="Cuadro 4.8" sheetId="38" r:id="rId9"/>
    <sheet name="Cuadro 4.9" sheetId="37" r:id="rId10"/>
    <sheet name="Cuadro 4.10" sheetId="31" r:id="rId11"/>
    <sheet name="Cuadro 4.11" sheetId="36" r:id="rId12"/>
    <sheet name="Cuadro 4.12" sheetId="30" r:id="rId13"/>
  </sheets>
  <externalReferences>
    <externalReference r:id="rId14"/>
  </externalReferences>
  <definedNames>
    <definedName name="\p">#N/A</definedName>
    <definedName name="\s">#N/A</definedName>
    <definedName name="A_impresión_IM" localSheetId="10">#REF!</definedName>
    <definedName name="A_impresión_IM" localSheetId="11">#REF!</definedName>
    <definedName name="A_impresión_IM" localSheetId="12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>#REF!</definedName>
    <definedName name="Cuadro_2.1" localSheetId="10">#REF!</definedName>
    <definedName name="Cuadro_2.1" localSheetId="11">#REF!</definedName>
    <definedName name="Cuadro_2.1" localSheetId="12">#REF!</definedName>
    <definedName name="Cuadro_2.1" localSheetId="2">#REF!</definedName>
    <definedName name="Cuadro_2.1" localSheetId="3">#REF!</definedName>
    <definedName name="Cuadro_2.1" localSheetId="4">#REF!</definedName>
    <definedName name="Cuadro_2.1" localSheetId="5">#REF!</definedName>
    <definedName name="Cuadro_2.1" localSheetId="6">#REF!</definedName>
    <definedName name="Cuadro_2.1" localSheetId="7">#REF!</definedName>
    <definedName name="Cuadro_2.1" localSheetId="8">#REF!</definedName>
    <definedName name="Cuadro_2.1" localSheetId="9">#REF!</definedName>
    <definedName name="Cuadro_2.1">#REF!</definedName>
    <definedName name="Cuadro_2.2" localSheetId="10">#REF!</definedName>
    <definedName name="Cuadro_2.2" localSheetId="11">#REF!</definedName>
    <definedName name="Cuadro_2.2" localSheetId="12">#REF!</definedName>
    <definedName name="Cuadro_2.2" localSheetId="3">#REF!</definedName>
    <definedName name="Cuadro_2.2" localSheetId="4">#REF!</definedName>
    <definedName name="Cuadro_2.2" localSheetId="5">#REF!</definedName>
    <definedName name="Cuadro_2.2" localSheetId="6">#REF!</definedName>
    <definedName name="Cuadro_2.2" localSheetId="7">#REF!</definedName>
    <definedName name="Cuadro_2.2" localSheetId="8">#REF!</definedName>
    <definedName name="Cuadro_2.2" localSheetId="9">#REF!</definedName>
    <definedName name="Cuadro_2.2">#REF!</definedName>
    <definedName name="Cuadro_2.3">#REF!</definedName>
    <definedName name="DESTINO">#REF!</definedName>
    <definedName name="índice">#REF!</definedName>
    <definedName name="Ir_a_inicio">'[1]Cuadro 1'!#REF!</definedName>
    <definedName name="Libro1">'[1]Cuadro 1'!#REF!</definedName>
    <definedName name="No">#REF!</definedName>
    <definedName name="paso">#REF!</definedName>
    <definedName name="prueba">#REF!</definedName>
    <definedName name="si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29" l="1"/>
</calcChain>
</file>

<file path=xl/sharedStrings.xml><?xml version="1.0" encoding="utf-8"?>
<sst xmlns="http://schemas.openxmlformats.org/spreadsheetml/2006/main" count="620" uniqueCount="139">
  <si>
    <t>1 a 14 999 habitantes</t>
  </si>
  <si>
    <t xml:space="preserve">15 000 y más habitantes </t>
  </si>
  <si>
    <t>Estados Unidos Mexicanos</t>
  </si>
  <si>
    <t>Hace anotaciones de los gastos</t>
  </si>
  <si>
    <t>Lleva un registro de los recibos o deudas pendientes para pagarlos</t>
  </si>
  <si>
    <t>Hombres</t>
  </si>
  <si>
    <t xml:space="preserve">Estados Unidos Mexicanos </t>
  </si>
  <si>
    <t>Paga sus cuentas a tiempo</t>
  </si>
  <si>
    <t>Le sobra dinero a fin de mes</t>
  </si>
  <si>
    <t>Población de 18 a 70 años por tamaño de localidad y condición de riesgo financiero según sexo</t>
  </si>
  <si>
    <t>Si alguien le ofrece la posibilidad de ganar dinero fácilmente, también puede perderlo fácilmente</t>
  </si>
  <si>
    <t>Tamaño de localidad y condición de suficiencia para cubrir gastos mensuales en el último año</t>
  </si>
  <si>
    <t>El dinero está para gastarse</t>
  </si>
  <si>
    <t>Con sus ahorros</t>
  </si>
  <si>
    <t>Vendiendo o empeñando algún bien</t>
  </si>
  <si>
    <t>Con el préstamo de familiares o amistades</t>
  </si>
  <si>
    <t xml:space="preserve">Sí podría aprovechar la oportunidad de comprar un bien </t>
  </si>
  <si>
    <t xml:space="preserve">No podría aprovechar la oportunidad de comprar un bien </t>
  </si>
  <si>
    <t>Cuadro 4.1</t>
  </si>
  <si>
    <t>Cuadro 4.11</t>
  </si>
  <si>
    <t>Cuadro 4.2</t>
  </si>
  <si>
    <t>Cuadro 4.3</t>
  </si>
  <si>
    <t>Cuadro 4.4</t>
  </si>
  <si>
    <t>Cuadro 4.5</t>
  </si>
  <si>
    <t>Cuadro 4.6</t>
  </si>
  <si>
    <t>Cuadro 4.7</t>
  </si>
  <si>
    <t>Cuadro 4.8</t>
  </si>
  <si>
    <t>Cuadro 4.9</t>
  </si>
  <si>
    <t>Cuadro 4.10</t>
  </si>
  <si>
    <t>Lleva un presupuesto o un registro de sus ingresos o gastos</t>
  </si>
  <si>
    <t>ÍNDICE</t>
  </si>
  <si>
    <t>Relativos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</si>
  <si>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medio utilizado para cubrir los gastos puede ser mayor al total porque una persona pudo haber declarado más de un medio.</t>
    </r>
  </si>
  <si>
    <r>
      <rPr>
        <vertAlign val="superscript"/>
        <sz val="8"/>
        <color rgb="FF000000"/>
        <rFont val="Arial"/>
        <family val="2"/>
      </rPr>
      <t>2</t>
    </r>
    <r>
      <rPr>
        <sz val="8"/>
        <color indexed="8"/>
        <rFont val="Arial"/>
        <family val="2"/>
      </rPr>
      <t xml:space="preserve"> La suma por medio utilizado para cubrir los gastos puede ser mayor al total porque una persona pudo haber declarado más de un medio.</t>
    </r>
  </si>
  <si>
    <t>Sí (verdadero)</t>
  </si>
  <si>
    <t>No (falso)</t>
  </si>
  <si>
    <t xml:space="preserve">De acuerdo </t>
  </si>
  <si>
    <t>Ni de acuerdo ni en desacuerdo</t>
  </si>
  <si>
    <t xml:space="preserve">En desacuerdo </t>
  </si>
  <si>
    <t>Siempre</t>
  </si>
  <si>
    <t>Algunas veces</t>
  </si>
  <si>
    <t xml:space="preserve">Nunca </t>
  </si>
  <si>
    <t xml:space="preserve">Sí pudo cubrir sus gastos mensuales en el último año </t>
  </si>
  <si>
    <t xml:space="preserve">No pudo cubrir sus gastos mensuales en el último año </t>
  </si>
  <si>
    <t>Pidió prestado a familiares o personas conocidas</t>
  </si>
  <si>
    <t>Utilizó el dinero que tenía ahorrado</t>
  </si>
  <si>
    <t>Redujo sus gastos</t>
  </si>
  <si>
    <t>Vendió o empeñó algún bien</t>
  </si>
  <si>
    <t>Se atrasó en el pago de algún crédito o préstamo</t>
  </si>
  <si>
    <r>
      <t>Sí se ha capacitado tomando cursos</t>
    </r>
    <r>
      <rPr>
        <vertAlign val="superscript"/>
        <sz val="8"/>
        <rFont val="Arial"/>
        <family val="2"/>
      </rPr>
      <t>1</t>
    </r>
  </si>
  <si>
    <r>
      <t>No se ha capacitado tomando cursos</t>
    </r>
    <r>
      <rPr>
        <vertAlign val="superscript"/>
        <sz val="8"/>
        <rFont val="Arial"/>
        <family val="2"/>
      </rPr>
      <t>1</t>
    </r>
  </si>
  <si>
    <t>Menos de una semana/ No tiene ahorros</t>
  </si>
  <si>
    <t>Al menos una semana, pero menos de un mes</t>
  </si>
  <si>
    <t>Al menos un mes, pero menos de tres meses</t>
  </si>
  <si>
    <t>Al menos tres meses, pero menos de seis meses</t>
  </si>
  <si>
    <t>Seis meses o más</t>
  </si>
  <si>
    <t>TABULADOS BÁSICOS</t>
  </si>
  <si>
    <t>Nivel de confianza del 90%</t>
  </si>
  <si>
    <t>Tema</t>
  </si>
  <si>
    <t>ID Cuadro</t>
  </si>
  <si>
    <t>Título</t>
  </si>
  <si>
    <r>
      <t xml:space="preserve">Tema 4. 
</t>
    </r>
    <r>
      <rPr>
        <sz val="11"/>
        <color theme="10"/>
        <rFont val="Arial"/>
        <family val="2"/>
      </rPr>
      <t>Comportamiento financiero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</si>
  <si>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Comprende cursos sobre cómo ahorrar, cómo hacer un presupuesto o sobre el uso responsable del crédito. </t>
    </r>
  </si>
  <si>
    <t xml:space="preserve">Es mejor ahorrar el dinero en dos o más formas o lugares, que en uno solo 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</si>
  <si>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la compra de una casa, un terreno o abrir un negocio.</t>
    </r>
  </si>
  <si>
    <t>No sabe o no responde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</si>
  <si>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por forma de controlar los gastos puede ser mayor al total porque una persona pudo responder más de una forma.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</si>
  <si>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a las personas que declararon llevar un presupuesto y aquellas que dijeron no llevarlo, pero que reconocieron realizar alguna forma de controlar su presupuesto o el de su hogar. </t>
    </r>
  </si>
  <si>
    <r>
      <t>Sí lleva registro de sus gastos o los del hogar</t>
    </r>
    <r>
      <rPr>
        <b/>
        <vertAlign val="superscript"/>
        <sz val="8"/>
        <rFont val="Arial"/>
        <family val="2"/>
      </rPr>
      <t>2</t>
    </r>
  </si>
  <si>
    <t>No sabe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</si>
  <si>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como afectaciones las provocadas por inundación, desbordamiento de ríos, sequías, sísmos, huracanes, explosiones, entre otros (desastres naturales u ocasionados por las personas).</t>
    </r>
  </si>
  <si>
    <r>
      <rPr>
        <vertAlign val="superscript"/>
        <sz val="8"/>
        <color rgb="FF000000"/>
        <rFont val="Arial"/>
        <family val="2"/>
      </rPr>
      <t>2</t>
    </r>
    <r>
      <rPr>
        <sz val="8"/>
        <color indexed="8"/>
        <rFont val="Arial"/>
        <family val="2"/>
      </rPr>
      <t xml:space="preserve"> La suma por medio utilizado para cubrir las afectaciones puede ser mayor al total porque una persona pudo haber declarado más de un medio.</t>
    </r>
  </si>
  <si>
    <t>Cuadro 4.12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</si>
  <si>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a las personas que declararon no llevar un presupuesto y no realizar alguna forma de controlar su presupuesto o ni el de su hogar. </t>
    </r>
  </si>
  <si>
    <r>
      <t>No lleva registro de sus gastos ni los del hogar</t>
    </r>
    <r>
      <rPr>
        <b/>
        <vertAlign val="superscript"/>
        <sz val="8"/>
        <rFont val="Arial"/>
        <family val="2"/>
      </rPr>
      <t>3</t>
    </r>
  </si>
  <si>
    <t xml:space="preserve">Sí tuvo alguna afectación económica-ambiental </t>
  </si>
  <si>
    <t xml:space="preserve">No  tuvo alguna afectación económica-ambiental </t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</si>
  <si>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</si>
  <si>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Mantiene separado el dinero para pagos o deudas, del dinero 
del gasto diario</t>
  </si>
  <si>
    <t xml:space="preserve">Tiene pagos domiciliados, aplicación de celular o una herramienta 
de administración de dinero </t>
  </si>
  <si>
    <t>Tamaño de localidad, condición de registro y forma 
de controlar sus gastos o los del hogar</t>
  </si>
  <si>
    <t xml:space="preserve">Considera cuidadosamente si puede pagar 
algo antes de comprarlo </t>
  </si>
  <si>
    <t>Tamaño de localidad, comportamiento 
y frecuencia del comportamiento</t>
  </si>
  <si>
    <t>Prefiere gastar dinero que ahorrarlo 
para el futuro</t>
  </si>
  <si>
    <t>Se pone metas económicas a largo plazo 
y se esfuerza por alcanzarlas</t>
  </si>
  <si>
    <t>El manejo de sus ingresos y gastos 
controla su vida</t>
  </si>
  <si>
    <t>La inflación significa que aumenta 
el precio de las cosas</t>
  </si>
  <si>
    <t xml:space="preserve">Es mejor ahorrar el dinero en dos o más 
formas o lugares, que en uno solo </t>
  </si>
  <si>
    <t>Tamaño de localidad, comportamiento 
financiero y grado de acuerdo</t>
  </si>
  <si>
    <t xml:space="preserve">Se siente tranquila(o) de que el dinero 
que recibe sea suficiente </t>
  </si>
  <si>
    <t>Tamaño de localidad y medio utilizado 
para cubrir el sobregasto</t>
  </si>
  <si>
    <t>Solicitó un adelanto salarial, trabajó horas 
extras o hizo trabajo temporal</t>
  </si>
  <si>
    <t>Utilizó su tarjeta de crédito o solicitó un crédito 
en un banco o institución financiera</t>
  </si>
  <si>
    <t>Tamaño de localidad, condición para aprovechar 
la oportunidad de comprar un bien y medio 
que usaría para comprarlo</t>
  </si>
  <si>
    <t>Solicitando un crédito a un banco o institución 
financiera / usando su tarjeta de crédito</t>
  </si>
  <si>
    <t>Tamaño de localidad y condición de riesgo financiero</t>
  </si>
  <si>
    <t xml:space="preserve">Tamaño de localidad y condición de diversificación </t>
  </si>
  <si>
    <t>Suele pensar en el presente sin 
preocuparse por el futuro</t>
  </si>
  <si>
    <t>Le alcanza bien el dinero para cubrir 
sus gastos</t>
  </si>
  <si>
    <t>Mantiene una revisión detallada 
del manejo de su dinero</t>
  </si>
  <si>
    <t>Dada su situación económica, siente 
que tendrá las cosas que desea</t>
  </si>
  <si>
    <t>Tamaño de localidad y condición 
de capacitación financiera</t>
  </si>
  <si>
    <t>Tamaño de localidad y tiempo en que podría 
cubrir sus gastos con sus ahorros si 
dejara de percibir ingresos</t>
  </si>
  <si>
    <t>Encuesta Nacional de Inclusión Financiera (ENIF) 2024</t>
  </si>
  <si>
    <t>Población de 18 a 70 años</t>
  </si>
  <si>
    <t xml:space="preserve">Sexo </t>
  </si>
  <si>
    <t xml:space="preserve">Mujeres </t>
  </si>
  <si>
    <t xml:space="preserve">Absolutos </t>
  </si>
  <si>
    <r>
      <t>Población de 18 a 70 años</t>
    </r>
    <r>
      <rPr>
        <b/>
        <vertAlign val="superscript"/>
        <sz val="8"/>
        <color theme="1"/>
        <rFont val="Arial"/>
        <family val="2"/>
      </rPr>
      <t>2</t>
    </r>
  </si>
  <si>
    <r>
      <t>Población de 18 a 70 años</t>
    </r>
    <r>
      <rPr>
        <b/>
        <vertAlign val="superscript"/>
        <sz val="8"/>
        <color theme="1"/>
        <rFont val="Arial"/>
        <family val="2"/>
      </rPr>
      <t>1</t>
    </r>
  </si>
  <si>
    <t>Población de 18 a 70 años por tamaño de localidad, condición de registro y forma 
de controlar sus gastos o los del hogar según sexo</t>
  </si>
  <si>
    <t>Población de 18 a 70 años por tamaño de localidad, condición de registro y forma de controlar sus gastos o los del hogar según sexo</t>
  </si>
  <si>
    <t>Población de 18 a 70 años por tamaño de localidad, comportamiento y frecuencia del comportamiento según sexo</t>
  </si>
  <si>
    <t>Población de 18 a 70 años por tamaño de localidad y condición del significado de inflación según sexo</t>
  </si>
  <si>
    <t xml:space="preserve">Tamaño de localidad y condición
del significado de inflación </t>
  </si>
  <si>
    <t>Población de 18 a 70 años por tamaño de localidad y condición de diversificación del ahorro según sexo</t>
  </si>
  <si>
    <t>Población de 18 a 70 años por tamaño de localidad, comportamiento financiero y grado de acuerdo según sexo</t>
  </si>
  <si>
    <t>Población de 18 a 70 años por tamaño de localidad y condición de suficiencia para cubrir 
gastos mensuales en el último año según sexo</t>
  </si>
  <si>
    <t>Población de 18 a 70 años por tamaño de localidad y condición de suficiencia para cubrir gastos mensuales en el último año según sexo</t>
  </si>
  <si>
    <t>Población de 18 a 70 años que en el último año no pudo cubrir sus gastos mensuales por tamaño de localidad y medio utilizado para cubrir el sobregasto según sexo</t>
  </si>
  <si>
    <t>Población de 18 a 70 años por tamaño de localidad y condición de capacitación financiera según sexo</t>
  </si>
  <si>
    <t>Población de 18 a 70 años por tamaño de localidad, condición para aprovechar la oportunidad de comprar un bien y medio que usaría para comprarlo según sexo</t>
  </si>
  <si>
    <t>Población de 18 a 70 años por tamaño de localidad, condición de afectación económica - ambiental y medio para afrontar la afectación según sexo</t>
  </si>
  <si>
    <t>Población de 18 a 70 años por tamaño de localidad y tiempo en que podría cubrir sus gastos con sus ahorros si dejara de percibir algún ingreso según sexo</t>
  </si>
  <si>
    <t>Población de 18 a 70 años que en el último año no pudo cubrir sus gastos mensuales por tamaño de localidad 
y medio utilizado para cubrir el sobregasto según sexo</t>
  </si>
  <si>
    <r>
      <t>Población de 18 a 70 años por tamaño de localidad, condición para aprovechar la oportunidad de comprar 
un bien</t>
    </r>
    <r>
      <rPr>
        <b/>
        <vertAlign val="superscript"/>
        <sz val="9"/>
        <color theme="1"/>
        <rFont val="Arial "/>
      </rPr>
      <t>1</t>
    </r>
    <r>
      <rPr>
        <b/>
        <sz val="9"/>
        <color theme="1"/>
        <rFont val="Arial "/>
      </rPr>
      <t xml:space="preserve"> y medio que usaría para comprarlo según sexo</t>
    </r>
  </si>
  <si>
    <t>Población de 18 a 70 años por tamaño de localidad y tiempo en que podría cubrir sus gastos con sus ahorros 
si dejara de percibir algún ingreso según sexo</t>
  </si>
  <si>
    <t>Tamaño de localidad, condición de afectación económica-ambiental y medio para 
afrontar la afectación</t>
  </si>
  <si>
    <r>
      <t>Población de 18 a 70 años por tamaño de localidad, condición de afectación económica-ambiental</t>
    </r>
    <r>
      <rPr>
        <b/>
        <vertAlign val="superscript"/>
        <sz val="9"/>
        <color theme="1"/>
        <rFont val="Arial "/>
      </rPr>
      <t>1</t>
    </r>
    <r>
      <rPr>
        <b/>
        <sz val="9"/>
        <color theme="1"/>
        <rFont val="Arial "/>
      </rPr>
      <t xml:space="preserve"> 
y medio para afrontar la afectación según sexo</t>
    </r>
  </si>
  <si>
    <r>
      <t>Otro medio</t>
    </r>
    <r>
      <rPr>
        <vertAlign val="superscript"/>
        <sz val="8"/>
        <color theme="1"/>
        <rFont val="Arial"/>
        <family val="2"/>
      </rPr>
      <t>3</t>
    </r>
  </si>
  <si>
    <r>
      <t>Población de 18 a 70 años que en el último año no pudo cubrir sus gastos mensuales</t>
    </r>
    <r>
      <rPr>
        <b/>
        <vertAlign val="superscript"/>
        <sz val="8"/>
        <color theme="1"/>
        <rFont val="Arial"/>
        <family val="2"/>
      </rPr>
      <t>1</t>
    </r>
  </si>
  <si>
    <r>
      <rPr>
        <vertAlign val="superscript"/>
        <sz val="8"/>
        <color rgb="FF000000"/>
        <rFont val="Arial"/>
        <family val="2"/>
      </rPr>
      <t>3</t>
    </r>
    <r>
      <rPr>
        <sz val="8"/>
        <color indexed="8"/>
        <rFont val="Arial"/>
        <family val="2"/>
      </rPr>
      <t xml:space="preserve"> Incluye las opciones: "tuvo adelanto salarial, trabajó horas extras o un trabajo temporal", entre otros medios.</t>
    </r>
  </si>
  <si>
    <t>Usó tarjeta de crédito, crédito en un banco o institución financiera, o seguro o microseguro</t>
  </si>
  <si>
    <t xml:space="preserve">Obtuvo un apoyo económico o en especie del gobierno </t>
  </si>
  <si>
    <t>No ha resuelto la afectación</t>
  </si>
  <si>
    <r>
      <t>Otro medio</t>
    </r>
    <r>
      <rPr>
        <vertAlign val="superscript"/>
        <sz val="8"/>
        <rFont val="Arial"/>
        <family val="2"/>
      </rPr>
      <t>3</t>
    </r>
  </si>
  <si>
    <t>Error estándar.</t>
  </si>
  <si>
    <t>Marzo 2025</t>
  </si>
  <si>
    <t>INEGI. Encuesta Nacional de Inclusión Financiera (ENIF) 2024. Tabulados básicos.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</si>
</sst>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###\ ###\ ##0"/>
    <numFmt numFmtId="166" formatCode="##,###,###,###,##0"/>
    <numFmt numFmtId="167" formatCode="_-* #,##0_-;\-* #,##0_-;_-* &quot;-&quot;??_-;_-@_-"/>
    <numFmt numFmtId="168" formatCode="#\ ###\ ###\ ###\ ###\ ##0"/>
    <numFmt numFmtId="169" formatCode="#\ ###\ ##0"/>
    <numFmt numFmtId="170" formatCode="#,##0.000"/>
    <numFmt numFmtId="171" formatCode="###\ ###\ ##0.0"/>
    <numFmt numFmtId="172" formatCode="###,###,###,##0"/>
    <numFmt numFmtId="173" formatCode="###\ ###\ ##0.00"/>
    <numFmt numFmtId="174" formatCode="###,###,###,###,##0.0;[Red]\-###,###,###,###,##0.0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rgb="FFFF0000"/>
      <name val="Arial"/>
      <family val="2"/>
    </font>
    <font>
      <sz val="8"/>
      <color indexed="8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indexed="8"/>
      <name val="Arial"/>
      <family val="2"/>
    </font>
    <font>
      <sz val="7"/>
      <color indexed="8"/>
      <name val="Arial"/>
      <family val="2"/>
    </font>
    <font>
      <sz val="7"/>
      <color theme="1"/>
      <name val="Arial"/>
      <family val="2"/>
    </font>
    <font>
      <vertAlign val="superscript"/>
      <sz val="8"/>
      <name val="Arial"/>
      <family val="2"/>
    </font>
    <font>
      <sz val="9"/>
      <color rgb="FF003399"/>
      <name val="Arial"/>
      <family val="2"/>
    </font>
    <font>
      <u/>
      <sz val="9"/>
      <color rgb="FF00339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indexed="8"/>
      <name val="Arial"/>
      <family val="2"/>
    </font>
    <font>
      <vertAlign val="superscript"/>
      <sz val="8"/>
      <color rgb="FF000000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rgb="FF000080"/>
      <name val="Arial"/>
      <family val="2"/>
    </font>
    <font>
      <sz val="10"/>
      <color theme="1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rgb="FF003399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 "/>
    </font>
    <font>
      <sz val="9"/>
      <name val="Arial "/>
    </font>
    <font>
      <sz val="9"/>
      <color theme="1"/>
      <name val="Arial "/>
    </font>
    <font>
      <b/>
      <sz val="9"/>
      <color indexed="8"/>
      <name val="Arial "/>
    </font>
    <font>
      <b/>
      <vertAlign val="superscript"/>
      <sz val="9"/>
      <color theme="1"/>
      <name val="Arial "/>
    </font>
    <font>
      <b/>
      <sz val="9"/>
      <name val="Arial "/>
    </font>
    <font>
      <b/>
      <sz val="11"/>
      <color rgb="FFFF0000"/>
      <name val="Calibri"/>
      <family val="2"/>
      <scheme val="minor"/>
    </font>
    <font>
      <b/>
      <vertAlign val="superscript"/>
      <sz val="8"/>
      <name val="Arial"/>
      <family val="2"/>
    </font>
    <font>
      <b/>
      <sz val="11"/>
      <color theme="0"/>
      <name val="Calibri"/>
      <family val="2"/>
      <scheme val="minor"/>
    </font>
    <font>
      <b/>
      <vertAlign val="superscript"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sz val="10"/>
      <color indexed="1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indexed="9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auto="1"/>
      </top>
      <bottom/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337AB7"/>
      </left>
      <right/>
      <top style="thin">
        <color rgb="FF337AB7"/>
      </top>
      <bottom style="medium">
        <color rgb="FF337AB7"/>
      </bottom>
      <diagonal/>
    </border>
    <border>
      <left/>
      <right/>
      <top style="thin">
        <color rgb="FF337AB7"/>
      </top>
      <bottom style="medium">
        <color rgb="FF337AB7"/>
      </bottom>
      <diagonal/>
    </border>
    <border>
      <left/>
      <right style="medium">
        <color rgb="FF0070C0"/>
      </right>
      <top style="thin">
        <color rgb="FF337AB7"/>
      </top>
      <bottom style="medium">
        <color rgb="FF337AB7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thin">
        <color rgb="FF0070C0"/>
      </right>
      <top/>
      <bottom style="medium">
        <color rgb="FF337AB7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</borders>
  <cellStyleXfs count="28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25" fillId="0" borderId="0"/>
    <xf numFmtId="0" fontId="10" fillId="0" borderId="0"/>
    <xf numFmtId="0" fontId="1" fillId="0" borderId="0"/>
    <xf numFmtId="0" fontId="11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25" fillId="0" borderId="0"/>
    <xf numFmtId="0" fontId="1" fillId="0" borderId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0" fontId="25" fillId="0" borderId="0"/>
  </cellStyleXfs>
  <cellXfs count="258">
    <xf numFmtId="0" fontId="0" fillId="0" borderId="0" xfId="0"/>
    <xf numFmtId="0" fontId="7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166" fontId="4" fillId="3" borderId="0" xfId="0" applyNumberFormat="1" applyFont="1" applyFill="1"/>
    <xf numFmtId="0" fontId="5" fillId="0" borderId="0" xfId="0" applyFont="1"/>
    <xf numFmtId="0" fontId="4" fillId="2" borderId="0" xfId="0" applyFont="1" applyFill="1" applyAlignment="1">
      <alignment horizontal="right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 vertical="center" indent="1"/>
    </xf>
    <xf numFmtId="0" fontId="7" fillId="2" borderId="0" xfId="0" applyFont="1" applyFill="1" applyAlignment="1">
      <alignment horizontal="left" vertical="center" wrapText="1" indent="1"/>
    </xf>
    <xf numFmtId="166" fontId="5" fillId="3" borderId="0" xfId="0" applyNumberFormat="1" applyFont="1" applyFill="1"/>
    <xf numFmtId="0" fontId="4" fillId="2" borderId="2" xfId="0" applyFont="1" applyFill="1" applyBorder="1" applyAlignment="1">
      <alignment horizontal="left"/>
    </xf>
    <xf numFmtId="0" fontId="8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left"/>
    </xf>
    <xf numFmtId="0" fontId="6" fillId="2" borderId="0" xfId="3" applyFont="1" applyFill="1" applyAlignment="1">
      <alignment horizontal="left"/>
    </xf>
    <xf numFmtId="168" fontId="12" fillId="4" borderId="0" xfId="2" applyNumberFormat="1" applyFont="1" applyFill="1" applyBorder="1" applyAlignment="1">
      <alignment horizontal="right" vertical="center"/>
    </xf>
    <xf numFmtId="168" fontId="12" fillId="4" borderId="3" xfId="2" applyNumberFormat="1" applyFont="1" applyFill="1" applyBorder="1" applyAlignment="1" applyProtection="1">
      <alignment horizontal="right" vertical="center" wrapText="1" readingOrder="1"/>
      <protection locked="0"/>
    </xf>
    <xf numFmtId="0" fontId="6" fillId="2" borderId="2" xfId="3" applyFont="1" applyFill="1" applyBorder="1" applyAlignment="1">
      <alignment horizontal="left"/>
    </xf>
    <xf numFmtId="0" fontId="3" fillId="0" borderId="2" xfId="3" applyFont="1" applyBorder="1"/>
    <xf numFmtId="167" fontId="6" fillId="2" borderId="0" xfId="6" applyNumberFormat="1" applyFont="1" applyFill="1" applyBorder="1" applyAlignment="1">
      <alignment horizontal="left" vertical="center"/>
    </xf>
    <xf numFmtId="168" fontId="12" fillId="0" borderId="0" xfId="2" applyNumberFormat="1" applyFont="1" applyFill="1" applyBorder="1" applyAlignment="1">
      <alignment horizontal="right" vertical="center"/>
    </xf>
    <xf numFmtId="168" fontId="12" fillId="0" borderId="3" xfId="2" applyNumberFormat="1" applyFont="1" applyFill="1" applyBorder="1" applyAlignment="1" applyProtection="1">
      <alignment horizontal="right" vertical="center" wrapText="1" readingOrder="1"/>
      <protection locked="0"/>
    </xf>
    <xf numFmtId="167" fontId="3" fillId="2" borderId="0" xfId="6" applyNumberFormat="1" applyFont="1" applyFill="1" applyAlignment="1">
      <alignment horizontal="left" wrapText="1" indent="1"/>
    </xf>
    <xf numFmtId="167" fontId="6" fillId="0" borderId="0" xfId="6" applyNumberFormat="1" applyFont="1" applyFill="1" applyAlignment="1">
      <alignment horizontal="left" wrapText="1" indent="1"/>
    </xf>
    <xf numFmtId="167" fontId="6" fillId="2" borderId="0" xfId="6" applyNumberFormat="1" applyFont="1" applyFill="1" applyBorder="1" applyAlignment="1">
      <alignment horizontal="left"/>
    </xf>
    <xf numFmtId="167" fontId="6" fillId="0" borderId="0" xfId="6" applyNumberFormat="1" applyFont="1" applyFill="1" applyBorder="1" applyAlignment="1">
      <alignment horizontal="left"/>
    </xf>
    <xf numFmtId="165" fontId="6" fillId="0" borderId="0" xfId="3" applyNumberFormat="1" applyFont="1" applyAlignment="1">
      <alignment horizontal="right" vertical="center"/>
    </xf>
    <xf numFmtId="169" fontId="14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9" fontId="14" fillId="0" borderId="3" xfId="0" applyNumberFormat="1" applyFont="1" applyBorder="1" applyAlignment="1" applyProtection="1">
      <alignment horizontal="right" vertical="center" wrapText="1" readingOrder="1"/>
      <protection locked="0"/>
    </xf>
    <xf numFmtId="165" fontId="14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5" fontId="14" fillId="0" borderId="3" xfId="0" applyNumberFormat="1" applyFont="1" applyBorder="1" applyAlignment="1" applyProtection="1">
      <alignment horizontal="right" vertical="center" wrapText="1" readingOrder="1"/>
      <protection locked="0"/>
    </xf>
    <xf numFmtId="165" fontId="6" fillId="2" borderId="0" xfId="6" applyNumberFormat="1" applyFont="1" applyFill="1" applyBorder="1" applyAlignment="1">
      <alignment horizontal="left"/>
    </xf>
    <xf numFmtId="165" fontId="3" fillId="2" borderId="0" xfId="6" applyNumberFormat="1" applyFont="1" applyFill="1" applyAlignment="1">
      <alignment horizontal="left" wrapText="1" indent="1"/>
    </xf>
    <xf numFmtId="0" fontId="4" fillId="2" borderId="0" xfId="3" applyFont="1" applyFill="1" applyAlignment="1">
      <alignment horizontal="left"/>
    </xf>
    <xf numFmtId="0" fontId="4" fillId="0" borderId="0" xfId="3" applyFont="1" applyAlignment="1">
      <alignment horizontal="left"/>
    </xf>
    <xf numFmtId="169" fontId="6" fillId="0" borderId="0" xfId="3" applyNumberFormat="1" applyFont="1" applyAlignment="1">
      <alignment horizontal="right" vertical="center"/>
    </xf>
    <xf numFmtId="0" fontId="5" fillId="0" borderId="0" xfId="3" applyFont="1" applyAlignment="1">
      <alignment horizontal="left"/>
    </xf>
    <xf numFmtId="169" fontId="5" fillId="0" borderId="0" xfId="3" applyNumberFormat="1" applyFont="1"/>
    <xf numFmtId="0" fontId="5" fillId="0" borderId="0" xfId="3" applyFont="1" applyAlignment="1">
      <alignment horizontal="left" indent="2"/>
    </xf>
    <xf numFmtId="0" fontId="4" fillId="0" borderId="2" xfId="3" applyFont="1" applyBorder="1" applyAlignment="1">
      <alignment horizontal="left"/>
    </xf>
    <xf numFmtId="0" fontId="4" fillId="2" borderId="2" xfId="3" applyFont="1" applyFill="1" applyBorder="1" applyAlignment="1">
      <alignment horizontal="left"/>
    </xf>
    <xf numFmtId="0" fontId="16" fillId="2" borderId="0" xfId="3" applyFont="1" applyFill="1" applyAlignment="1">
      <alignment horizontal="left"/>
    </xf>
    <xf numFmtId="0" fontId="15" fillId="2" borderId="0" xfId="3" applyFont="1" applyFill="1" applyAlignment="1">
      <alignment vertical="center"/>
    </xf>
    <xf numFmtId="0" fontId="0" fillId="0" borderId="2" xfId="0" applyBorder="1"/>
    <xf numFmtId="0" fontId="2" fillId="2" borderId="0" xfId="0" applyFont="1" applyFill="1"/>
    <xf numFmtId="166" fontId="6" fillId="2" borderId="0" xfId="0" applyNumberFormat="1" applyFont="1" applyFill="1"/>
    <xf numFmtId="0" fontId="3" fillId="2" borderId="2" xfId="0" applyFont="1" applyFill="1" applyBorder="1"/>
    <xf numFmtId="0" fontId="15" fillId="0" borderId="0" xfId="3" applyFont="1"/>
    <xf numFmtId="0" fontId="18" fillId="0" borderId="0" xfId="0" applyFont="1"/>
    <xf numFmtId="170" fontId="18" fillId="0" borderId="0" xfId="0" applyNumberFormat="1" applyFont="1" applyAlignment="1">
      <alignment horizontal="left" vertical="center"/>
    </xf>
    <xf numFmtId="0" fontId="19" fillId="0" borderId="0" xfId="2" applyFont="1" applyFill="1" applyAlignment="1">
      <alignment horizontal="right" vertical="center"/>
    </xf>
    <xf numFmtId="0" fontId="20" fillId="0" borderId="0" xfId="0" applyFont="1"/>
    <xf numFmtId="170" fontId="18" fillId="0" borderId="0" xfId="0" applyNumberFormat="1" applyFont="1" applyAlignment="1">
      <alignment vertical="top"/>
    </xf>
    <xf numFmtId="0" fontId="21" fillId="0" borderId="0" xfId="0" applyFont="1"/>
    <xf numFmtId="0" fontId="20" fillId="0" borderId="0" xfId="0" applyFont="1" applyAlignment="1">
      <alignment vertical="top"/>
    </xf>
    <xf numFmtId="0" fontId="14" fillId="2" borderId="4" xfId="0" applyFont="1" applyFill="1" applyBorder="1" applyAlignment="1" applyProtection="1">
      <alignment vertical="center" wrapText="1" readingOrder="1"/>
      <protection locked="0"/>
    </xf>
    <xf numFmtId="0" fontId="23" fillId="2" borderId="0" xfId="8" applyFont="1" applyFill="1" applyAlignment="1">
      <alignment horizontal="right" vertical="center"/>
    </xf>
    <xf numFmtId="0" fontId="6" fillId="2" borderId="0" xfId="8" applyFont="1" applyFill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24" fillId="2" borderId="0" xfId="8" applyFont="1" applyFill="1" applyAlignment="1">
      <alignment horizontal="right" vertical="center"/>
    </xf>
    <xf numFmtId="0" fontId="3" fillId="0" borderId="0" xfId="3" applyFont="1"/>
    <xf numFmtId="0" fontId="4" fillId="2" borderId="1" xfId="0" applyFont="1" applyFill="1" applyBorder="1" applyAlignment="1">
      <alignment horizontal="left"/>
    </xf>
    <xf numFmtId="165" fontId="4" fillId="2" borderId="1" xfId="0" applyNumberFormat="1" applyFont="1" applyFill="1" applyBorder="1" applyAlignment="1">
      <alignment horizontal="right"/>
    </xf>
    <xf numFmtId="0" fontId="0" fillId="0" borderId="1" xfId="0" applyBorder="1"/>
    <xf numFmtId="0" fontId="7" fillId="2" borderId="2" xfId="0" applyFont="1" applyFill="1" applyBorder="1" applyAlignment="1">
      <alignment horizontal="center" vertical="center" wrapText="1"/>
    </xf>
    <xf numFmtId="0" fontId="26" fillId="0" borderId="0" xfId="0" applyFont="1"/>
    <xf numFmtId="0" fontId="3" fillId="0" borderId="0" xfId="0" applyFont="1"/>
    <xf numFmtId="0" fontId="6" fillId="2" borderId="0" xfId="0" applyFont="1" applyFill="1" applyAlignment="1">
      <alignment horizontal="left"/>
    </xf>
    <xf numFmtId="0" fontId="3" fillId="2" borderId="0" xfId="0" applyFont="1" applyFill="1"/>
    <xf numFmtId="0" fontId="2" fillId="2" borderId="2" xfId="0" applyFont="1" applyFill="1" applyBorder="1"/>
    <xf numFmtId="168" fontId="12" fillId="4" borderId="0" xfId="2" applyNumberFormat="1" applyFont="1" applyFill="1" applyBorder="1" applyAlignment="1" applyProtection="1">
      <alignment horizontal="right" vertical="center" wrapText="1" readingOrder="1"/>
      <protection locked="0"/>
    </xf>
    <xf numFmtId="168" fontId="12" fillId="0" borderId="0" xfId="2" applyNumberFormat="1" applyFont="1" applyFill="1" applyBorder="1" applyAlignment="1" applyProtection="1">
      <alignment horizontal="right" vertical="center" wrapText="1" readingOrder="1"/>
      <protection locked="0"/>
    </xf>
    <xf numFmtId="0" fontId="0" fillId="0" borderId="0" xfId="0" applyAlignment="1">
      <alignment vertical="center"/>
    </xf>
    <xf numFmtId="167" fontId="6" fillId="0" borderId="0" xfId="6" applyNumberFormat="1" applyFont="1" applyFill="1" applyAlignment="1">
      <alignment horizontal="left" vertical="center" wrapText="1"/>
    </xf>
    <xf numFmtId="169" fontId="14" fillId="2" borderId="0" xfId="0" applyNumberFormat="1" applyFont="1" applyFill="1" applyAlignment="1" applyProtection="1">
      <alignment horizontal="right" vertical="center" wrapText="1" readingOrder="1"/>
      <protection locked="0"/>
    </xf>
    <xf numFmtId="0" fontId="0" fillId="0" borderId="0" xfId="0" applyAlignment="1">
      <alignment horizontal="left" vertical="center" indent="1"/>
    </xf>
    <xf numFmtId="169" fontId="14" fillId="2" borderId="3" xfId="0" applyNumberFormat="1" applyFont="1" applyFill="1" applyBorder="1" applyAlignment="1" applyProtection="1">
      <alignment horizontal="left" vertical="center" wrapText="1" indent="1" readingOrder="1"/>
      <protection locked="0"/>
    </xf>
    <xf numFmtId="0" fontId="16" fillId="0" borderId="0" xfId="3" applyFont="1" applyAlignment="1">
      <alignment wrapText="1"/>
    </xf>
    <xf numFmtId="0" fontId="4" fillId="0" borderId="1" xfId="3" applyFont="1" applyBorder="1" applyAlignment="1">
      <alignment horizontal="left"/>
    </xf>
    <xf numFmtId="0" fontId="4" fillId="2" borderId="1" xfId="3" applyFont="1" applyFill="1" applyBorder="1" applyAlignment="1">
      <alignment horizontal="left"/>
    </xf>
    <xf numFmtId="0" fontId="8" fillId="0" borderId="0" xfId="3" applyFont="1"/>
    <xf numFmtId="0" fontId="4" fillId="0" borderId="0" xfId="3" applyFont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wrapText="1" indent="2"/>
    </xf>
    <xf numFmtId="167" fontId="3" fillId="2" borderId="0" xfId="6" applyNumberFormat="1" applyFont="1" applyFill="1" applyAlignment="1">
      <alignment horizontal="left" vertical="center" wrapText="1" indent="2"/>
    </xf>
    <xf numFmtId="0" fontId="5" fillId="0" borderId="0" xfId="3" applyFont="1" applyAlignment="1">
      <alignment horizontal="left" vertical="center" indent="2"/>
    </xf>
    <xf numFmtId="0" fontId="3" fillId="0" borderId="0" xfId="3" applyFont="1" applyAlignment="1">
      <alignment horizontal="left" vertical="center" indent="2"/>
    </xf>
    <xf numFmtId="0" fontId="23" fillId="0" borderId="0" xfId="11" applyFont="1"/>
    <xf numFmtId="0" fontId="32" fillId="0" borderId="0" xfId="11" applyFont="1" applyAlignment="1">
      <alignment horizontal="center" vertical="center"/>
    </xf>
    <xf numFmtId="0" fontId="32" fillId="0" borderId="0" xfId="11" applyFont="1" applyAlignment="1">
      <alignment vertical="center"/>
    </xf>
    <xf numFmtId="0" fontId="33" fillId="0" borderId="0" xfId="11" applyFont="1" applyAlignment="1">
      <alignment vertical="center"/>
    </xf>
    <xf numFmtId="0" fontId="21" fillId="0" borderId="0" xfId="11" applyFont="1"/>
    <xf numFmtId="0" fontId="35" fillId="0" borderId="0" xfId="11" applyFont="1"/>
    <xf numFmtId="17" fontId="34" fillId="0" borderId="0" xfId="11" quotePrefix="1" applyNumberFormat="1" applyFont="1"/>
    <xf numFmtId="17" fontId="29" fillId="0" borderId="0" xfId="11" quotePrefix="1" applyNumberFormat="1" applyFont="1"/>
    <xf numFmtId="0" fontId="33" fillId="7" borderId="5" xfId="11" applyFont="1" applyFill="1" applyBorder="1" applyAlignment="1">
      <alignment horizontal="center" vertical="center"/>
    </xf>
    <xf numFmtId="171" fontId="4" fillId="0" borderId="0" xfId="0" applyNumberFormat="1" applyFont="1" applyAlignment="1">
      <alignment horizontal="right" vertical="center" wrapText="1"/>
    </xf>
    <xf numFmtId="0" fontId="38" fillId="0" borderId="9" xfId="2" applyFont="1" applyBorder="1" applyAlignment="1" applyProtection="1">
      <alignment horizontal="center" vertical="center"/>
    </xf>
    <xf numFmtId="0" fontId="41" fillId="0" borderId="0" xfId="0" applyFont="1"/>
    <xf numFmtId="0" fontId="42" fillId="0" borderId="0" xfId="0" applyFont="1"/>
    <xf numFmtId="0" fontId="41" fillId="0" borderId="0" xfId="0" applyFont="1" applyAlignment="1">
      <alignment horizontal="right"/>
    </xf>
    <xf numFmtId="0" fontId="42" fillId="0" borderId="0" xfId="0" applyFont="1" applyAlignment="1">
      <alignment vertical="top"/>
    </xf>
    <xf numFmtId="0" fontId="43" fillId="2" borderId="0" xfId="0" applyFont="1" applyFill="1" applyAlignment="1" applyProtection="1">
      <alignment vertical="top" readingOrder="1"/>
      <protection locked="0"/>
    </xf>
    <xf numFmtId="0" fontId="43" fillId="0" borderId="0" xfId="0" applyFont="1" applyAlignment="1">
      <alignment vertical="top"/>
    </xf>
    <xf numFmtId="0" fontId="45" fillId="2" borderId="0" xfId="3" applyFont="1" applyFill="1" applyAlignment="1">
      <alignment horizontal="left" vertical="center"/>
    </xf>
    <xf numFmtId="0" fontId="45" fillId="2" borderId="0" xfId="0" applyFont="1" applyFill="1" applyAlignment="1">
      <alignment horizontal="left" vertical="center"/>
    </xf>
    <xf numFmtId="0" fontId="39" fillId="0" borderId="0" xfId="0" applyFont="1"/>
    <xf numFmtId="0" fontId="4" fillId="0" borderId="0" xfId="0" applyFont="1"/>
    <xf numFmtId="169" fontId="8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8" fillId="0" borderId="0" xfId="3" applyFont="1" applyAlignment="1">
      <alignment horizontal="left" vertical="center"/>
    </xf>
    <xf numFmtId="166" fontId="3" fillId="2" borderId="0" xfId="0" applyNumberFormat="1" applyFont="1" applyFill="1"/>
    <xf numFmtId="0" fontId="5" fillId="0" borderId="0" xfId="3" applyFont="1" applyAlignment="1">
      <alignment horizontal="left" vertical="center" wrapText="1" indent="2"/>
    </xf>
    <xf numFmtId="0" fontId="3" fillId="2" borderId="0" xfId="0" applyFont="1" applyFill="1" applyAlignment="1">
      <alignment horizontal="left" vertical="center" readingOrder="1"/>
    </xf>
    <xf numFmtId="0" fontId="33" fillId="7" borderId="6" xfId="11" applyFont="1" applyFill="1" applyBorder="1" applyAlignment="1">
      <alignment horizontal="center" vertical="center"/>
    </xf>
    <xf numFmtId="167" fontId="6" fillId="2" borderId="0" xfId="13" applyNumberFormat="1" applyFont="1" applyFill="1" applyBorder="1" applyAlignment="1">
      <alignment horizontal="left" vertical="center"/>
    </xf>
    <xf numFmtId="167" fontId="3" fillId="2" borderId="0" xfId="13" applyNumberFormat="1" applyFont="1" applyFill="1" applyAlignment="1">
      <alignment horizontal="left" vertical="center" wrapText="1" indent="1"/>
    </xf>
    <xf numFmtId="167" fontId="3" fillId="2" borderId="0" xfId="13" applyNumberFormat="1" applyFont="1" applyFill="1" applyBorder="1" applyAlignment="1">
      <alignment horizontal="left" vertical="center" indent="3"/>
    </xf>
    <xf numFmtId="167" fontId="3" fillId="2" borderId="0" xfId="13" applyNumberFormat="1" applyFont="1" applyFill="1" applyAlignment="1">
      <alignment horizontal="left" wrapText="1" indent="3"/>
    </xf>
    <xf numFmtId="167" fontId="6" fillId="2" borderId="0" xfId="13" applyNumberFormat="1" applyFont="1" applyFill="1" applyBorder="1"/>
    <xf numFmtId="167" fontId="3" fillId="2" borderId="0" xfId="13" applyNumberFormat="1" applyFont="1" applyFill="1" applyAlignment="1">
      <alignment horizontal="left" wrapText="1" indent="1"/>
    </xf>
    <xf numFmtId="167" fontId="3" fillId="2" borderId="0" xfId="13" applyNumberFormat="1" applyFont="1" applyFill="1" applyBorder="1"/>
    <xf numFmtId="167" fontId="6" fillId="2" borderId="0" xfId="13" applyNumberFormat="1" applyFont="1" applyFill="1" applyBorder="1" applyAlignment="1">
      <alignment horizontal="left"/>
    </xf>
    <xf numFmtId="167" fontId="6" fillId="2" borderId="0" xfId="13" applyNumberFormat="1" applyFont="1" applyFill="1" applyAlignment="1">
      <alignment horizontal="right"/>
    </xf>
    <xf numFmtId="167" fontId="6" fillId="2" borderId="0" xfId="14" applyNumberFormat="1" applyFont="1" applyFill="1" applyBorder="1" applyAlignment="1">
      <alignment horizontal="left" vertical="center"/>
    </xf>
    <xf numFmtId="167" fontId="6" fillId="2" borderId="0" xfId="14" applyNumberFormat="1" applyFont="1" applyFill="1" applyBorder="1" applyAlignment="1">
      <alignment horizontal="left"/>
    </xf>
    <xf numFmtId="167" fontId="3" fillId="2" borderId="0" xfId="15" applyNumberFormat="1" applyFont="1" applyFill="1" applyAlignment="1">
      <alignment horizontal="left" wrapText="1" indent="1"/>
    </xf>
    <xf numFmtId="167" fontId="6" fillId="2" borderId="0" xfId="17" applyNumberFormat="1" applyFont="1" applyFill="1" applyBorder="1" applyAlignment="1">
      <alignment horizontal="left" vertical="center"/>
    </xf>
    <xf numFmtId="167" fontId="6" fillId="2" borderId="0" xfId="17" applyNumberFormat="1" applyFont="1" applyFill="1" applyBorder="1"/>
    <xf numFmtId="167" fontId="3" fillId="2" borderId="0" xfId="17" applyNumberFormat="1" applyFont="1" applyFill="1" applyAlignment="1">
      <alignment horizontal="left" wrapText="1" indent="1"/>
    </xf>
    <xf numFmtId="167" fontId="3" fillId="2" borderId="0" xfId="17" applyNumberFormat="1" applyFont="1" applyFill="1" applyBorder="1"/>
    <xf numFmtId="167" fontId="6" fillId="2" borderId="0" xfId="17" applyNumberFormat="1" applyFont="1" applyFill="1" applyBorder="1" applyAlignment="1">
      <alignment horizontal="left"/>
    </xf>
    <xf numFmtId="167" fontId="6" fillId="2" borderId="0" xfId="17" applyNumberFormat="1" applyFont="1" applyFill="1" applyAlignment="1">
      <alignment horizontal="right"/>
    </xf>
    <xf numFmtId="167" fontId="6" fillId="2" borderId="0" xfId="18" applyNumberFormat="1" applyFont="1" applyFill="1" applyBorder="1" applyAlignment="1">
      <alignment horizontal="left" vertical="center"/>
    </xf>
    <xf numFmtId="167" fontId="6" fillId="2" borderId="0" xfId="18" applyNumberFormat="1" applyFont="1" applyFill="1" applyBorder="1" applyAlignment="1">
      <alignment horizontal="left"/>
    </xf>
    <xf numFmtId="169" fontId="6" fillId="2" borderId="0" xfId="18" applyNumberFormat="1" applyFont="1" applyFill="1" applyBorder="1" applyAlignment="1">
      <alignment horizontal="left"/>
    </xf>
    <xf numFmtId="167" fontId="3" fillId="2" borderId="0" xfId="18" applyNumberFormat="1" applyFont="1" applyFill="1" applyAlignment="1">
      <alignment horizontal="left" wrapText="1" indent="1"/>
    </xf>
    <xf numFmtId="169" fontId="3" fillId="2" borderId="0" xfId="18" applyNumberFormat="1" applyFont="1" applyFill="1" applyAlignment="1">
      <alignment horizontal="left" wrapText="1" indent="1"/>
    </xf>
    <xf numFmtId="167" fontId="6" fillId="2" borderId="0" xfId="19" applyNumberFormat="1" applyFont="1" applyFill="1" applyBorder="1" applyAlignment="1">
      <alignment horizontal="left" vertical="center"/>
    </xf>
    <xf numFmtId="167" fontId="6" fillId="2" borderId="0" xfId="19" applyNumberFormat="1" applyFont="1" applyFill="1" applyBorder="1" applyAlignment="1">
      <alignment horizontal="left"/>
    </xf>
    <xf numFmtId="167" fontId="6" fillId="2" borderId="0" xfId="2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7" fontId="6" fillId="2" borderId="0" xfId="6" applyNumberFormat="1" applyFont="1" applyFill="1" applyAlignment="1">
      <alignment horizontal="left" vertical="center" wrapText="1" indent="1"/>
    </xf>
    <xf numFmtId="0" fontId="46" fillId="2" borderId="0" xfId="0" applyFont="1" applyFill="1"/>
    <xf numFmtId="0" fontId="3" fillId="0" borderId="0" xfId="21" applyFont="1"/>
    <xf numFmtId="167" fontId="6" fillId="0" borderId="0" xfId="1" applyNumberFormat="1" applyFont="1" applyFill="1" applyBorder="1" applyAlignment="1">
      <alignment horizontal="left" vertical="center"/>
    </xf>
    <xf numFmtId="167" fontId="6" fillId="0" borderId="0" xfId="1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0" fontId="3" fillId="0" borderId="0" xfId="0" applyFont="1" applyAlignment="1">
      <alignment horizontal="left" wrapText="1" indent="2"/>
    </xf>
    <xf numFmtId="0" fontId="21" fillId="0" borderId="0" xfId="0" applyFont="1" applyAlignment="1">
      <alignment horizontal="right"/>
    </xf>
    <xf numFmtId="172" fontId="18" fillId="0" borderId="0" xfId="0" applyNumberFormat="1" applyFont="1" applyAlignment="1">
      <alignment vertical="top"/>
    </xf>
    <xf numFmtId="172" fontId="20" fillId="0" borderId="0" xfId="0" applyNumberFormat="1" applyFont="1" applyAlignment="1">
      <alignment vertical="top"/>
    </xf>
    <xf numFmtId="172" fontId="40" fillId="0" borderId="0" xfId="0" applyNumberFormat="1" applyFont="1" applyAlignment="1">
      <alignment horizontal="left" vertical="center"/>
    </xf>
    <xf numFmtId="172" fontId="0" fillId="0" borderId="0" xfId="0" applyNumberFormat="1"/>
    <xf numFmtId="172" fontId="0" fillId="0" borderId="2" xfId="0" applyNumberFormat="1" applyBorder="1"/>
    <xf numFmtId="172" fontId="20" fillId="0" borderId="0" xfId="0" applyNumberFormat="1" applyFont="1"/>
    <xf numFmtId="172" fontId="42" fillId="0" borderId="0" xfId="0" applyNumberFormat="1" applyFont="1"/>
    <xf numFmtId="172" fontId="0" fillId="0" borderId="1" xfId="0" applyNumberFormat="1" applyBorder="1"/>
    <xf numFmtId="172" fontId="5" fillId="0" borderId="0" xfId="0" applyNumberFormat="1" applyFont="1"/>
    <xf numFmtId="172" fontId="2" fillId="2" borderId="0" xfId="0" applyNumberFormat="1" applyFont="1" applyFill="1"/>
    <xf numFmtId="172" fontId="9" fillId="2" borderId="2" xfId="0" applyNumberFormat="1" applyFont="1" applyFill="1" applyBorder="1"/>
    <xf numFmtId="172" fontId="9" fillId="2" borderId="0" xfId="0" applyNumberFormat="1" applyFont="1" applyFill="1"/>
    <xf numFmtId="172" fontId="2" fillId="2" borderId="2" xfId="0" applyNumberFormat="1" applyFont="1" applyFill="1" applyBorder="1"/>
    <xf numFmtId="172" fontId="42" fillId="0" borderId="0" xfId="0" applyNumberFormat="1" applyFont="1" applyAlignment="1">
      <alignment vertical="top"/>
    </xf>
    <xf numFmtId="172" fontId="7" fillId="2" borderId="0" xfId="0" applyNumberFormat="1" applyFont="1" applyFill="1" applyAlignment="1">
      <alignment horizontal="center" vertical="center" wrapText="1"/>
    </xf>
    <xf numFmtId="172" fontId="26" fillId="0" borderId="0" xfId="0" applyNumberFormat="1" applyFont="1"/>
    <xf numFmtId="172" fontId="7" fillId="2" borderId="2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indent="2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wrapText="1" indent="3"/>
    </xf>
    <xf numFmtId="167" fontId="6" fillId="0" borderId="0" xfId="1" applyNumberFormat="1" applyFont="1" applyFill="1" applyBorder="1" applyAlignment="1">
      <alignment horizontal="left" vertical="center" indent="1"/>
    </xf>
    <xf numFmtId="167" fontId="6" fillId="2" borderId="0" xfId="13" applyNumberFormat="1" applyFont="1" applyFill="1" applyAlignment="1">
      <alignment horizontal="left" vertical="center" wrapText="1" indent="2"/>
    </xf>
    <xf numFmtId="0" fontId="6" fillId="2" borderId="0" xfId="25" applyFont="1" applyFill="1" applyAlignment="1">
      <alignment horizontal="left" vertical="center" wrapText="1" indent="3"/>
    </xf>
    <xf numFmtId="167" fontId="6" fillId="2" borderId="0" xfId="13" applyNumberFormat="1" applyFont="1" applyFill="1" applyBorder="1" applyAlignment="1">
      <alignment horizontal="left" vertical="center" indent="1"/>
    </xf>
    <xf numFmtId="167" fontId="6" fillId="2" borderId="0" xfId="14" applyNumberFormat="1" applyFont="1" applyFill="1" applyBorder="1" applyAlignment="1">
      <alignment horizontal="left" vertical="center" indent="1"/>
    </xf>
    <xf numFmtId="167" fontId="6" fillId="2" borderId="0" xfId="6" applyNumberFormat="1" applyFont="1" applyFill="1" applyBorder="1" applyAlignment="1">
      <alignment horizontal="left" vertical="center" indent="1"/>
    </xf>
    <xf numFmtId="167" fontId="6" fillId="2" borderId="0" xfId="5" applyNumberFormat="1" applyFont="1" applyFill="1" applyBorder="1" applyAlignment="1">
      <alignment horizontal="left" vertical="center" indent="1"/>
    </xf>
    <xf numFmtId="167" fontId="3" fillId="2" borderId="2" xfId="13" applyNumberFormat="1" applyFont="1" applyFill="1" applyBorder="1" applyAlignment="1">
      <alignment horizontal="left" vertical="center" indent="3"/>
    </xf>
    <xf numFmtId="167" fontId="6" fillId="2" borderId="0" xfId="17" applyNumberFormat="1" applyFont="1" applyFill="1" applyBorder="1" applyAlignment="1">
      <alignment horizontal="left" vertical="center" indent="1"/>
    </xf>
    <xf numFmtId="0" fontId="5" fillId="0" borderId="0" xfId="3" applyFont="1" applyAlignment="1">
      <alignment horizontal="left" vertical="center" wrapText="1" indent="3"/>
    </xf>
    <xf numFmtId="0" fontId="4" fillId="0" borderId="0" xfId="3" applyFont="1" applyAlignment="1">
      <alignment horizontal="left" vertical="center" indent="1"/>
    </xf>
    <xf numFmtId="167" fontId="6" fillId="2" borderId="0" xfId="18" applyNumberFormat="1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3"/>
    </xf>
    <xf numFmtId="0" fontId="5" fillId="0" borderId="0" xfId="0" applyFont="1" applyAlignment="1">
      <alignment horizontal="left" vertical="center" wrapText="1" indent="3"/>
    </xf>
    <xf numFmtId="167" fontId="6" fillId="2" borderId="0" xfId="19" applyNumberFormat="1" applyFont="1" applyFill="1" applyBorder="1" applyAlignment="1">
      <alignment horizontal="left" vertical="center" indent="1"/>
    </xf>
    <xf numFmtId="167" fontId="6" fillId="2" borderId="0" xfId="20" applyNumberFormat="1" applyFont="1" applyFill="1" applyBorder="1" applyAlignment="1">
      <alignment horizontal="left" vertical="center" indent="1"/>
    </xf>
    <xf numFmtId="0" fontId="31" fillId="0" borderId="0" xfId="11" applyFont="1" applyAlignment="1">
      <alignment horizontal="center" vertical="center"/>
    </xf>
    <xf numFmtId="0" fontId="23" fillId="0" borderId="0" xfId="26" applyFont="1"/>
    <xf numFmtId="0" fontId="34" fillId="0" borderId="0" xfId="26" applyFont="1"/>
    <xf numFmtId="0" fontId="1" fillId="0" borderId="0" xfId="26"/>
    <xf numFmtId="0" fontId="38" fillId="0" borderId="19" xfId="2" applyFont="1" applyBorder="1" applyAlignment="1" applyProtection="1">
      <alignment horizontal="center" vertical="center"/>
    </xf>
    <xf numFmtId="0" fontId="4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17" xfId="0" applyFont="1" applyBorder="1" applyAlignment="1">
      <alignment horizontal="right" vertical="center" wrapText="1"/>
    </xf>
    <xf numFmtId="173" fontId="4" fillId="0" borderId="17" xfId="0" applyNumberFormat="1" applyFont="1" applyBorder="1" applyAlignment="1">
      <alignment horizontal="right" vertical="center" wrapText="1"/>
    </xf>
    <xf numFmtId="0" fontId="26" fillId="0" borderId="2" xfId="0" applyFont="1" applyBorder="1" applyAlignment="1">
      <alignment horizontal="right"/>
    </xf>
    <xf numFmtId="173" fontId="4" fillId="0" borderId="0" xfId="0" applyNumberFormat="1" applyFont="1" applyAlignment="1">
      <alignment horizontal="right" vertical="center" wrapText="1"/>
    </xf>
    <xf numFmtId="0" fontId="26" fillId="0" borderId="0" xfId="0" applyFont="1" applyAlignment="1">
      <alignment horizontal="right"/>
    </xf>
    <xf numFmtId="0" fontId="8" fillId="2" borderId="0" xfId="0" applyFont="1" applyFill="1" applyAlignment="1">
      <alignment horizontal="right" vertical="center"/>
    </xf>
    <xf numFmtId="0" fontId="9" fillId="0" borderId="0" xfId="3" applyFont="1" applyAlignment="1">
      <alignment horizontal="left" vertical="center" wrapText="1" indent="2"/>
    </xf>
    <xf numFmtId="0" fontId="3" fillId="2" borderId="0" xfId="3" applyFont="1" applyFill="1" applyAlignment="1">
      <alignment horizontal="left" vertical="center" wrapText="1" indent="3"/>
    </xf>
    <xf numFmtId="0" fontId="3" fillId="0" borderId="0" xfId="3" applyFont="1" applyAlignment="1">
      <alignment horizontal="left" vertical="center" wrapText="1" indent="3"/>
    </xf>
    <xf numFmtId="174" fontId="12" fillId="0" borderId="0" xfId="24" applyNumberFormat="1" applyFont="1" applyFill="1" applyAlignment="1">
      <alignment horizontal="right" vertical="center" readingOrder="1"/>
    </xf>
    <xf numFmtId="174" fontId="14" fillId="0" borderId="0" xfId="24" applyNumberFormat="1" applyFont="1" applyFill="1" applyAlignment="1" applyProtection="1">
      <alignment horizontal="right" vertical="center"/>
    </xf>
    <xf numFmtId="174" fontId="12" fillId="2" borderId="0" xfId="2" applyNumberFormat="1" applyFont="1" applyFill="1" applyAlignment="1">
      <alignment horizontal="right" vertical="center" readingOrder="1"/>
    </xf>
    <xf numFmtId="174" fontId="39" fillId="0" borderId="0" xfId="0" applyNumberFormat="1" applyFont="1"/>
    <xf numFmtId="174" fontId="0" fillId="0" borderId="0" xfId="0" applyNumberFormat="1"/>
    <xf numFmtId="174" fontId="6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74" fontId="13" fillId="0" borderId="0" xfId="24" applyNumberFormat="1" applyFont="1" applyFill="1" applyAlignment="1">
      <alignment horizontal="right" vertical="center" readingOrder="1"/>
    </xf>
    <xf numFmtId="174" fontId="8" fillId="0" borderId="0" xfId="24" applyNumberFormat="1" applyFont="1" applyFill="1" applyAlignment="1" applyProtection="1">
      <alignment horizontal="right" vertical="center"/>
    </xf>
    <xf numFmtId="174" fontId="13" fillId="2" borderId="0" xfId="2" applyNumberFormat="1" applyFont="1" applyFill="1" applyAlignment="1">
      <alignment horizontal="right" vertical="center" readingOrder="1"/>
    </xf>
    <xf numFmtId="174" fontId="5" fillId="0" borderId="0" xfId="0" applyNumberFormat="1" applyFont="1"/>
    <xf numFmtId="174" fontId="7" fillId="2" borderId="0" xfId="0" applyNumberFormat="1" applyFont="1" applyFill="1" applyAlignment="1">
      <alignment horizontal="center" vertical="center" wrapText="1"/>
    </xf>
    <xf numFmtId="174" fontId="2" fillId="2" borderId="0" xfId="0" applyNumberFormat="1" applyFont="1" applyFill="1"/>
    <xf numFmtId="174" fontId="3" fillId="2" borderId="0" xfId="13" applyNumberFormat="1" applyFont="1" applyFill="1" applyBorder="1"/>
    <xf numFmtId="174" fontId="3" fillId="2" borderId="0" xfId="13" applyNumberFormat="1" applyFont="1" applyFill="1" applyAlignment="1">
      <alignment horizontal="right"/>
    </xf>
    <xf numFmtId="174" fontId="3" fillId="2" borderId="0" xfId="3" applyNumberFormat="1" applyFont="1" applyFill="1" applyAlignment="1">
      <alignment horizontal="right" vertical="center"/>
    </xf>
    <xf numFmtId="174" fontId="0" fillId="2" borderId="0" xfId="0" applyNumberFormat="1" applyFill="1"/>
    <xf numFmtId="174" fontId="6" fillId="0" borderId="0" xfId="14" applyNumberFormat="1" applyFont="1"/>
    <xf numFmtId="174" fontId="6" fillId="2" borderId="0" xfId="6" applyNumberFormat="1" applyFont="1" applyFill="1"/>
    <xf numFmtId="174" fontId="3" fillId="0" borderId="0" xfId="6" applyNumberFormat="1" applyFont="1"/>
    <xf numFmtId="174" fontId="3" fillId="2" borderId="0" xfId="17" applyNumberFormat="1" applyFont="1" applyFill="1" applyBorder="1"/>
    <xf numFmtId="174" fontId="13" fillId="2" borderId="3" xfId="2" applyNumberFormat="1" applyFont="1" applyFill="1" applyBorder="1" applyAlignment="1" applyProtection="1">
      <alignment horizontal="right" vertical="center" wrapText="1" readingOrder="1"/>
      <protection locked="0"/>
    </xf>
    <xf numFmtId="174" fontId="3" fillId="2" borderId="0" xfId="17" applyNumberFormat="1" applyFont="1" applyFill="1" applyAlignment="1">
      <alignment horizontal="right"/>
    </xf>
    <xf numFmtId="174" fontId="5" fillId="0" borderId="0" xfId="3" applyNumberFormat="1" applyFont="1"/>
    <xf numFmtId="174" fontId="3" fillId="2" borderId="0" xfId="18" applyNumberFormat="1" applyFont="1" applyFill="1"/>
    <xf numFmtId="174" fontId="3" fillId="0" borderId="0" xfId="3" applyNumberFormat="1" applyFont="1" applyAlignment="1">
      <alignment horizontal="right" vertical="center"/>
    </xf>
    <xf numFmtId="174" fontId="14" fillId="0" borderId="3" xfId="0" applyNumberFormat="1" applyFont="1" applyBorder="1" applyAlignment="1" applyProtection="1">
      <alignment horizontal="right" vertical="center" wrapText="1" readingOrder="1"/>
      <protection locked="0"/>
    </xf>
    <xf numFmtId="174" fontId="8" fillId="0" borderId="3" xfId="0" applyNumberFormat="1" applyFont="1" applyBorder="1" applyAlignment="1" applyProtection="1">
      <alignment horizontal="right" vertical="center" wrapText="1" readingOrder="1"/>
      <protection locked="0"/>
    </xf>
    <xf numFmtId="174" fontId="5" fillId="2" borderId="0" xfId="3" applyNumberFormat="1" applyFont="1" applyFill="1"/>
    <xf numFmtId="174" fontId="8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23" fillId="0" borderId="10" xfId="11" applyFont="1" applyBorder="1" applyAlignment="1">
      <alignment horizontal="left" vertical="center" wrapText="1" indent="1"/>
    </xf>
    <xf numFmtId="0" fontId="23" fillId="0" borderId="11" xfId="11" applyFont="1" applyBorder="1" applyAlignment="1">
      <alignment horizontal="left" vertical="center" wrapText="1" indent="1"/>
    </xf>
    <xf numFmtId="0" fontId="23" fillId="0" borderId="12" xfId="11" applyFont="1" applyBorder="1" applyAlignment="1">
      <alignment horizontal="left" vertical="center" wrapText="1" indent="1"/>
    </xf>
    <xf numFmtId="0" fontId="23" fillId="0" borderId="14" xfId="11" applyFont="1" applyBorder="1" applyAlignment="1">
      <alignment horizontal="left" vertical="center" wrapText="1" indent="1"/>
    </xf>
    <xf numFmtId="0" fontId="23" fillId="0" borderId="15" xfId="11" applyFont="1" applyBorder="1" applyAlignment="1">
      <alignment horizontal="left" vertical="center" wrapText="1" indent="1"/>
    </xf>
    <xf numFmtId="0" fontId="23" fillId="0" borderId="16" xfId="11" applyFont="1" applyBorder="1" applyAlignment="1">
      <alignment horizontal="left" vertical="center" wrapText="1" indent="1"/>
    </xf>
    <xf numFmtId="0" fontId="36" fillId="0" borderId="8" xfId="12" applyFont="1" applyFill="1" applyBorder="1" applyAlignment="1">
      <alignment horizontal="center" vertical="center" wrapText="1"/>
    </xf>
    <xf numFmtId="0" fontId="36" fillId="0" borderId="13" xfId="12" applyFont="1" applyFill="1" applyBorder="1" applyAlignment="1">
      <alignment horizontal="center" vertical="center" wrapText="1"/>
    </xf>
    <xf numFmtId="0" fontId="36" fillId="0" borderId="18" xfId="12" applyFont="1" applyFill="1" applyBorder="1" applyAlignment="1">
      <alignment horizontal="center" vertical="center" wrapText="1"/>
    </xf>
    <xf numFmtId="0" fontId="33" fillId="7" borderId="6" xfId="11" applyFont="1" applyFill="1" applyBorder="1" applyAlignment="1">
      <alignment horizontal="center" vertical="center"/>
    </xf>
    <xf numFmtId="0" fontId="33" fillId="7" borderId="7" xfId="11" applyFont="1" applyFill="1" applyBorder="1" applyAlignment="1">
      <alignment horizontal="center" vertical="center"/>
    </xf>
    <xf numFmtId="0" fontId="30" fillId="0" borderId="0" xfId="26" applyFont="1" applyAlignment="1">
      <alignment horizontal="center" vertical="center"/>
    </xf>
    <xf numFmtId="0" fontId="31" fillId="0" borderId="0" xfId="26" applyFont="1" applyAlignment="1">
      <alignment horizontal="center" vertical="center"/>
    </xf>
    <xf numFmtId="0" fontId="48" fillId="6" borderId="0" xfId="27" applyFont="1" applyFill="1" applyAlignment="1">
      <alignment horizontal="center" vertical="center"/>
    </xf>
    <xf numFmtId="0" fontId="34" fillId="0" borderId="0" xfId="27" applyFont="1" applyAlignment="1">
      <alignment horizontal="center" vertical="center"/>
    </xf>
    <xf numFmtId="0" fontId="34" fillId="0" borderId="0" xfId="11" applyFont="1" applyAlignment="1">
      <alignment horizontal="right"/>
    </xf>
    <xf numFmtId="0" fontId="8" fillId="0" borderId="0" xfId="0" applyFont="1" applyAlignment="1">
      <alignment horizontal="left" vertical="center" wrapText="1"/>
    </xf>
    <xf numFmtId="0" fontId="14" fillId="2" borderId="4" xfId="0" applyFont="1" applyFill="1" applyBorder="1" applyAlignment="1" applyProtection="1">
      <alignment horizontal="left" vertical="center" wrapText="1" readingOrder="1"/>
      <protection locked="0"/>
    </xf>
    <xf numFmtId="0" fontId="14" fillId="2" borderId="0" xfId="0" applyFont="1" applyFill="1" applyAlignment="1" applyProtection="1">
      <alignment horizontal="left" vertical="center" wrapText="1" readingOrder="1"/>
      <protection locked="0"/>
    </xf>
    <xf numFmtId="0" fontId="14" fillId="2" borderId="2" xfId="0" applyFont="1" applyFill="1" applyBorder="1" applyAlignment="1" applyProtection="1">
      <alignment horizontal="left" vertical="center" wrapText="1" readingOrder="1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5" fillId="2" borderId="0" xfId="3" applyFont="1" applyFill="1" applyAlignment="1">
      <alignment horizontal="left" vertical="center" wrapText="1"/>
    </xf>
    <xf numFmtId="0" fontId="22" fillId="2" borderId="0" xfId="3" applyFont="1" applyFill="1" applyAlignment="1">
      <alignment horizontal="left" vertical="center" wrapText="1"/>
    </xf>
    <xf numFmtId="0" fontId="40" fillId="2" borderId="0" xfId="3" applyFont="1" applyFill="1" applyAlignment="1">
      <alignment horizontal="left" vertical="center" wrapText="1"/>
    </xf>
    <xf numFmtId="0" fontId="51" fillId="8" borderId="0" xfId="0" applyFont="1" applyFill="1" applyAlignment="1">
      <alignment vertical="center"/>
    </xf>
  </cellXfs>
  <cellStyles count="28">
    <cellStyle name="Hipervínculo" xfId="2" builtinId="8"/>
    <cellStyle name="Hipervínculo 2" xfId="12" xr:uid="{00000000-0005-0000-0000-000001000000}"/>
    <cellStyle name="Hipervínculo 2 4" xfId="24" xr:uid="{2AA4CA1E-6D3C-4169-89A4-AAF735BE646A}"/>
    <cellStyle name="Millares" xfId="1" builtinId="3"/>
    <cellStyle name="Millares 2" xfId="5" xr:uid="{00000000-0005-0000-0000-000003000000}"/>
    <cellStyle name="Millares 2 2" xfId="6" xr:uid="{00000000-0005-0000-0000-000004000000}"/>
    <cellStyle name="Millares 2 3" xfId="14" xr:uid="{ACF87AE9-0DC9-45E7-9F21-6759153721D6}"/>
    <cellStyle name="Millares 2 4" xfId="15" xr:uid="{3CD3E506-3650-4527-A028-F50C86D11C97}"/>
    <cellStyle name="Millares 2 5" xfId="16" xr:uid="{30D520DE-CC8B-4B60-B0EF-403670AE9456}"/>
    <cellStyle name="Millares 2 6" xfId="18" xr:uid="{EB691596-B33D-4B12-ABED-2ABC125131C8}"/>
    <cellStyle name="Millares 3" xfId="13" xr:uid="{64329396-F061-4EDA-B02C-57A122B5DFAB}"/>
    <cellStyle name="Millares 4" xfId="17" xr:uid="{70E03682-FA8C-42AB-8184-3068C4FDE97D}"/>
    <cellStyle name="Millares 5" xfId="19" xr:uid="{35962744-2A76-42FE-8362-67C43E2E723A}"/>
    <cellStyle name="Millares 6" xfId="20" xr:uid="{3BD12F8F-D2FF-4CB3-964A-23186F0686FD}"/>
    <cellStyle name="Normal" xfId="0" builtinId="0"/>
    <cellStyle name="Normal 10 2" xfId="21" xr:uid="{09A52CFF-95C9-4063-AA7A-C4A4EF7A3C22}"/>
    <cellStyle name="Normal 10 3 2" xfId="7" xr:uid="{00000000-0005-0000-0000-000006000000}"/>
    <cellStyle name="Normal 2 2 2" xfId="10" xr:uid="{00000000-0005-0000-0000-000007000000}"/>
    <cellStyle name="Normal 3" xfId="22" xr:uid="{E4606500-A39E-4D7D-8F7E-268EDBC091C9}"/>
    <cellStyle name="Normal 3 2 5" xfId="8" xr:uid="{00000000-0005-0000-0000-000008000000}"/>
    <cellStyle name="Normal 4" xfId="3" xr:uid="{00000000-0005-0000-0000-000009000000}"/>
    <cellStyle name="Normal 6" xfId="9" xr:uid="{00000000-0005-0000-0000-00000A000000}"/>
    <cellStyle name="Normal 6 2" xfId="27" xr:uid="{B84CE1F7-6BD2-45B5-A321-C27F0D6B299E}"/>
    <cellStyle name="Normal 6 2 2" xfId="26" xr:uid="{A8612AB0-A9FF-4367-BD7B-320B04C73F87}"/>
    <cellStyle name="Normal 7 2 2" xfId="11" xr:uid="{00000000-0005-0000-0000-00000B000000}"/>
    <cellStyle name="Normal 9" xfId="4" xr:uid="{00000000-0005-0000-0000-00000C000000}"/>
    <cellStyle name="Normal 9 2" xfId="25" xr:uid="{77DBE07C-CDC4-46C1-B2AB-A7DB86A8C990}"/>
    <cellStyle name="Normal 9 3" xfId="23" xr:uid="{323D5120-FE22-44C7-AB71-179813E83126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7CAFB649-F3DE-49A8-8AF6-969983C6A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3424-F676-40E8-A10F-8ADE9954A0B3}">
  <dimension ref="A1:T22"/>
  <sheetViews>
    <sheetView showGridLines="0" tabSelected="1" workbookViewId="0"/>
  </sheetViews>
  <sheetFormatPr baseColWidth="10" defaultColWidth="11.42578125" defaultRowHeight="14.25"/>
  <cols>
    <col min="1" max="1" width="1.7109375" style="86" customWidth="1"/>
    <col min="2" max="2" width="20.28515625" style="86" customWidth="1"/>
    <col min="3" max="3" width="17.42578125" style="86" customWidth="1"/>
    <col min="4" max="14" width="11.42578125" style="86"/>
    <col min="15" max="15" width="1.5703125" style="86" customWidth="1"/>
    <col min="16" max="16384" width="11.42578125" style="86"/>
  </cols>
  <sheetData>
    <row r="1" spans="1:20" s="189" customFormat="1" ht="20.100000000000001" customHeight="1">
      <c r="A1" s="187"/>
      <c r="B1" s="188"/>
      <c r="C1" s="188"/>
    </row>
    <row r="2" spans="1:20" s="189" customFormat="1" ht="20.100000000000001" customHeight="1">
      <c r="B2" s="242" t="s">
        <v>103</v>
      </c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</row>
    <row r="3" spans="1:20" s="189" customFormat="1" ht="20.100000000000001" customHeight="1">
      <c r="B3" s="243" t="s">
        <v>56</v>
      </c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</row>
    <row r="4" spans="1:20" ht="6.95" customHeight="1"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</row>
    <row r="5" spans="1:20" ht="20.100000000000001" customHeight="1">
      <c r="A5" s="244" t="s">
        <v>136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88"/>
    </row>
    <row r="6" spans="1:20" ht="6.95" customHeight="1">
      <c r="A6" s="87"/>
      <c r="B6" s="88" t="s">
        <v>57</v>
      </c>
      <c r="C6" s="89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7"/>
      <c r="T6" s="90"/>
    </row>
    <row r="7" spans="1:20" ht="20.100000000000001" customHeight="1">
      <c r="A7" s="87"/>
      <c r="B7" s="245" t="s">
        <v>57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87"/>
    </row>
    <row r="8" spans="1:20" ht="20.100000000000001" customHeight="1">
      <c r="A8" s="91"/>
      <c r="B8" s="92" t="s">
        <v>137</v>
      </c>
      <c r="C8" s="93"/>
      <c r="D8" s="91"/>
      <c r="E8" s="91"/>
      <c r="F8" s="91"/>
      <c r="G8" s="91"/>
      <c r="H8" s="91"/>
      <c r="I8" s="91"/>
      <c r="J8" s="91"/>
      <c r="K8" s="91"/>
      <c r="L8" s="91"/>
      <c r="M8" s="246" t="str">
        <f>CONCATENATE("Total de tabulados: ", COUNTIF(C11:C23,"&lt;&gt;"))</f>
        <v>Total de tabulados: 12</v>
      </c>
      <c r="N8" s="246"/>
      <c r="O8" s="91"/>
    </row>
    <row r="9" spans="1:20" ht="6.95" customHeight="1" thickBot="1"/>
    <row r="10" spans="1:20" ht="18.75" customHeight="1" thickBot="1">
      <c r="B10" s="94" t="s">
        <v>58</v>
      </c>
      <c r="C10" s="112" t="s">
        <v>59</v>
      </c>
      <c r="D10" s="240" t="s">
        <v>60</v>
      </c>
      <c r="E10" s="240"/>
      <c r="F10" s="240"/>
      <c r="G10" s="240"/>
      <c r="H10" s="240"/>
      <c r="I10" s="240"/>
      <c r="J10" s="240"/>
      <c r="K10" s="240"/>
      <c r="L10" s="240"/>
      <c r="M10" s="240"/>
      <c r="N10" s="241"/>
    </row>
    <row r="11" spans="1:20" ht="39.950000000000003" customHeight="1">
      <c r="B11" s="237" t="s">
        <v>61</v>
      </c>
      <c r="C11" s="96" t="s">
        <v>18</v>
      </c>
      <c r="D11" s="231" t="s">
        <v>111</v>
      </c>
      <c r="E11" s="232"/>
      <c r="F11" s="232"/>
      <c r="G11" s="232"/>
      <c r="H11" s="232"/>
      <c r="I11" s="232"/>
      <c r="J11" s="232"/>
      <c r="K11" s="232"/>
      <c r="L11" s="232"/>
      <c r="M11" s="232"/>
      <c r="N11" s="233"/>
      <c r="O11" s="95"/>
      <c r="P11" s="95"/>
      <c r="Q11" s="95"/>
      <c r="R11" s="95"/>
      <c r="S11" s="95"/>
      <c r="T11" s="95"/>
    </row>
    <row r="12" spans="1:20" ht="39.950000000000003" customHeight="1">
      <c r="B12" s="238"/>
      <c r="C12" s="96" t="s">
        <v>20</v>
      </c>
      <c r="D12" s="231" t="s">
        <v>112</v>
      </c>
      <c r="E12" s="232"/>
      <c r="F12" s="232"/>
      <c r="G12" s="232"/>
      <c r="H12" s="232"/>
      <c r="I12" s="232"/>
      <c r="J12" s="232"/>
      <c r="K12" s="232"/>
      <c r="L12" s="232"/>
      <c r="M12" s="232"/>
      <c r="N12" s="233"/>
      <c r="O12" s="95"/>
      <c r="P12" s="95"/>
      <c r="Q12" s="95"/>
      <c r="R12" s="95"/>
      <c r="S12" s="95"/>
      <c r="T12" s="95"/>
    </row>
    <row r="13" spans="1:20" ht="39.950000000000003" customHeight="1">
      <c r="B13" s="238"/>
      <c r="C13" s="96" t="s">
        <v>21</v>
      </c>
      <c r="D13" s="231" t="s">
        <v>113</v>
      </c>
      <c r="E13" s="232"/>
      <c r="F13" s="232"/>
      <c r="G13" s="232"/>
      <c r="H13" s="232"/>
      <c r="I13" s="232"/>
      <c r="J13" s="232"/>
      <c r="K13" s="232"/>
      <c r="L13" s="232"/>
      <c r="M13" s="232"/>
      <c r="N13" s="233"/>
      <c r="O13" s="95"/>
      <c r="P13" s="95"/>
      <c r="Q13" s="95"/>
      <c r="R13" s="95"/>
      <c r="S13" s="95"/>
      <c r="T13" s="95"/>
    </row>
    <row r="14" spans="1:20" ht="39.950000000000003" customHeight="1">
      <c r="B14" s="238"/>
      <c r="C14" s="96" t="s">
        <v>22</v>
      </c>
      <c r="D14" s="231" t="s">
        <v>9</v>
      </c>
      <c r="E14" s="232"/>
      <c r="F14" s="232"/>
      <c r="G14" s="232"/>
      <c r="H14" s="232"/>
      <c r="I14" s="232"/>
      <c r="J14" s="232"/>
      <c r="K14" s="232"/>
      <c r="L14" s="232"/>
      <c r="M14" s="232"/>
      <c r="N14" s="233"/>
      <c r="O14" s="95"/>
      <c r="P14" s="95"/>
      <c r="Q14" s="95"/>
      <c r="R14" s="95"/>
      <c r="S14" s="95"/>
      <c r="T14" s="95"/>
    </row>
    <row r="15" spans="1:20" ht="39.950000000000003" customHeight="1">
      <c r="B15" s="238"/>
      <c r="C15" s="96" t="s">
        <v>23</v>
      </c>
      <c r="D15" s="231" t="s">
        <v>115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3"/>
      <c r="O15" s="95"/>
      <c r="P15" s="95"/>
      <c r="Q15" s="95"/>
      <c r="R15" s="95"/>
      <c r="S15" s="95"/>
      <c r="T15" s="95"/>
    </row>
    <row r="16" spans="1:20" ht="39.950000000000003" customHeight="1">
      <c r="B16" s="238"/>
      <c r="C16" s="96" t="s">
        <v>24</v>
      </c>
      <c r="D16" s="231" t="s">
        <v>116</v>
      </c>
      <c r="E16" s="232"/>
      <c r="F16" s="232"/>
      <c r="G16" s="232"/>
      <c r="H16" s="232"/>
      <c r="I16" s="232"/>
      <c r="J16" s="232"/>
      <c r="K16" s="232"/>
      <c r="L16" s="232"/>
      <c r="M16" s="232"/>
      <c r="N16" s="233"/>
      <c r="O16" s="95"/>
      <c r="P16" s="95"/>
      <c r="Q16" s="95"/>
      <c r="R16" s="95"/>
      <c r="S16" s="95"/>
      <c r="T16" s="95"/>
    </row>
    <row r="17" spans="2:20" ht="39.950000000000003" customHeight="1">
      <c r="B17" s="238"/>
      <c r="C17" s="96" t="s">
        <v>25</v>
      </c>
      <c r="D17" s="231" t="s">
        <v>118</v>
      </c>
      <c r="E17" s="232"/>
      <c r="F17" s="232"/>
      <c r="G17" s="232"/>
      <c r="H17" s="232"/>
      <c r="I17" s="232"/>
      <c r="J17" s="232"/>
      <c r="K17" s="232"/>
      <c r="L17" s="232"/>
      <c r="M17" s="232"/>
      <c r="N17" s="233"/>
      <c r="O17" s="95"/>
      <c r="P17" s="95"/>
      <c r="Q17" s="95"/>
      <c r="R17" s="95"/>
      <c r="S17" s="95"/>
      <c r="T17" s="95"/>
    </row>
    <row r="18" spans="2:20" ht="39.950000000000003" customHeight="1">
      <c r="B18" s="238"/>
      <c r="C18" s="96" t="s">
        <v>26</v>
      </c>
      <c r="D18" s="231" t="s">
        <v>119</v>
      </c>
      <c r="E18" s="232"/>
      <c r="F18" s="232"/>
      <c r="G18" s="232"/>
      <c r="H18" s="232"/>
      <c r="I18" s="232"/>
      <c r="J18" s="232"/>
      <c r="K18" s="232"/>
      <c r="L18" s="232"/>
      <c r="M18" s="232"/>
      <c r="N18" s="233"/>
      <c r="O18" s="95"/>
      <c r="P18" s="95"/>
      <c r="Q18" s="95"/>
      <c r="R18" s="95"/>
      <c r="S18" s="95"/>
      <c r="T18" s="95"/>
    </row>
    <row r="19" spans="2:20" ht="39.950000000000003" customHeight="1">
      <c r="B19" s="238"/>
      <c r="C19" s="96" t="s">
        <v>27</v>
      </c>
      <c r="D19" s="231" t="s">
        <v>120</v>
      </c>
      <c r="E19" s="232"/>
      <c r="F19" s="232"/>
      <c r="G19" s="232"/>
      <c r="H19" s="232"/>
      <c r="I19" s="232"/>
      <c r="J19" s="232"/>
      <c r="K19" s="232"/>
      <c r="L19" s="232"/>
      <c r="M19" s="232"/>
      <c r="N19" s="233"/>
      <c r="O19" s="95"/>
      <c r="P19" s="95"/>
      <c r="Q19" s="95"/>
      <c r="R19" s="95"/>
      <c r="S19" s="95"/>
      <c r="T19" s="95"/>
    </row>
    <row r="20" spans="2:20" ht="39.950000000000003" customHeight="1">
      <c r="B20" s="238"/>
      <c r="C20" s="96" t="s">
        <v>28</v>
      </c>
      <c r="D20" s="231" t="s">
        <v>121</v>
      </c>
      <c r="E20" s="232"/>
      <c r="F20" s="232"/>
      <c r="G20" s="232"/>
      <c r="H20" s="232"/>
      <c r="I20" s="232"/>
      <c r="J20" s="232"/>
      <c r="K20" s="232"/>
      <c r="L20" s="232"/>
      <c r="M20" s="232"/>
      <c r="N20" s="233"/>
      <c r="O20" s="95"/>
      <c r="P20" s="95"/>
      <c r="Q20" s="95"/>
      <c r="R20" s="95"/>
      <c r="S20" s="95"/>
      <c r="T20" s="95"/>
    </row>
    <row r="21" spans="2:20" ht="39.950000000000003" customHeight="1">
      <c r="B21" s="238"/>
      <c r="C21" s="96" t="s">
        <v>19</v>
      </c>
      <c r="D21" s="231" t="s">
        <v>123</v>
      </c>
      <c r="E21" s="232"/>
      <c r="F21" s="232"/>
      <c r="G21" s="232"/>
      <c r="H21" s="232"/>
      <c r="I21" s="232"/>
      <c r="J21" s="232"/>
      <c r="K21" s="232"/>
      <c r="L21" s="232"/>
      <c r="M21" s="232"/>
      <c r="N21" s="233"/>
      <c r="O21" s="95"/>
      <c r="P21" s="95"/>
      <c r="Q21" s="95"/>
      <c r="R21" s="95"/>
      <c r="S21" s="95"/>
      <c r="T21" s="95"/>
    </row>
    <row r="22" spans="2:20" ht="39.950000000000003" customHeight="1" thickBot="1">
      <c r="B22" s="239"/>
      <c r="C22" s="190" t="s">
        <v>72</v>
      </c>
      <c r="D22" s="234" t="s">
        <v>122</v>
      </c>
      <c r="E22" s="235"/>
      <c r="F22" s="235"/>
      <c r="G22" s="235"/>
      <c r="H22" s="235"/>
      <c r="I22" s="235"/>
      <c r="J22" s="235"/>
      <c r="K22" s="235"/>
      <c r="L22" s="235"/>
      <c r="M22" s="235"/>
      <c r="N22" s="236"/>
      <c r="O22" s="95"/>
      <c r="P22" s="95"/>
      <c r="Q22" s="95"/>
      <c r="R22" s="95"/>
      <c r="S22" s="95"/>
      <c r="T22" s="95"/>
    </row>
  </sheetData>
  <mergeCells count="19">
    <mergeCell ref="D10:N10"/>
    <mergeCell ref="B2:N2"/>
    <mergeCell ref="B3:N3"/>
    <mergeCell ref="A5:N5"/>
    <mergeCell ref="B7:N7"/>
    <mergeCell ref="M8:N8"/>
    <mergeCell ref="D20:N20"/>
    <mergeCell ref="D21:N21"/>
    <mergeCell ref="D22:N22"/>
    <mergeCell ref="B11:B22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</mergeCells>
  <hyperlinks>
    <hyperlink ref="C11" location="'Cuadro 4.1'!A1" tooltip="Ir a Cuadro 4.1" display="Cuadro 4.1" xr:uid="{1501EB8A-A928-44D4-90FE-7D6FFD9FC9E4}"/>
    <hyperlink ref="C12" location="'Cuadro 4.2'!A1" tooltip="Ir a Cuadro 4.2" display="Cuadro 4.2" xr:uid="{87FACF74-2AE2-47EC-931A-E3FBA6A5AA26}"/>
    <hyperlink ref="C13" location="'Cuadro 4.3'!A1" tooltip="Ir a Cuadro 4.3" display="Cuadro 4.3" xr:uid="{6CE1BDF0-D0BC-4F28-A245-CA8F72131B78}"/>
    <hyperlink ref="C14" location="'Cuadro 4.4'!A1" tooltip="Ir a Cuadro 4.4" display="Cuadro 4.4" xr:uid="{9BA83861-D5C9-4757-9D71-6B2B1D3C66A1}"/>
    <hyperlink ref="C15" location="'Cuadro 4.5'!A1" tooltip="Ir a Cuadro 4.5" display="Cuadro 4.5" xr:uid="{29F8EA55-0997-4FDB-B519-A0CF76BDD706}"/>
    <hyperlink ref="C16" location="'Cuadro 4.6'!A1" tooltip="Ir a Cuadro 4.6" display="Cuadro 4.6" xr:uid="{43BCB8B6-B3CF-4140-92B5-EA94A7D2D78B}"/>
    <hyperlink ref="C17" location="'Cuadro 4.7'!A1" tooltip="Ir a Cuadro 4.7" display="Cuadro 4.7" xr:uid="{A942CBD0-B360-4EA7-8819-F143202AF7DD}"/>
    <hyperlink ref="C18" location="'Cuadro 4.8'!A1" tooltip="Ir a Cuadro 4.8" display="Cuadro 4.8" xr:uid="{DDB56F28-D205-4DE3-8BB2-5321DF83B2F6}"/>
    <hyperlink ref="C19" location="'Cuadro 4.9'!A1" tooltip="Ir a Cuadro 4.9" display="Cuadro 4.9" xr:uid="{287CB544-A71B-4D81-8A94-8A3ECC48E56B}"/>
    <hyperlink ref="C20" location="'Cuadro 4.10'!A1" tooltip="Ir a Cuadro 4.10" display="Cuadro 4.10" xr:uid="{6E12503B-3911-4E0F-A83C-100355196BE0}"/>
    <hyperlink ref="C21:C22" location="'Cuadro 4.10'!A1" tooltip="Ir a Cuadro 4.10" display="Cuadro 4.10" xr:uid="{93225C79-56CB-47C6-9ABF-04F00F41E98E}"/>
    <hyperlink ref="C21" location="'Cuadro 4.11'!A1" tooltip="Ir a Cuadro 4.11" display="Cuadro 4.11" xr:uid="{04556E95-E55D-4C0C-A75E-CF66321C39D4}"/>
    <hyperlink ref="C22" location="'Cuadro 4.12'!A1" tooltip="Ir a Cuadro 4.12" display="Cuadro 4.12" xr:uid="{07A7BF1D-0790-462F-9AAB-E83566CE896C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A18D-211E-48D5-811C-14AD91C32313}">
  <dimension ref="B1:Q5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55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  <col min="13" max="13" width="0.5703125" customWidth="1"/>
    <col min="14" max="14" width="11.855468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4" t="s">
        <v>110</v>
      </c>
      <c r="C5" s="104"/>
      <c r="D5" s="104"/>
      <c r="E5" s="104"/>
      <c r="F5" s="102"/>
      <c r="G5" s="151"/>
      <c r="H5" s="97"/>
      <c r="J5" s="155"/>
      <c r="K5" s="99" t="s">
        <v>18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80</v>
      </c>
      <c r="C7" s="54"/>
      <c r="D7" s="251" t="s">
        <v>109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  <c r="L9" s="1"/>
    </row>
    <row r="10" spans="2:17" ht="6" customHeight="1">
      <c r="B10" s="2"/>
      <c r="C10" s="2"/>
      <c r="D10" s="192"/>
      <c r="E10" s="196"/>
      <c r="F10" s="197"/>
      <c r="G10" s="192"/>
      <c r="H10" s="196"/>
      <c r="I10" s="197"/>
      <c r="J10" s="192"/>
      <c r="K10" s="196"/>
      <c r="L10" s="1"/>
    </row>
    <row r="11" spans="2:17" s="4" customFormat="1" ht="15" customHeight="1">
      <c r="B11" s="145" t="s">
        <v>2</v>
      </c>
      <c r="C11" s="3"/>
      <c r="D11" s="202">
        <v>940724.76979118201</v>
      </c>
      <c r="E11" s="203">
        <v>0</v>
      </c>
      <c r="F11" s="204"/>
      <c r="G11" s="202">
        <v>790274.85617909802</v>
      </c>
      <c r="H11" s="203">
        <v>0</v>
      </c>
      <c r="I11" s="205"/>
      <c r="J11" s="202">
        <v>719306.42915879702</v>
      </c>
      <c r="K11" s="203">
        <v>0</v>
      </c>
      <c r="L11" s="1"/>
    </row>
    <row r="12" spans="2:17" s="4" customFormat="1" ht="6.95" customHeight="1">
      <c r="B12" s="145"/>
      <c r="C12" s="5"/>
      <c r="D12" s="206"/>
      <c r="E12" s="206"/>
      <c r="F12" s="207"/>
      <c r="G12" s="206"/>
      <c r="H12" s="206"/>
      <c r="I12" s="206"/>
      <c r="J12" s="206"/>
      <c r="K12" s="206"/>
      <c r="L12" s="1"/>
    </row>
    <row r="13" spans="2:17" s="81" customFormat="1" ht="15" customHeight="1">
      <c r="B13" s="166" t="s">
        <v>68</v>
      </c>
      <c r="C13" s="3"/>
      <c r="D13" s="202">
        <v>809518.45166614105</v>
      </c>
      <c r="E13" s="203">
        <v>0.71559711862456099</v>
      </c>
      <c r="F13" s="204"/>
      <c r="G13" s="202">
        <v>625749.01175628905</v>
      </c>
      <c r="H13" s="203">
        <v>0.91403648530294901</v>
      </c>
      <c r="I13" s="205"/>
      <c r="J13" s="202">
        <v>604452.21733283403</v>
      </c>
      <c r="K13" s="203">
        <v>1.0371009210539399</v>
      </c>
      <c r="L13" s="8"/>
    </row>
    <row r="14" spans="2:17" s="81" customFormat="1" ht="7.15" customHeight="1">
      <c r="B14" s="146"/>
      <c r="C14" s="3"/>
      <c r="D14" s="208"/>
      <c r="E14" s="209"/>
      <c r="F14" s="204"/>
      <c r="G14" s="208"/>
      <c r="H14" s="209"/>
      <c r="I14" s="205"/>
      <c r="J14" s="208"/>
      <c r="K14" s="209"/>
      <c r="L14" s="8"/>
    </row>
    <row r="15" spans="2:17" s="7" customFormat="1" ht="15" customHeight="1">
      <c r="B15" s="167" t="s">
        <v>29</v>
      </c>
      <c r="C15" s="3"/>
      <c r="D15" s="208">
        <v>578720.15631865396</v>
      </c>
      <c r="E15" s="209">
        <v>0.83327989930693203</v>
      </c>
      <c r="F15" s="210"/>
      <c r="G15" s="208">
        <v>406527.94089941302</v>
      </c>
      <c r="H15" s="209">
        <v>1.0473149466437299</v>
      </c>
      <c r="I15" s="206"/>
      <c r="J15" s="208">
        <v>397155.06370605697</v>
      </c>
      <c r="K15" s="209">
        <v>1.2657084318315199</v>
      </c>
      <c r="L15" s="8"/>
    </row>
    <row r="16" spans="2:17" s="4" customFormat="1" ht="15" customHeight="1">
      <c r="B16" s="167" t="s">
        <v>3</v>
      </c>
      <c r="C16" s="9"/>
      <c r="D16" s="208">
        <v>560836.56515657494</v>
      </c>
      <c r="E16" s="209">
        <v>0.82862372724837396</v>
      </c>
      <c r="F16" s="210"/>
      <c r="G16" s="208">
        <v>447056.93890560803</v>
      </c>
      <c r="H16" s="209">
        <v>1.11923514127463</v>
      </c>
      <c r="I16" s="206"/>
      <c r="J16" s="208">
        <v>365651.12832734501</v>
      </c>
      <c r="K16" s="209">
        <v>1.1700063960821401</v>
      </c>
    </row>
    <row r="17" spans="2:12" s="4" customFormat="1" ht="30" customHeight="1">
      <c r="B17" s="168" t="s">
        <v>78</v>
      </c>
      <c r="C17" s="9"/>
      <c r="D17" s="208">
        <v>738484.80739075004</v>
      </c>
      <c r="E17" s="209">
        <v>0.65872499662399298</v>
      </c>
      <c r="F17" s="210"/>
      <c r="G17" s="208">
        <v>561953.56844087597</v>
      </c>
      <c r="H17" s="209">
        <v>0.88868709232171705</v>
      </c>
      <c r="I17" s="206"/>
      <c r="J17" s="208">
        <v>545347.55769171903</v>
      </c>
      <c r="K17" s="209">
        <v>0.98195406983840405</v>
      </c>
    </row>
    <row r="18" spans="2:12" s="4" customFormat="1" ht="15" customHeight="1">
      <c r="B18" s="167" t="s">
        <v>4</v>
      </c>
      <c r="C18" s="9"/>
      <c r="D18" s="208">
        <v>662786.63457701099</v>
      </c>
      <c r="E18" s="209">
        <v>0.87972109567932699</v>
      </c>
      <c r="F18" s="210"/>
      <c r="G18" s="208">
        <v>513780.79774929798</v>
      </c>
      <c r="H18" s="209">
        <v>1.12817229685896</v>
      </c>
      <c r="I18" s="206"/>
      <c r="J18" s="208">
        <v>460059.01007032098</v>
      </c>
      <c r="K18" s="209">
        <v>1.2826161722299001</v>
      </c>
    </row>
    <row r="19" spans="2:12" s="4" customFormat="1" ht="30" customHeight="1">
      <c r="B19" s="168" t="s">
        <v>79</v>
      </c>
      <c r="C19" s="5"/>
      <c r="D19" s="208">
        <v>464689.66216598899</v>
      </c>
      <c r="E19" s="209">
        <v>0.74642761819735104</v>
      </c>
      <c r="F19" s="210"/>
      <c r="G19" s="208">
        <v>341788.00802139199</v>
      </c>
      <c r="H19" s="209">
        <v>0.97228693138173095</v>
      </c>
      <c r="I19" s="206"/>
      <c r="J19" s="208">
        <v>336926.871474065</v>
      </c>
      <c r="K19" s="209">
        <v>1.1485455221997001</v>
      </c>
      <c r="L19" s="1"/>
    </row>
    <row r="20" spans="2:12" s="4" customFormat="1" ht="6.95" customHeight="1">
      <c r="B20" s="147"/>
      <c r="C20" s="5"/>
      <c r="D20" s="211"/>
      <c r="E20" s="211"/>
      <c r="F20" s="212"/>
      <c r="G20" s="211"/>
      <c r="H20" s="211"/>
      <c r="I20" s="212"/>
      <c r="J20" s="212"/>
      <c r="K20" s="212"/>
      <c r="L20" s="1"/>
    </row>
    <row r="21" spans="2:12" s="106" customFormat="1" ht="15" customHeight="1">
      <c r="B21" s="166" t="s">
        <v>74</v>
      </c>
      <c r="C21" s="5"/>
      <c r="D21" s="202">
        <v>739788.255104137</v>
      </c>
      <c r="E21" s="203">
        <v>0.71559711862456099</v>
      </c>
      <c r="F21" s="204"/>
      <c r="G21" s="202">
        <v>531948.01172459801</v>
      </c>
      <c r="H21" s="203">
        <v>0.91403648530294901</v>
      </c>
      <c r="I21" s="205"/>
      <c r="J21" s="202">
        <v>501657.37459009199</v>
      </c>
      <c r="K21" s="203">
        <v>1.0371009210539399</v>
      </c>
      <c r="L21" s="1"/>
    </row>
    <row r="22" spans="2:12" s="4" customFormat="1" ht="6.95" customHeight="1">
      <c r="B22" s="147"/>
      <c r="C22" s="5"/>
      <c r="D22" s="211"/>
      <c r="E22" s="211"/>
      <c r="F22" s="212"/>
      <c r="G22" s="211"/>
      <c r="H22" s="211"/>
      <c r="I22" s="212"/>
      <c r="J22" s="212"/>
      <c r="K22" s="212"/>
      <c r="L22" s="1"/>
    </row>
    <row r="23" spans="2:12" s="4" customFormat="1" ht="15" customHeight="1">
      <c r="B23" s="169" t="s">
        <v>0</v>
      </c>
      <c r="C23" s="5"/>
      <c r="D23" s="202">
        <v>1202696.45731675</v>
      </c>
      <c r="E23" s="203">
        <v>0</v>
      </c>
      <c r="F23" s="204"/>
      <c r="G23" s="202">
        <v>732477.33212123101</v>
      </c>
      <c r="H23" s="203">
        <v>0</v>
      </c>
      <c r="I23" s="205"/>
      <c r="J23" s="202">
        <v>655788.85438650905</v>
      </c>
      <c r="K23" s="203">
        <v>0</v>
      </c>
      <c r="L23" s="1"/>
    </row>
    <row r="24" spans="2:12" s="4" customFormat="1" ht="6.95" customHeight="1">
      <c r="B24" s="143"/>
      <c r="C24" s="5"/>
      <c r="D24" s="206"/>
      <c r="E24" s="206"/>
      <c r="F24" s="207"/>
      <c r="G24" s="206"/>
      <c r="H24" s="206"/>
      <c r="I24" s="206"/>
      <c r="J24" s="206"/>
      <c r="K24" s="206"/>
      <c r="L24" s="1"/>
    </row>
    <row r="25" spans="2:12" s="81" customFormat="1" ht="15" customHeight="1">
      <c r="B25" s="166" t="s">
        <v>68</v>
      </c>
      <c r="C25" s="3"/>
      <c r="D25" s="202">
        <v>802415.27440033597</v>
      </c>
      <c r="E25" s="203">
        <v>1.3224575186124199</v>
      </c>
      <c r="F25" s="204"/>
      <c r="G25" s="202">
        <v>495455.77377839899</v>
      </c>
      <c r="H25" s="203">
        <v>1.65752817312217</v>
      </c>
      <c r="I25" s="205"/>
      <c r="J25" s="202">
        <v>467672.24875322101</v>
      </c>
      <c r="K25" s="203">
        <v>1.9202717923252699</v>
      </c>
      <c r="L25" s="8"/>
    </row>
    <row r="26" spans="2:12" s="81" customFormat="1" ht="7.15" customHeight="1">
      <c r="B26" s="146"/>
      <c r="C26" s="3"/>
      <c r="D26" s="208"/>
      <c r="E26" s="209"/>
      <c r="F26" s="204"/>
      <c r="G26" s="208"/>
      <c r="H26" s="209"/>
      <c r="I26" s="205"/>
      <c r="J26" s="208"/>
      <c r="K26" s="209"/>
      <c r="L26" s="8"/>
    </row>
    <row r="27" spans="2:12" s="7" customFormat="1" ht="15" customHeight="1">
      <c r="B27" s="167" t="s">
        <v>29</v>
      </c>
      <c r="C27" s="3"/>
      <c r="D27" s="208">
        <v>401981.19900513301</v>
      </c>
      <c r="E27" s="209">
        <v>1.65509029232043</v>
      </c>
      <c r="F27" s="210"/>
      <c r="G27" s="208">
        <v>242914.152276626</v>
      </c>
      <c r="H27" s="209">
        <v>1.89698924340518</v>
      </c>
      <c r="I27" s="206"/>
      <c r="J27" s="208">
        <v>251150.94385484999</v>
      </c>
      <c r="K27" s="209">
        <v>2.5194419997436102</v>
      </c>
      <c r="L27" s="8"/>
    </row>
    <row r="28" spans="2:12" s="4" customFormat="1" ht="15" customHeight="1">
      <c r="B28" s="167" t="s">
        <v>3</v>
      </c>
      <c r="C28" s="9"/>
      <c r="D28" s="208">
        <v>396415.94703381602</v>
      </c>
      <c r="E28" s="209">
        <v>1.5511599584771201</v>
      </c>
      <c r="F28" s="210"/>
      <c r="G28" s="208">
        <v>272006.91339253902</v>
      </c>
      <c r="H28" s="209">
        <v>2.16617227794542</v>
      </c>
      <c r="I28" s="206"/>
      <c r="J28" s="208">
        <v>241763.502687965</v>
      </c>
      <c r="K28" s="209">
        <v>2.16131214571412</v>
      </c>
    </row>
    <row r="29" spans="2:12" s="4" customFormat="1" ht="30" customHeight="1">
      <c r="B29" s="168" t="s">
        <v>78</v>
      </c>
      <c r="C29" s="9"/>
      <c r="D29" s="208">
        <v>664175.19874404103</v>
      </c>
      <c r="E29" s="209">
        <v>1.35883994335171</v>
      </c>
      <c r="F29" s="210"/>
      <c r="G29" s="208">
        <v>412884.75894250203</v>
      </c>
      <c r="H29" s="209">
        <v>1.74208509090487</v>
      </c>
      <c r="I29" s="206"/>
      <c r="J29" s="208">
        <v>398917.82638496498</v>
      </c>
      <c r="K29" s="209">
        <v>2.0142763328237199</v>
      </c>
    </row>
    <row r="30" spans="2:12" s="4" customFormat="1" ht="15" customHeight="1">
      <c r="B30" s="167" t="s">
        <v>4</v>
      </c>
      <c r="C30" s="9"/>
      <c r="D30" s="208">
        <v>531541.76905619598</v>
      </c>
      <c r="E30" s="209">
        <v>1.6768327785300901</v>
      </c>
      <c r="F30" s="210"/>
      <c r="G30" s="208">
        <v>335542.42174696899</v>
      </c>
      <c r="H30" s="209">
        <v>2.03004877720493</v>
      </c>
      <c r="I30" s="206"/>
      <c r="J30" s="208">
        <v>295170.74756493798</v>
      </c>
      <c r="K30" s="209">
        <v>2.4832569647432998</v>
      </c>
    </row>
    <row r="31" spans="2:12" s="4" customFormat="1" ht="30" customHeight="1">
      <c r="B31" s="168" t="s">
        <v>79</v>
      </c>
      <c r="C31" s="5"/>
      <c r="D31" s="208">
        <v>232706.30385262301</v>
      </c>
      <c r="E31" s="209">
        <v>1.1614176710286701</v>
      </c>
      <c r="F31" s="210"/>
      <c r="G31" s="208">
        <v>162838.28097766801</v>
      </c>
      <c r="H31" s="209">
        <v>1.54088641776767</v>
      </c>
      <c r="I31" s="206"/>
      <c r="J31" s="208">
        <v>158733.952594945</v>
      </c>
      <c r="K31" s="209">
        <v>1.7325706510826</v>
      </c>
      <c r="L31" s="1"/>
    </row>
    <row r="32" spans="2:12" s="4" customFormat="1" ht="7.15" customHeight="1">
      <c r="B32" s="147"/>
      <c r="C32" s="5"/>
      <c r="D32" s="211"/>
      <c r="E32" s="211"/>
      <c r="F32" s="212"/>
      <c r="G32" s="211"/>
      <c r="H32" s="211"/>
      <c r="I32" s="212"/>
      <c r="J32" s="212"/>
      <c r="K32" s="212"/>
      <c r="L32" s="1"/>
    </row>
    <row r="33" spans="2:12" s="106" customFormat="1" ht="15" customHeight="1">
      <c r="B33" s="166" t="s">
        <v>74</v>
      </c>
      <c r="C33" s="5"/>
      <c r="D33" s="202">
        <v>640540.48582833202</v>
      </c>
      <c r="E33" s="203">
        <v>1.3224575186124199</v>
      </c>
      <c r="F33" s="204"/>
      <c r="G33" s="202">
        <v>417631.76998066797</v>
      </c>
      <c r="H33" s="203">
        <v>1.65752817312217</v>
      </c>
      <c r="I33" s="205"/>
      <c r="J33" s="202">
        <v>371946.38981912902</v>
      </c>
      <c r="K33" s="203">
        <v>1.9202717923252699</v>
      </c>
      <c r="L33" s="1"/>
    </row>
    <row r="34" spans="2:12" s="4" customFormat="1" ht="6.95" customHeight="1">
      <c r="B34" s="144"/>
      <c r="C34" s="5"/>
      <c r="D34" s="211"/>
      <c r="E34" s="211"/>
      <c r="F34" s="212"/>
      <c r="G34" s="211"/>
      <c r="H34" s="211"/>
      <c r="I34" s="212"/>
      <c r="J34" s="212"/>
      <c r="K34" s="212"/>
      <c r="L34" s="1"/>
    </row>
    <row r="35" spans="2:12" s="4" customFormat="1" ht="15" customHeight="1">
      <c r="B35" s="169" t="s">
        <v>1</v>
      </c>
      <c r="C35" s="5"/>
      <c r="D35" s="202">
        <v>1215345.35573305</v>
      </c>
      <c r="E35" s="203">
        <v>0</v>
      </c>
      <c r="F35" s="204"/>
      <c r="G35" s="202">
        <v>853166.62916364695</v>
      </c>
      <c r="H35" s="203">
        <v>0</v>
      </c>
      <c r="I35" s="205"/>
      <c r="J35" s="202">
        <v>704303.09797417896</v>
      </c>
      <c r="K35" s="203">
        <v>0</v>
      </c>
      <c r="L35" s="1"/>
    </row>
    <row r="36" spans="2:12" s="4" customFormat="1" ht="6.95" customHeight="1">
      <c r="B36" s="143"/>
      <c r="C36" s="5"/>
      <c r="D36" s="206"/>
      <c r="E36" s="206"/>
      <c r="F36" s="207"/>
      <c r="G36" s="206"/>
      <c r="H36" s="206"/>
      <c r="I36" s="206"/>
      <c r="J36" s="206"/>
      <c r="K36" s="206"/>
      <c r="L36" s="1"/>
    </row>
    <row r="37" spans="2:12" s="81" customFormat="1" ht="15" customHeight="1">
      <c r="B37" s="166" t="s">
        <v>68</v>
      </c>
      <c r="C37" s="3"/>
      <c r="D37" s="202">
        <v>949109.84689180297</v>
      </c>
      <c r="E37" s="203">
        <v>0.84439964276263402</v>
      </c>
      <c r="F37" s="204"/>
      <c r="G37" s="202">
        <v>672795.50907971198</v>
      </c>
      <c r="H37" s="203">
        <v>1.0582834000349099</v>
      </c>
      <c r="I37" s="205"/>
      <c r="J37" s="202">
        <v>547135.14713697101</v>
      </c>
      <c r="K37" s="203">
        <v>1.2090949190859901</v>
      </c>
      <c r="L37" s="8"/>
    </row>
    <row r="38" spans="2:12" s="81" customFormat="1" ht="7.15" customHeight="1">
      <c r="B38" s="146"/>
      <c r="C38" s="3"/>
      <c r="D38" s="208"/>
      <c r="E38" s="209"/>
      <c r="F38" s="204"/>
      <c r="G38" s="208"/>
      <c r="H38" s="209"/>
      <c r="I38" s="205"/>
      <c r="J38" s="208"/>
      <c r="K38" s="209"/>
      <c r="L38" s="8"/>
    </row>
    <row r="39" spans="2:12" s="7" customFormat="1" ht="15" customHeight="1">
      <c r="B39" s="167" t="s">
        <v>29</v>
      </c>
      <c r="C39" s="3"/>
      <c r="D39" s="208">
        <v>521102.560135042</v>
      </c>
      <c r="E39" s="209">
        <v>0.98440968896982295</v>
      </c>
      <c r="F39" s="210"/>
      <c r="G39" s="208">
        <v>369433.28147028899</v>
      </c>
      <c r="H39" s="209">
        <v>1.2596895639833601</v>
      </c>
      <c r="I39" s="206"/>
      <c r="J39" s="208">
        <v>331899.17075458</v>
      </c>
      <c r="K39" s="209">
        <v>1.45339562382739</v>
      </c>
      <c r="L39" s="8"/>
    </row>
    <row r="40" spans="2:12" s="4" customFormat="1" ht="15" customHeight="1">
      <c r="B40" s="167" t="s">
        <v>3</v>
      </c>
      <c r="C40" s="9"/>
      <c r="D40" s="208">
        <v>513197.51135761302</v>
      </c>
      <c r="E40" s="209">
        <v>1.0080801574346001</v>
      </c>
      <c r="F40" s="210"/>
      <c r="G40" s="208">
        <v>397235.56163491798</v>
      </c>
      <c r="H40" s="209">
        <v>1.3134255842745399</v>
      </c>
      <c r="I40" s="206"/>
      <c r="J40" s="208">
        <v>304067.89042305702</v>
      </c>
      <c r="K40" s="209">
        <v>1.41753066581524</v>
      </c>
    </row>
    <row r="41" spans="2:12" s="4" customFormat="1" ht="30" customHeight="1">
      <c r="B41" s="168" t="s">
        <v>78</v>
      </c>
      <c r="C41" s="9"/>
      <c r="D41" s="208">
        <v>822039.79043484502</v>
      </c>
      <c r="E41" s="209">
        <v>0.73203139640090198</v>
      </c>
      <c r="F41" s="210"/>
      <c r="G41" s="208">
        <v>585103.034334386</v>
      </c>
      <c r="H41" s="209">
        <v>1.0152650446932201</v>
      </c>
      <c r="I41" s="206"/>
      <c r="J41" s="208">
        <v>486518.19854244502</v>
      </c>
      <c r="K41" s="209">
        <v>1.1110190344997799</v>
      </c>
    </row>
    <row r="42" spans="2:12" s="4" customFormat="1" ht="15" customHeight="1">
      <c r="B42" s="167" t="s">
        <v>4</v>
      </c>
      <c r="C42" s="9"/>
      <c r="D42" s="208">
        <v>698216.91247125703</v>
      </c>
      <c r="E42" s="209">
        <v>1.0374450486670099</v>
      </c>
      <c r="F42" s="210"/>
      <c r="G42" s="208">
        <v>524451.63990620698</v>
      </c>
      <c r="H42" s="209">
        <v>1.3416930874131601</v>
      </c>
      <c r="I42" s="206"/>
      <c r="J42" s="208">
        <v>410323.45095279999</v>
      </c>
      <c r="K42" s="209">
        <v>1.4738080974519701</v>
      </c>
    </row>
    <row r="43" spans="2:12" s="4" customFormat="1" ht="30" customHeight="1">
      <c r="B43" s="168" t="s">
        <v>79</v>
      </c>
      <c r="C43" s="5"/>
      <c r="D43" s="208">
        <v>460709.21230735502</v>
      </c>
      <c r="E43" s="209">
        <v>0.98177956843640402</v>
      </c>
      <c r="F43" s="210"/>
      <c r="G43" s="208">
        <v>318472.87158196</v>
      </c>
      <c r="H43" s="209">
        <v>1.2344753481200199</v>
      </c>
      <c r="I43" s="206"/>
      <c r="J43" s="208">
        <v>309448.985118568</v>
      </c>
      <c r="K43" s="209">
        <v>1.4621945655925701</v>
      </c>
      <c r="L43" s="1"/>
    </row>
    <row r="44" spans="2:12" s="4" customFormat="1" ht="7.15" customHeight="1">
      <c r="B44" s="147"/>
      <c r="C44" s="5"/>
      <c r="D44" s="211"/>
      <c r="E44" s="211"/>
      <c r="F44" s="212"/>
      <c r="G44" s="211"/>
      <c r="H44" s="211"/>
      <c r="I44" s="212"/>
      <c r="J44" s="212"/>
      <c r="K44" s="212"/>
      <c r="L44" s="1"/>
    </row>
    <row r="45" spans="2:12" s="106" customFormat="1" ht="15" customHeight="1">
      <c r="B45" s="166" t="s">
        <v>74</v>
      </c>
      <c r="C45" s="5"/>
      <c r="D45" s="202">
        <v>620444.55080737895</v>
      </c>
      <c r="E45" s="203">
        <v>0.84439964276263402</v>
      </c>
      <c r="F45" s="204"/>
      <c r="G45" s="202">
        <v>410999.78304307</v>
      </c>
      <c r="H45" s="203">
        <v>1.0582834000349099</v>
      </c>
      <c r="I45" s="205"/>
      <c r="J45" s="202">
        <v>412800.95797529398</v>
      </c>
      <c r="K45" s="203">
        <v>1.2090949190859901</v>
      </c>
      <c r="L45" s="1"/>
    </row>
    <row r="46" spans="2:12" ht="6.95" customHeight="1">
      <c r="B46" s="10"/>
      <c r="C46" s="10"/>
      <c r="D46" s="153"/>
      <c r="E46" s="63"/>
      <c r="F46" s="42"/>
      <c r="G46" s="153"/>
      <c r="H46" s="63"/>
      <c r="I46" s="63"/>
      <c r="J46" s="165"/>
      <c r="K46" s="63"/>
      <c r="L46" s="1"/>
    </row>
    <row r="47" spans="2:12" ht="6.95" customHeight="1">
      <c r="B47" s="60"/>
      <c r="C47" s="60"/>
      <c r="E47" s="61"/>
      <c r="H47" s="1"/>
      <c r="I47" s="1"/>
      <c r="J47" s="163"/>
      <c r="K47" s="1"/>
      <c r="L47" s="1"/>
    </row>
    <row r="48" spans="2:12" ht="12" customHeight="1">
      <c r="B48" s="142" t="s">
        <v>66</v>
      </c>
      <c r="C48" s="65"/>
      <c r="D48" s="164"/>
      <c r="E48" s="65"/>
      <c r="F48" s="65"/>
      <c r="G48" s="164"/>
      <c r="H48" s="1"/>
      <c r="I48" s="1"/>
      <c r="J48" s="163"/>
      <c r="K48" s="1"/>
      <c r="L48" s="1"/>
    </row>
    <row r="49" spans="2:12" ht="12" customHeight="1">
      <c r="B49" s="139" t="s">
        <v>67</v>
      </c>
      <c r="C49" s="65"/>
      <c r="D49" s="164"/>
      <c r="E49" s="65"/>
      <c r="F49" s="65"/>
      <c r="G49" s="164"/>
      <c r="H49" s="1"/>
      <c r="I49" s="1"/>
      <c r="J49" s="163"/>
      <c r="K49" s="1"/>
      <c r="L49" s="1"/>
    </row>
    <row r="50" spans="2:12" ht="12" customHeight="1">
      <c r="B50" s="139" t="s">
        <v>73</v>
      </c>
      <c r="C50" s="11"/>
      <c r="D50" s="164"/>
      <c r="E50" s="11"/>
      <c r="F50" s="64"/>
      <c r="G50" s="164"/>
    </row>
    <row r="51" spans="2:12" ht="12" customHeight="1">
      <c r="B51" s="247" t="s">
        <v>77</v>
      </c>
      <c r="C51" s="247"/>
      <c r="D51" s="247"/>
      <c r="E51" s="247"/>
      <c r="F51" s="247"/>
      <c r="G51" s="247"/>
    </row>
    <row r="52" spans="2:12" ht="6.95" customHeight="1"/>
  </sheetData>
  <mergeCells count="6">
    <mergeCell ref="B51:G51"/>
    <mergeCell ref="B7:B9"/>
    <mergeCell ref="D7:E8"/>
    <mergeCell ref="G7:K7"/>
    <mergeCell ref="G8:H8"/>
    <mergeCell ref="J8:K8"/>
  </mergeCells>
  <hyperlinks>
    <hyperlink ref="K1" location="ÍNDICE!A1" tooltip="Ir a ÍNDICE" display="ÍNDICE" xr:uid="{70B353A3-38A7-4417-AD19-3107272DC97B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41F2-F7B4-473F-A7E1-17A558A322C0}">
  <dimension ref="B1:Q144"/>
  <sheetViews>
    <sheetView showGridLines="0" zoomScaleNormal="100" workbookViewId="0"/>
  </sheetViews>
  <sheetFormatPr baseColWidth="10" defaultColWidth="11.42578125" defaultRowHeight="15"/>
  <cols>
    <col min="1" max="1" width="1.7109375" style="43" customWidth="1"/>
    <col min="2" max="2" width="40.7109375" style="43" customWidth="1"/>
    <col min="3" max="3" width="1.7109375" style="43" customWidth="1"/>
    <col min="4" max="4" width="15.7109375" style="158" customWidth="1"/>
    <col min="5" max="5" width="15.7109375" style="43" customWidth="1"/>
    <col min="6" max="6" width="1.7109375" style="43" customWidth="1"/>
    <col min="7" max="7" width="15.7109375" style="158" customWidth="1"/>
    <col min="8" max="8" width="15.7109375" style="43" customWidth="1"/>
    <col min="9" max="9" width="1.7109375" style="43" customWidth="1"/>
    <col min="10" max="10" width="15.7109375" style="158" customWidth="1"/>
    <col min="11" max="11" width="15.7109375" style="43" customWidth="1"/>
    <col min="12" max="16384" width="11.42578125" style="43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4" t="s">
        <v>112</v>
      </c>
      <c r="C5" s="101"/>
      <c r="D5" s="151"/>
      <c r="E5" s="102"/>
      <c r="F5" s="102"/>
      <c r="G5" s="151"/>
      <c r="H5" s="97"/>
      <c r="J5" s="155"/>
      <c r="K5" s="99" t="s">
        <v>20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customFormat="1" ht="15" customHeight="1">
      <c r="B7" s="248" t="s">
        <v>82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13" t="s">
        <v>6</v>
      </c>
      <c r="C11" s="44"/>
      <c r="D11" s="202">
        <v>940724.76979118201</v>
      </c>
      <c r="E11" s="203">
        <v>0</v>
      </c>
      <c r="F11" s="204"/>
      <c r="G11" s="202">
        <v>790274.85617909802</v>
      </c>
      <c r="H11" s="203">
        <v>0</v>
      </c>
      <c r="I11" s="205"/>
      <c r="J11" s="202">
        <v>719306.42915879702</v>
      </c>
      <c r="K11" s="203">
        <v>0</v>
      </c>
    </row>
    <row r="12" spans="2:17" ht="6.95" customHeight="1">
      <c r="B12" s="113"/>
      <c r="C12" s="44"/>
      <c r="D12" s="206"/>
      <c r="E12" s="206"/>
      <c r="F12" s="207"/>
      <c r="G12" s="206"/>
      <c r="H12" s="206"/>
      <c r="I12" s="206"/>
      <c r="J12" s="206"/>
      <c r="K12" s="206"/>
    </row>
    <row r="13" spans="2:17" ht="30" customHeight="1">
      <c r="B13" s="171" t="s">
        <v>81</v>
      </c>
      <c r="C13" s="109"/>
      <c r="D13" s="202"/>
      <c r="E13" s="203"/>
      <c r="F13" s="204"/>
      <c r="G13" s="202"/>
      <c r="H13" s="203"/>
      <c r="I13" s="205"/>
      <c r="J13" s="202"/>
      <c r="K13" s="203"/>
    </row>
    <row r="14" spans="2:17" ht="6.95" customHeight="1">
      <c r="B14" s="171"/>
      <c r="C14" s="109"/>
      <c r="D14" s="208"/>
      <c r="E14" s="209"/>
      <c r="F14" s="204"/>
      <c r="G14" s="208"/>
      <c r="H14" s="209"/>
      <c r="I14" s="205"/>
      <c r="J14" s="208"/>
      <c r="K14" s="209"/>
    </row>
    <row r="15" spans="2:17" ht="15" customHeight="1">
      <c r="B15" s="115" t="s">
        <v>39</v>
      </c>
      <c r="C15" s="44"/>
      <c r="D15" s="208">
        <v>914227.71272096399</v>
      </c>
      <c r="E15" s="209">
        <v>0.62967732751796202</v>
      </c>
      <c r="F15" s="210"/>
      <c r="G15" s="208">
        <v>712769.16362630494</v>
      </c>
      <c r="H15" s="209">
        <v>0.80283143136856905</v>
      </c>
      <c r="I15" s="206"/>
      <c r="J15" s="208">
        <v>645272.393814596</v>
      </c>
      <c r="K15" s="209">
        <v>0.938489954223378</v>
      </c>
    </row>
    <row r="16" spans="2:17" ht="15" customHeight="1">
      <c r="B16" s="115" t="s">
        <v>40</v>
      </c>
      <c r="C16" s="117"/>
      <c r="D16" s="208">
        <v>516582.08825705899</v>
      </c>
      <c r="E16" s="209">
        <v>0.57119757499027302</v>
      </c>
      <c r="F16" s="210"/>
      <c r="G16" s="208">
        <v>388911.70345882798</v>
      </c>
      <c r="H16" s="209">
        <v>0.76744966543272597</v>
      </c>
      <c r="I16" s="206"/>
      <c r="J16" s="208">
        <v>362338.64013347402</v>
      </c>
      <c r="K16" s="209">
        <v>0.843778810059855</v>
      </c>
    </row>
    <row r="17" spans="2:11" ht="15" customHeight="1">
      <c r="B17" s="115" t="s">
        <v>41</v>
      </c>
      <c r="C17" s="117"/>
      <c r="D17" s="208">
        <v>252451.97337398701</v>
      </c>
      <c r="E17" s="209">
        <v>0.28616856512801497</v>
      </c>
      <c r="F17" s="210"/>
      <c r="G17" s="208">
        <v>168367.10047460301</v>
      </c>
      <c r="H17" s="209">
        <v>0.357845046043202</v>
      </c>
      <c r="I17" s="206"/>
      <c r="J17" s="208">
        <v>175490.18444782399</v>
      </c>
      <c r="K17" s="209">
        <v>0.41388739274163</v>
      </c>
    </row>
    <row r="18" spans="2:11" ht="15" customHeight="1">
      <c r="B18" s="115" t="s">
        <v>65</v>
      </c>
      <c r="C18" s="117"/>
      <c r="D18" s="208">
        <v>55249.907298159997</v>
      </c>
      <c r="E18" s="209">
        <v>6.3765209446989005E-2</v>
      </c>
      <c r="F18" s="210"/>
      <c r="G18" s="208">
        <v>40446.0735736801</v>
      </c>
      <c r="H18" s="209">
        <v>8.7201644908853196E-2</v>
      </c>
      <c r="I18" s="206"/>
      <c r="J18" s="208">
        <v>38548.1037469445</v>
      </c>
      <c r="K18" s="209">
        <v>9.56189724575396E-2</v>
      </c>
    </row>
    <row r="19" spans="2:11" ht="6.95" customHeight="1">
      <c r="B19" s="118"/>
      <c r="C19" s="117"/>
      <c r="D19" s="213"/>
      <c r="E19" s="213"/>
      <c r="F19" s="214"/>
      <c r="G19" s="213"/>
      <c r="H19" s="213"/>
      <c r="I19" s="213"/>
      <c r="J19" s="213"/>
      <c r="K19" s="213"/>
    </row>
    <row r="20" spans="2:11" ht="15" customHeight="1">
      <c r="B20" s="170" t="s">
        <v>7</v>
      </c>
      <c r="C20" s="109"/>
      <c r="D20" s="202"/>
      <c r="E20" s="203"/>
      <c r="F20" s="204"/>
      <c r="G20" s="202"/>
      <c r="H20" s="203"/>
      <c r="I20" s="205"/>
      <c r="J20" s="202"/>
      <c r="K20" s="203"/>
    </row>
    <row r="21" spans="2:11" ht="6.95" customHeight="1">
      <c r="B21" s="114"/>
      <c r="C21" s="109"/>
      <c r="D21" s="208"/>
      <c r="E21" s="209"/>
      <c r="F21" s="204"/>
      <c r="G21" s="208"/>
      <c r="H21" s="209"/>
      <c r="I21" s="205"/>
      <c r="J21" s="208"/>
      <c r="K21" s="209"/>
    </row>
    <row r="22" spans="2:11" ht="15" customHeight="1">
      <c r="B22" s="115" t="s">
        <v>39</v>
      </c>
      <c r="C22" s="117"/>
      <c r="D22" s="208">
        <v>912293.96277811797</v>
      </c>
      <c r="E22" s="209">
        <v>0.56911388020245102</v>
      </c>
      <c r="F22" s="210"/>
      <c r="G22" s="208">
        <v>724786.43084313103</v>
      </c>
      <c r="H22" s="209">
        <v>0.72637254355335701</v>
      </c>
      <c r="I22" s="206"/>
      <c r="J22" s="208">
        <v>656908.58982949902</v>
      </c>
      <c r="K22" s="209">
        <v>0.80286810227050198</v>
      </c>
    </row>
    <row r="23" spans="2:11" ht="15" customHeight="1">
      <c r="B23" s="115" t="s">
        <v>40</v>
      </c>
      <c r="C23" s="117"/>
      <c r="D23" s="208">
        <v>491441.01817708398</v>
      </c>
      <c r="E23" s="209">
        <v>0.53901230733961603</v>
      </c>
      <c r="F23" s="210"/>
      <c r="G23" s="208">
        <v>356701.41644423001</v>
      </c>
      <c r="H23" s="209">
        <v>0.70229666880179598</v>
      </c>
      <c r="I23" s="206"/>
      <c r="J23" s="208">
        <v>332141.41186182498</v>
      </c>
      <c r="K23" s="209">
        <v>0.76325491900424902</v>
      </c>
    </row>
    <row r="24" spans="2:11" ht="15" customHeight="1">
      <c r="B24" s="115" t="s">
        <v>41</v>
      </c>
      <c r="C24" s="117"/>
      <c r="D24" s="208">
        <v>99519.483408341795</v>
      </c>
      <c r="E24" s="209">
        <v>0.11481943968851401</v>
      </c>
      <c r="F24" s="210"/>
      <c r="G24" s="208">
        <v>68969.559795227804</v>
      </c>
      <c r="H24" s="209">
        <v>0.148541517463746</v>
      </c>
      <c r="I24" s="206"/>
      <c r="J24" s="208">
        <v>69356.421077002698</v>
      </c>
      <c r="K24" s="209">
        <v>0.17364157271896699</v>
      </c>
    </row>
    <row r="25" spans="2:11" ht="15" customHeight="1">
      <c r="B25" s="115" t="s">
        <v>65</v>
      </c>
      <c r="C25" s="117"/>
      <c r="D25" s="208">
        <v>100512.231196241</v>
      </c>
      <c r="E25" s="209">
        <v>0.115480476963967</v>
      </c>
      <c r="F25" s="210"/>
      <c r="G25" s="208">
        <v>52582.012035672502</v>
      </c>
      <c r="H25" s="209">
        <v>0.113211234876946</v>
      </c>
      <c r="I25" s="206"/>
      <c r="J25" s="208">
        <v>82579.471301016907</v>
      </c>
      <c r="K25" s="209">
        <v>0.20354433605821001</v>
      </c>
    </row>
    <row r="26" spans="2:11" ht="6.95" customHeight="1">
      <c r="B26" s="118"/>
      <c r="C26" s="117"/>
      <c r="D26" s="213"/>
      <c r="E26" s="213"/>
      <c r="F26" s="214"/>
      <c r="G26" s="213"/>
      <c r="H26" s="213"/>
      <c r="I26" s="213"/>
      <c r="J26" s="213"/>
      <c r="K26" s="213"/>
    </row>
    <row r="27" spans="2:11" ht="30" customHeight="1">
      <c r="B27" s="171" t="s">
        <v>83</v>
      </c>
      <c r="C27" s="119"/>
      <c r="D27" s="202"/>
      <c r="E27" s="203"/>
      <c r="F27" s="204"/>
      <c r="G27" s="202"/>
      <c r="H27" s="203"/>
      <c r="I27" s="205"/>
      <c r="J27" s="202"/>
      <c r="K27" s="203"/>
    </row>
    <row r="28" spans="2:11" ht="6.95" customHeight="1">
      <c r="B28" s="114"/>
      <c r="C28" s="119"/>
      <c r="D28" s="208"/>
      <c r="E28" s="209"/>
      <c r="F28" s="204"/>
      <c r="G28" s="208"/>
      <c r="H28" s="209"/>
      <c r="I28" s="205"/>
      <c r="J28" s="208"/>
      <c r="K28" s="209"/>
    </row>
    <row r="29" spans="2:11" ht="15" customHeight="1">
      <c r="B29" s="115" t="s">
        <v>39</v>
      </c>
      <c r="C29" s="117"/>
      <c r="D29" s="208">
        <v>507806.10382594401</v>
      </c>
      <c r="E29" s="209">
        <v>0.53483276481678899</v>
      </c>
      <c r="F29" s="210"/>
      <c r="G29" s="208">
        <v>390253.38820854202</v>
      </c>
      <c r="H29" s="209">
        <v>0.75875324423370905</v>
      </c>
      <c r="I29" s="206"/>
      <c r="J29" s="208">
        <v>350978.98314992798</v>
      </c>
      <c r="K29" s="209">
        <v>0.78765113684251697</v>
      </c>
    </row>
    <row r="30" spans="2:11" ht="15" customHeight="1">
      <c r="B30" s="115" t="s">
        <v>40</v>
      </c>
      <c r="C30" s="117"/>
      <c r="D30" s="208">
        <v>731901.575392636</v>
      </c>
      <c r="E30" s="209">
        <v>0.66383030740485904</v>
      </c>
      <c r="F30" s="210"/>
      <c r="G30" s="208">
        <v>550046.43657765898</v>
      </c>
      <c r="H30" s="209">
        <v>0.862276950501215</v>
      </c>
      <c r="I30" s="206"/>
      <c r="J30" s="208">
        <v>523192.06500849902</v>
      </c>
      <c r="K30" s="209">
        <v>0.97400506885319604</v>
      </c>
    </row>
    <row r="31" spans="2:11" ht="15" customHeight="1">
      <c r="B31" s="115" t="s">
        <v>41</v>
      </c>
      <c r="C31" s="117"/>
      <c r="D31" s="208">
        <v>635559.26364399202</v>
      </c>
      <c r="E31" s="209">
        <v>0.65926425174832204</v>
      </c>
      <c r="F31" s="210"/>
      <c r="G31" s="208">
        <v>482556.38863097399</v>
      </c>
      <c r="H31" s="209">
        <v>0.89643353751523502</v>
      </c>
      <c r="I31" s="206"/>
      <c r="J31" s="208">
        <v>411220.023941166</v>
      </c>
      <c r="K31" s="209">
        <v>0.87442559597149605</v>
      </c>
    </row>
    <row r="32" spans="2:11" ht="15" customHeight="1">
      <c r="B32" s="115" t="s">
        <v>65</v>
      </c>
      <c r="C32" s="117"/>
      <c r="D32" s="208">
        <v>105593.21716763399</v>
      </c>
      <c r="E32" s="209">
        <v>0.12218511395284901</v>
      </c>
      <c r="F32" s="210"/>
      <c r="G32" s="208">
        <v>74782.127389726797</v>
      </c>
      <c r="H32" s="209">
        <v>0.16102056168861401</v>
      </c>
      <c r="I32" s="206"/>
      <c r="J32" s="208">
        <v>71813.402788544801</v>
      </c>
      <c r="K32" s="209">
        <v>0.17866754149134201</v>
      </c>
    </row>
    <row r="33" spans="2:11" ht="6.95" customHeight="1">
      <c r="B33" s="118"/>
      <c r="C33" s="117"/>
      <c r="D33" s="213"/>
      <c r="E33" s="213"/>
      <c r="F33" s="214"/>
      <c r="G33" s="213"/>
      <c r="H33" s="213"/>
      <c r="I33" s="213"/>
      <c r="J33" s="213"/>
      <c r="K33" s="213"/>
    </row>
    <row r="34" spans="2:11" ht="30" customHeight="1">
      <c r="B34" s="171" t="s">
        <v>84</v>
      </c>
      <c r="C34" s="119"/>
      <c r="D34" s="202"/>
      <c r="E34" s="203"/>
      <c r="F34" s="204"/>
      <c r="G34" s="202"/>
      <c r="H34" s="203"/>
      <c r="I34" s="205"/>
      <c r="J34" s="202"/>
      <c r="K34" s="203"/>
    </row>
    <row r="35" spans="2:11" ht="6.95" customHeight="1">
      <c r="B35" s="114"/>
      <c r="C35" s="119"/>
      <c r="D35" s="208"/>
      <c r="E35" s="209"/>
      <c r="F35" s="204"/>
      <c r="G35" s="208"/>
      <c r="H35" s="209"/>
      <c r="I35" s="205"/>
      <c r="J35" s="208"/>
      <c r="K35" s="209"/>
    </row>
    <row r="36" spans="2:11" ht="15" customHeight="1">
      <c r="B36" s="115" t="s">
        <v>39</v>
      </c>
      <c r="C36" s="117"/>
      <c r="D36" s="208">
        <v>794909.30812815996</v>
      </c>
      <c r="E36" s="209">
        <v>0.746193855656472</v>
      </c>
      <c r="F36" s="210"/>
      <c r="G36" s="208">
        <v>596764.85683455295</v>
      </c>
      <c r="H36" s="209">
        <v>0.99515124937375599</v>
      </c>
      <c r="I36" s="206"/>
      <c r="J36" s="208">
        <v>518744.14884090697</v>
      </c>
      <c r="K36" s="209">
        <v>0.96628525183842295</v>
      </c>
    </row>
    <row r="37" spans="2:11" ht="15" customHeight="1">
      <c r="B37" s="115" t="s">
        <v>40</v>
      </c>
      <c r="C37" s="117"/>
      <c r="D37" s="208">
        <v>645612.47507014906</v>
      </c>
      <c r="E37" s="209">
        <v>0.65230230696534797</v>
      </c>
      <c r="F37" s="210"/>
      <c r="G37" s="208">
        <v>467656.46269303601</v>
      </c>
      <c r="H37" s="209">
        <v>0.83612176928260395</v>
      </c>
      <c r="I37" s="206"/>
      <c r="J37" s="208">
        <v>457277.402010519</v>
      </c>
      <c r="K37" s="209">
        <v>0.941190895596552</v>
      </c>
    </row>
    <row r="38" spans="2:11" ht="15" customHeight="1">
      <c r="B38" s="115" t="s">
        <v>41</v>
      </c>
      <c r="C38" s="117"/>
      <c r="D38" s="208">
        <v>472659.26482269901</v>
      </c>
      <c r="E38" s="209">
        <v>0.51462351962330199</v>
      </c>
      <c r="F38" s="210"/>
      <c r="G38" s="208">
        <v>371763.36647572299</v>
      </c>
      <c r="H38" s="209">
        <v>0.73590957250141498</v>
      </c>
      <c r="I38" s="206"/>
      <c r="J38" s="208">
        <v>312653.34406134899</v>
      </c>
      <c r="K38" s="209">
        <v>0.72794199009040494</v>
      </c>
    </row>
    <row r="39" spans="2:11" ht="15" customHeight="1">
      <c r="B39" s="115" t="s">
        <v>65</v>
      </c>
      <c r="C39" s="117"/>
      <c r="D39" s="208">
        <v>102743.04415397299</v>
      </c>
      <c r="E39" s="209">
        <v>0.118554822489991</v>
      </c>
      <c r="F39" s="210"/>
      <c r="G39" s="208">
        <v>63415.218226055702</v>
      </c>
      <c r="H39" s="209">
        <v>0.13662013040825999</v>
      </c>
      <c r="I39" s="206"/>
      <c r="J39" s="208">
        <v>78313.757429121993</v>
      </c>
      <c r="K39" s="209">
        <v>0.19467156969433599</v>
      </c>
    </row>
    <row r="40" spans="2:11" ht="6.95" customHeight="1">
      <c r="B40" s="118"/>
      <c r="C40" s="117"/>
      <c r="D40" s="213"/>
      <c r="E40" s="213"/>
      <c r="F40" s="214"/>
      <c r="G40" s="213"/>
      <c r="H40" s="213"/>
      <c r="I40" s="213"/>
      <c r="J40" s="213"/>
      <c r="K40" s="213"/>
    </row>
    <row r="41" spans="2:11" ht="30" customHeight="1">
      <c r="B41" s="171" t="s">
        <v>85</v>
      </c>
      <c r="C41" s="119"/>
      <c r="D41" s="202"/>
      <c r="E41" s="203"/>
      <c r="F41" s="204"/>
      <c r="G41" s="202"/>
      <c r="H41" s="203"/>
      <c r="I41" s="205"/>
      <c r="J41" s="202"/>
      <c r="K41" s="203"/>
    </row>
    <row r="42" spans="2:11" ht="6.95" customHeight="1">
      <c r="B42" s="114"/>
      <c r="C42" s="119"/>
      <c r="D42" s="208"/>
      <c r="E42" s="209"/>
      <c r="F42" s="204"/>
      <c r="G42" s="208"/>
      <c r="H42" s="209"/>
      <c r="I42" s="205"/>
      <c r="J42" s="208"/>
      <c r="K42" s="209"/>
    </row>
    <row r="43" spans="2:11" ht="15" customHeight="1">
      <c r="B43" s="115" t="s">
        <v>39</v>
      </c>
      <c r="C43" s="119"/>
      <c r="D43" s="208">
        <v>579234.99413086299</v>
      </c>
      <c r="E43" s="209">
        <v>0.62160453891168399</v>
      </c>
      <c r="F43" s="210"/>
      <c r="G43" s="208">
        <v>377654.05543556699</v>
      </c>
      <c r="H43" s="209">
        <v>0.726636115826789</v>
      </c>
      <c r="I43" s="206"/>
      <c r="J43" s="208">
        <v>398778.386926479</v>
      </c>
      <c r="K43" s="209">
        <v>0.89828959468199998</v>
      </c>
    </row>
    <row r="44" spans="2:11" ht="15" customHeight="1">
      <c r="B44" s="115" t="s">
        <v>40</v>
      </c>
      <c r="C44" s="117"/>
      <c r="D44" s="208">
        <v>735174.81008061301</v>
      </c>
      <c r="E44" s="209">
        <v>0.71497983072856897</v>
      </c>
      <c r="F44" s="210"/>
      <c r="G44" s="208">
        <v>573608.14862355997</v>
      </c>
      <c r="H44" s="209">
        <v>0.93643254187389302</v>
      </c>
      <c r="I44" s="206"/>
      <c r="J44" s="208">
        <v>500652.94772251003</v>
      </c>
      <c r="K44" s="209">
        <v>1.0121675368804299</v>
      </c>
    </row>
    <row r="45" spans="2:11" ht="15" customHeight="1">
      <c r="B45" s="115" t="s">
        <v>41</v>
      </c>
      <c r="C45" s="117"/>
      <c r="D45" s="208">
        <v>756506.868601967</v>
      </c>
      <c r="E45" s="209">
        <v>0.78470682668691005</v>
      </c>
      <c r="F45" s="210"/>
      <c r="G45" s="208">
        <v>511729.31058684498</v>
      </c>
      <c r="H45" s="209">
        <v>0.97272811213157095</v>
      </c>
      <c r="I45" s="206"/>
      <c r="J45" s="208">
        <v>496353.91640724498</v>
      </c>
      <c r="K45" s="209">
        <v>1.06246593490793</v>
      </c>
    </row>
    <row r="46" spans="2:11" ht="15" customHeight="1">
      <c r="B46" s="115" t="s">
        <v>65</v>
      </c>
      <c r="C46" s="117"/>
      <c r="D46" s="208">
        <v>90898.052362308605</v>
      </c>
      <c r="E46" s="209">
        <v>0.105248717806237</v>
      </c>
      <c r="F46" s="210"/>
      <c r="G46" s="208">
        <v>64715.524965562698</v>
      </c>
      <c r="H46" s="209">
        <v>0.13897146742866701</v>
      </c>
      <c r="I46" s="206"/>
      <c r="J46" s="208">
        <v>54295.246092403198</v>
      </c>
      <c r="K46" s="209">
        <v>0.13541129896193599</v>
      </c>
    </row>
    <row r="47" spans="2:11" ht="6.95" customHeight="1">
      <c r="B47" s="118"/>
      <c r="C47" s="117"/>
      <c r="D47" s="213"/>
      <c r="E47" s="213"/>
      <c r="F47" s="214"/>
      <c r="G47" s="213"/>
      <c r="H47" s="213"/>
      <c r="I47" s="213"/>
      <c r="J47" s="213"/>
      <c r="K47" s="213"/>
    </row>
    <row r="48" spans="2:11" ht="15" customHeight="1">
      <c r="B48" s="170" t="s">
        <v>8</v>
      </c>
      <c r="C48" s="119"/>
      <c r="D48" s="202"/>
      <c r="E48" s="203"/>
      <c r="F48" s="204"/>
      <c r="G48" s="202"/>
      <c r="H48" s="203"/>
      <c r="I48" s="205"/>
      <c r="J48" s="202"/>
      <c r="K48" s="203"/>
    </row>
    <row r="49" spans="2:11" ht="6.95" customHeight="1">
      <c r="B49" s="114"/>
      <c r="C49" s="119"/>
      <c r="D49" s="208"/>
      <c r="E49" s="209"/>
      <c r="F49" s="204"/>
      <c r="G49" s="208"/>
      <c r="H49" s="209"/>
      <c r="I49" s="205"/>
      <c r="J49" s="208"/>
      <c r="K49" s="209"/>
    </row>
    <row r="50" spans="2:11" ht="15" customHeight="1">
      <c r="B50" s="115" t="s">
        <v>39</v>
      </c>
      <c r="C50" s="117"/>
      <c r="D50" s="208">
        <v>456968.25180933101</v>
      </c>
      <c r="E50" s="209">
        <v>0.50372097588083498</v>
      </c>
      <c r="F50" s="210"/>
      <c r="G50" s="208">
        <v>307761.19250457402</v>
      </c>
      <c r="H50" s="209">
        <v>0.61728619506035898</v>
      </c>
      <c r="I50" s="206"/>
      <c r="J50" s="208">
        <v>311720.17669605801</v>
      </c>
      <c r="K50" s="209">
        <v>0.72607812242137904</v>
      </c>
    </row>
    <row r="51" spans="2:11" ht="15" customHeight="1">
      <c r="B51" s="115" t="s">
        <v>40</v>
      </c>
      <c r="C51" s="117"/>
      <c r="D51" s="208">
        <v>778024.874746177</v>
      </c>
      <c r="E51" s="209">
        <v>0.69996200137739395</v>
      </c>
      <c r="F51" s="210"/>
      <c r="G51" s="208">
        <v>584828.52260440099</v>
      </c>
      <c r="H51" s="209">
        <v>0.93851209300904603</v>
      </c>
      <c r="I51" s="206"/>
      <c r="J51" s="208">
        <v>537612.51394751703</v>
      </c>
      <c r="K51" s="209">
        <v>1.0190898943445901</v>
      </c>
    </row>
    <row r="52" spans="2:11" ht="15" customHeight="1">
      <c r="B52" s="115" t="s">
        <v>41</v>
      </c>
      <c r="C52" s="117"/>
      <c r="D52" s="208">
        <v>665821.70914582303</v>
      </c>
      <c r="E52" s="209">
        <v>0.67962728755395996</v>
      </c>
      <c r="F52" s="210"/>
      <c r="G52" s="208">
        <v>514131.15428009501</v>
      </c>
      <c r="H52" s="209">
        <v>0.91762044609247295</v>
      </c>
      <c r="I52" s="206"/>
      <c r="J52" s="208">
        <v>468147.91041594697</v>
      </c>
      <c r="K52" s="209">
        <v>0.98377295797593101</v>
      </c>
    </row>
    <row r="53" spans="2:11" ht="15" customHeight="1">
      <c r="B53" s="115" t="s">
        <v>65</v>
      </c>
      <c r="C53" s="117"/>
      <c r="D53" s="208">
        <v>65379.740357349103</v>
      </c>
      <c r="E53" s="209">
        <v>7.5282830236676798E-2</v>
      </c>
      <c r="F53" s="210"/>
      <c r="G53" s="208">
        <v>39432.456278475103</v>
      </c>
      <c r="H53" s="209">
        <v>8.4778663768894397E-2</v>
      </c>
      <c r="I53" s="206"/>
      <c r="J53" s="208">
        <v>47747.763790569297</v>
      </c>
      <c r="K53" s="209">
        <v>0.11854133481866801</v>
      </c>
    </row>
    <row r="54" spans="2:11" ht="6.95" customHeight="1">
      <c r="B54" s="120"/>
      <c r="C54" s="121"/>
      <c r="D54" s="213"/>
      <c r="E54" s="213"/>
      <c r="F54" s="215"/>
      <c r="G54" s="213"/>
      <c r="H54" s="213"/>
      <c r="I54" s="213"/>
      <c r="J54" s="213"/>
      <c r="K54" s="213"/>
    </row>
    <row r="55" spans="2:11" ht="15" customHeight="1">
      <c r="B55" s="172" t="s">
        <v>0</v>
      </c>
      <c r="C55" s="44"/>
      <c r="D55" s="202">
        <v>1202696.45731675</v>
      </c>
      <c r="E55" s="203">
        <v>0</v>
      </c>
      <c r="F55" s="204"/>
      <c r="G55" s="202">
        <v>732477.33212123101</v>
      </c>
      <c r="H55" s="203">
        <v>0</v>
      </c>
      <c r="I55" s="205"/>
      <c r="J55" s="202">
        <v>655788.85438650905</v>
      </c>
      <c r="K55" s="203">
        <v>0</v>
      </c>
    </row>
    <row r="56" spans="2:11" ht="6.95" customHeight="1">
      <c r="B56" s="113"/>
      <c r="C56" s="44"/>
      <c r="D56" s="208"/>
      <c r="E56" s="209"/>
      <c r="F56" s="204"/>
      <c r="G56" s="208"/>
      <c r="H56" s="209"/>
      <c r="I56" s="205"/>
      <c r="J56" s="208"/>
      <c r="K56" s="209"/>
    </row>
    <row r="57" spans="2:11" ht="30" customHeight="1">
      <c r="B57" s="171" t="s">
        <v>81</v>
      </c>
      <c r="C57" s="109"/>
      <c r="D57" s="202"/>
      <c r="E57" s="203"/>
      <c r="F57" s="204"/>
      <c r="G57" s="202"/>
      <c r="H57" s="203"/>
      <c r="I57" s="205"/>
      <c r="J57" s="202"/>
      <c r="K57" s="203"/>
    </row>
    <row r="58" spans="2:11" ht="6.95" customHeight="1">
      <c r="B58" s="171"/>
      <c r="C58" s="109"/>
      <c r="D58" s="208"/>
      <c r="E58" s="209"/>
      <c r="F58" s="210"/>
      <c r="G58" s="208"/>
      <c r="H58" s="209"/>
      <c r="I58" s="206"/>
      <c r="J58" s="208"/>
      <c r="K58" s="209"/>
    </row>
    <row r="59" spans="2:11" ht="15" customHeight="1">
      <c r="B59" s="115" t="s">
        <v>39</v>
      </c>
      <c r="C59" s="44"/>
      <c r="D59" s="208">
        <v>957565.85705691099</v>
      </c>
      <c r="E59" s="209">
        <v>1.27659659983389</v>
      </c>
      <c r="F59" s="210"/>
      <c r="G59" s="208">
        <v>592838.79858772503</v>
      </c>
      <c r="H59" s="209">
        <v>1.5534946129857199</v>
      </c>
      <c r="I59" s="206"/>
      <c r="J59" s="208">
        <v>525630.09260852705</v>
      </c>
      <c r="K59" s="209">
        <v>1.75301718949907</v>
      </c>
    </row>
    <row r="60" spans="2:11" ht="15" customHeight="1">
      <c r="B60" s="115" t="s">
        <v>40</v>
      </c>
      <c r="C60" s="117"/>
      <c r="D60" s="208">
        <v>411120.03743012901</v>
      </c>
      <c r="E60" s="209">
        <v>1.0964190978280299</v>
      </c>
      <c r="F60" s="210"/>
      <c r="G60" s="208">
        <v>292875.79596534203</v>
      </c>
      <c r="H60" s="209">
        <v>1.4668497740378399</v>
      </c>
      <c r="I60" s="206"/>
      <c r="J60" s="208">
        <v>234235.02311387699</v>
      </c>
      <c r="K60" s="209">
        <v>1.4559046439265599</v>
      </c>
    </row>
    <row r="61" spans="2:11" ht="15" customHeight="1">
      <c r="B61" s="115" t="s">
        <v>41</v>
      </c>
      <c r="C61" s="117"/>
      <c r="D61" s="208">
        <v>185409.250509101</v>
      </c>
      <c r="E61" s="209">
        <v>0.57266600390654698</v>
      </c>
      <c r="F61" s="210"/>
      <c r="G61" s="208">
        <v>111135.847956283</v>
      </c>
      <c r="H61" s="209">
        <v>0.66786230804218305</v>
      </c>
      <c r="I61" s="206"/>
      <c r="J61" s="208">
        <v>122359.993333028</v>
      </c>
      <c r="K61" s="209">
        <v>0.81092649226932301</v>
      </c>
    </row>
    <row r="62" spans="2:11" ht="15" customHeight="1">
      <c r="B62" s="115" t="s">
        <v>65</v>
      </c>
      <c r="C62" s="117"/>
      <c r="D62" s="208">
        <v>47281.812243271102</v>
      </c>
      <c r="E62" s="209">
        <v>0.15876604560270499</v>
      </c>
      <c r="F62" s="210"/>
      <c r="G62" s="208">
        <v>32110.934152942398</v>
      </c>
      <c r="H62" s="209">
        <v>0.19812509850683799</v>
      </c>
      <c r="I62" s="206"/>
      <c r="J62" s="208">
        <v>35682.249630126498</v>
      </c>
      <c r="K62" s="209">
        <v>0.261088353795704</v>
      </c>
    </row>
    <row r="63" spans="2:11" ht="6.95" customHeight="1">
      <c r="B63" s="118"/>
      <c r="C63" s="117"/>
      <c r="D63" s="213"/>
      <c r="E63" s="213"/>
      <c r="F63" s="214"/>
      <c r="G63" s="213"/>
      <c r="H63" s="213"/>
      <c r="I63" s="213"/>
      <c r="J63" s="213"/>
      <c r="K63" s="213"/>
    </row>
    <row r="64" spans="2:11" ht="15" customHeight="1">
      <c r="B64" s="170" t="s">
        <v>7</v>
      </c>
      <c r="C64" s="109"/>
      <c r="D64" s="202"/>
      <c r="E64" s="203"/>
      <c r="F64" s="204"/>
      <c r="G64" s="202"/>
      <c r="H64" s="203"/>
      <c r="I64" s="205"/>
      <c r="J64" s="202"/>
      <c r="K64" s="203"/>
    </row>
    <row r="65" spans="2:11" ht="6.95" customHeight="1">
      <c r="B65" s="114"/>
      <c r="C65" s="109"/>
      <c r="D65" s="208"/>
      <c r="E65" s="209"/>
      <c r="F65" s="210"/>
      <c r="G65" s="208"/>
      <c r="H65" s="209"/>
      <c r="I65" s="206"/>
      <c r="J65" s="208"/>
      <c r="K65" s="209"/>
    </row>
    <row r="66" spans="2:11" ht="15" customHeight="1">
      <c r="B66" s="115" t="s">
        <v>39</v>
      </c>
      <c r="C66" s="117"/>
      <c r="D66" s="208">
        <v>1050852.3454523401</v>
      </c>
      <c r="E66" s="209">
        <v>1.1672051062709601</v>
      </c>
      <c r="F66" s="210"/>
      <c r="G66" s="208">
        <v>640835.72617360705</v>
      </c>
      <c r="H66" s="209">
        <v>1.4359642012132701</v>
      </c>
      <c r="I66" s="206"/>
      <c r="J66" s="208">
        <v>563825.72355954698</v>
      </c>
      <c r="K66" s="209">
        <v>1.47763975833064</v>
      </c>
    </row>
    <row r="67" spans="2:11" ht="15" customHeight="1">
      <c r="B67" s="115" t="s">
        <v>40</v>
      </c>
      <c r="C67" s="117"/>
      <c r="D67" s="208">
        <v>367126.36161310697</v>
      </c>
      <c r="E67" s="209">
        <v>1.0751150196263899</v>
      </c>
      <c r="F67" s="210"/>
      <c r="G67" s="208">
        <v>253328.71143943499</v>
      </c>
      <c r="H67" s="209">
        <v>1.34681931541151</v>
      </c>
      <c r="I67" s="206"/>
      <c r="J67" s="208">
        <v>211458.533062312</v>
      </c>
      <c r="K67" s="209">
        <v>1.36039818805551</v>
      </c>
    </row>
    <row r="68" spans="2:11" ht="15" customHeight="1">
      <c r="B68" s="115" t="s">
        <v>41</v>
      </c>
      <c r="C68" s="117"/>
      <c r="D68" s="208">
        <v>75793.7057323724</v>
      </c>
      <c r="E68" s="209">
        <v>0.25397075560528598</v>
      </c>
      <c r="F68" s="210"/>
      <c r="G68" s="208">
        <v>57166.2241143094</v>
      </c>
      <c r="H68" s="209">
        <v>0.35078782632467698</v>
      </c>
      <c r="I68" s="206"/>
      <c r="J68" s="208">
        <v>47004.241154696501</v>
      </c>
      <c r="K68" s="209">
        <v>0.35229029905347897</v>
      </c>
    </row>
    <row r="69" spans="2:11" ht="15" customHeight="1">
      <c r="B69" s="115" t="s">
        <v>65</v>
      </c>
      <c r="C69" s="117"/>
      <c r="D69" s="208">
        <v>84273.264836021495</v>
      </c>
      <c r="E69" s="209">
        <v>0.27940853507636398</v>
      </c>
      <c r="F69" s="210"/>
      <c r="G69" s="208">
        <v>39471.678376189302</v>
      </c>
      <c r="H69" s="209">
        <v>0.24156364259658</v>
      </c>
      <c r="I69" s="206"/>
      <c r="J69" s="208">
        <v>74831.258992037096</v>
      </c>
      <c r="K69" s="209">
        <v>0.53905692675488304</v>
      </c>
    </row>
    <row r="70" spans="2:11" ht="6.95" customHeight="1">
      <c r="B70" s="118"/>
      <c r="C70" s="117"/>
      <c r="D70" s="213"/>
      <c r="E70" s="213"/>
      <c r="F70" s="214"/>
      <c r="G70" s="213"/>
      <c r="H70" s="213"/>
      <c r="I70" s="213"/>
      <c r="J70" s="213"/>
      <c r="K70" s="213"/>
    </row>
    <row r="71" spans="2:11" ht="30" customHeight="1">
      <c r="B71" s="171" t="s">
        <v>83</v>
      </c>
      <c r="C71" s="119"/>
      <c r="D71" s="202"/>
      <c r="E71" s="203"/>
      <c r="F71" s="204"/>
      <c r="G71" s="202"/>
      <c r="H71" s="203"/>
      <c r="I71" s="205"/>
      <c r="J71" s="202"/>
      <c r="K71" s="203"/>
    </row>
    <row r="72" spans="2:11" ht="6.95" customHeight="1">
      <c r="B72" s="114"/>
      <c r="C72" s="119"/>
      <c r="D72" s="208"/>
      <c r="E72" s="209"/>
      <c r="F72" s="210"/>
      <c r="G72" s="208"/>
      <c r="H72" s="209"/>
      <c r="I72" s="206"/>
      <c r="J72" s="208"/>
      <c r="K72" s="209"/>
    </row>
    <row r="73" spans="2:11" ht="15" customHeight="1">
      <c r="B73" s="115" t="s">
        <v>39</v>
      </c>
      <c r="C73" s="117"/>
      <c r="D73" s="208">
        <v>376947.56301729497</v>
      </c>
      <c r="E73" s="209">
        <v>0.94979589495026195</v>
      </c>
      <c r="F73" s="210"/>
      <c r="G73" s="208">
        <v>245779.65155486501</v>
      </c>
      <c r="H73" s="209">
        <v>1.20907776882226</v>
      </c>
      <c r="I73" s="206"/>
      <c r="J73" s="208">
        <v>230462.41189140899</v>
      </c>
      <c r="K73" s="209">
        <v>1.4412001754952699</v>
      </c>
    </row>
    <row r="74" spans="2:11" ht="15" customHeight="1">
      <c r="B74" s="115" t="s">
        <v>40</v>
      </c>
      <c r="C74" s="117"/>
      <c r="D74" s="208">
        <v>651457.83868461906</v>
      </c>
      <c r="E74" s="209">
        <v>1.1783480283066201</v>
      </c>
      <c r="F74" s="210"/>
      <c r="G74" s="208">
        <v>407996.10147144698</v>
      </c>
      <c r="H74" s="209">
        <v>1.40569416670396</v>
      </c>
      <c r="I74" s="206"/>
      <c r="J74" s="208">
        <v>401337.46913096699</v>
      </c>
      <c r="K74" s="209">
        <v>1.8535745355643101</v>
      </c>
    </row>
    <row r="75" spans="2:11" ht="15" customHeight="1">
      <c r="B75" s="115" t="s">
        <v>41</v>
      </c>
      <c r="C75" s="117"/>
      <c r="D75" s="208">
        <v>522101.589258313</v>
      </c>
      <c r="E75" s="209">
        <v>1.16240580502379</v>
      </c>
      <c r="F75" s="210"/>
      <c r="G75" s="208">
        <v>342019.67366387602</v>
      </c>
      <c r="H75" s="209">
        <v>1.4378504182927201</v>
      </c>
      <c r="I75" s="206"/>
      <c r="J75" s="208">
        <v>288422.10979871498</v>
      </c>
      <c r="K75" s="209">
        <v>1.5345446760697401</v>
      </c>
    </row>
    <row r="76" spans="2:11" ht="15" customHeight="1">
      <c r="B76" s="115" t="s">
        <v>65</v>
      </c>
      <c r="C76" s="117"/>
      <c r="D76" s="208">
        <v>80104.462128106999</v>
      </c>
      <c r="E76" s="209">
        <v>0.26245460697043599</v>
      </c>
      <c r="F76" s="210"/>
      <c r="G76" s="208">
        <v>30372.169711760798</v>
      </c>
      <c r="H76" s="209">
        <v>0.18674463134925401</v>
      </c>
      <c r="I76" s="206"/>
      <c r="J76" s="208">
        <v>70036.175859337105</v>
      </c>
      <c r="K76" s="209">
        <v>0.502621433618337</v>
      </c>
    </row>
    <row r="77" spans="2:11" ht="6.95" customHeight="1">
      <c r="B77" s="118"/>
      <c r="C77" s="117"/>
      <c r="D77" s="213"/>
      <c r="E77" s="213"/>
      <c r="F77" s="214"/>
      <c r="G77" s="213"/>
      <c r="H77" s="213"/>
      <c r="I77" s="213"/>
      <c r="J77" s="213"/>
      <c r="K77" s="213"/>
    </row>
    <row r="78" spans="2:11" ht="30" customHeight="1">
      <c r="B78" s="171" t="s">
        <v>84</v>
      </c>
      <c r="C78" s="119"/>
      <c r="D78" s="202"/>
      <c r="E78" s="203"/>
      <c r="F78" s="204"/>
      <c r="G78" s="202"/>
      <c r="H78" s="203"/>
      <c r="I78" s="205"/>
      <c r="J78" s="202"/>
      <c r="K78" s="203"/>
    </row>
    <row r="79" spans="2:11" ht="6.95" customHeight="1">
      <c r="B79" s="114"/>
      <c r="C79" s="119"/>
      <c r="D79" s="208"/>
      <c r="E79" s="209"/>
      <c r="F79" s="210"/>
      <c r="G79" s="208"/>
      <c r="H79" s="209"/>
      <c r="I79" s="206"/>
      <c r="J79" s="208"/>
      <c r="K79" s="209"/>
    </row>
    <row r="80" spans="2:11" ht="15" customHeight="1">
      <c r="B80" s="115" t="s">
        <v>39</v>
      </c>
      <c r="C80" s="117"/>
      <c r="D80" s="208">
        <v>701862.14823779406</v>
      </c>
      <c r="E80" s="209">
        <v>1.41719454432505</v>
      </c>
      <c r="F80" s="210"/>
      <c r="G80" s="208">
        <v>441882.89822735201</v>
      </c>
      <c r="H80" s="209">
        <v>1.84940612478196</v>
      </c>
      <c r="I80" s="206"/>
      <c r="J80" s="208">
        <v>381637.19827262103</v>
      </c>
      <c r="K80" s="209">
        <v>1.68558206614198</v>
      </c>
    </row>
    <row r="81" spans="2:11" ht="15" customHeight="1">
      <c r="B81" s="115" t="s">
        <v>40</v>
      </c>
      <c r="C81" s="117"/>
      <c r="D81" s="208">
        <v>556606.65257691103</v>
      </c>
      <c r="E81" s="209">
        <v>1.2210183392735601</v>
      </c>
      <c r="F81" s="210"/>
      <c r="G81" s="208">
        <v>331369.639675599</v>
      </c>
      <c r="H81" s="209">
        <v>1.40676055842387</v>
      </c>
      <c r="I81" s="206"/>
      <c r="J81" s="208">
        <v>352974.99543989397</v>
      </c>
      <c r="K81" s="209">
        <v>1.8414047086612699</v>
      </c>
    </row>
    <row r="82" spans="2:11" ht="15" customHeight="1">
      <c r="B82" s="115" t="s">
        <v>41</v>
      </c>
      <c r="C82" s="117"/>
      <c r="D82" s="208">
        <v>339687.85226179799</v>
      </c>
      <c r="E82" s="209">
        <v>0.91953990661950202</v>
      </c>
      <c r="F82" s="210"/>
      <c r="G82" s="208">
        <v>284675.36126094701</v>
      </c>
      <c r="H82" s="209">
        <v>1.42052530169427</v>
      </c>
      <c r="I82" s="206"/>
      <c r="J82" s="208">
        <v>172519.21298230899</v>
      </c>
      <c r="K82" s="209">
        <v>1.15454409807825</v>
      </c>
    </row>
    <row r="83" spans="2:11" ht="15" customHeight="1">
      <c r="B83" s="115" t="s">
        <v>65</v>
      </c>
      <c r="C83" s="117"/>
      <c r="D83" s="208">
        <v>86768.447297966602</v>
      </c>
      <c r="E83" s="209">
        <v>0.28472319752809999</v>
      </c>
      <c r="F83" s="210"/>
      <c r="G83" s="208">
        <v>43183.886144023701</v>
      </c>
      <c r="H83" s="209">
        <v>0.26527228885206</v>
      </c>
      <c r="I83" s="206"/>
      <c r="J83" s="208">
        <v>72447.282944220904</v>
      </c>
      <c r="K83" s="209">
        <v>0.52148083846307303</v>
      </c>
    </row>
    <row r="84" spans="2:11" ht="6.95" customHeight="1">
      <c r="B84" s="118"/>
      <c r="C84" s="117"/>
      <c r="D84" s="213"/>
      <c r="E84" s="213"/>
      <c r="F84" s="214"/>
      <c r="G84" s="213"/>
      <c r="H84" s="213"/>
      <c r="I84" s="213"/>
      <c r="J84" s="213"/>
      <c r="K84" s="213"/>
    </row>
    <row r="85" spans="2:11" ht="30" customHeight="1">
      <c r="B85" s="171" t="s">
        <v>85</v>
      </c>
      <c r="C85" s="119"/>
      <c r="D85" s="202"/>
      <c r="E85" s="203"/>
      <c r="F85" s="204"/>
      <c r="G85" s="202"/>
      <c r="H85" s="203"/>
      <c r="I85" s="205"/>
      <c r="J85" s="202"/>
      <c r="K85" s="203"/>
    </row>
    <row r="86" spans="2:11" ht="6.95" customHeight="1">
      <c r="B86" s="114"/>
      <c r="C86" s="119"/>
      <c r="D86" s="208"/>
      <c r="E86" s="209"/>
      <c r="F86" s="210"/>
      <c r="G86" s="208"/>
      <c r="H86" s="209"/>
      <c r="I86" s="206"/>
      <c r="J86" s="208"/>
      <c r="K86" s="209"/>
    </row>
    <row r="87" spans="2:11" ht="15" customHeight="1">
      <c r="B87" s="115" t="s">
        <v>39</v>
      </c>
      <c r="C87" s="117"/>
      <c r="D87" s="208">
        <v>445199.26004966698</v>
      </c>
      <c r="E87" s="209">
        <v>1.1191252450162701</v>
      </c>
      <c r="F87" s="210"/>
      <c r="G87" s="208">
        <v>266443.27941748098</v>
      </c>
      <c r="H87" s="209">
        <v>1.2560009747648999</v>
      </c>
      <c r="I87" s="206"/>
      <c r="J87" s="208">
        <v>271302.63110241399</v>
      </c>
      <c r="K87" s="209">
        <v>1.6281033443680599</v>
      </c>
    </row>
    <row r="88" spans="2:11" ht="15" customHeight="1">
      <c r="B88" s="115" t="s">
        <v>40</v>
      </c>
      <c r="C88" s="117"/>
      <c r="D88" s="208">
        <v>555157.67015918496</v>
      </c>
      <c r="E88" s="209">
        <v>1.2766703730189</v>
      </c>
      <c r="F88" s="210"/>
      <c r="G88" s="208">
        <v>357992.257423606</v>
      </c>
      <c r="H88" s="209">
        <v>1.57929885450074</v>
      </c>
      <c r="I88" s="206"/>
      <c r="J88" s="208">
        <v>349230.80634560803</v>
      </c>
      <c r="K88" s="209">
        <v>1.8437657216175101</v>
      </c>
    </row>
    <row r="89" spans="2:11" ht="15" customHeight="1">
      <c r="B89" s="115" t="s">
        <v>41</v>
      </c>
      <c r="C89" s="117"/>
      <c r="D89" s="208">
        <v>643329.98769591202</v>
      </c>
      <c r="E89" s="209">
        <v>1.3891569223131499</v>
      </c>
      <c r="F89" s="210"/>
      <c r="G89" s="208">
        <v>406206.14844602201</v>
      </c>
      <c r="H89" s="209">
        <v>1.64176732486495</v>
      </c>
      <c r="I89" s="206"/>
      <c r="J89" s="208">
        <v>359614.59019128099</v>
      </c>
      <c r="K89" s="209">
        <v>1.9242894710109899</v>
      </c>
    </row>
    <row r="90" spans="2:11" ht="15" customHeight="1">
      <c r="B90" s="115" t="s">
        <v>65</v>
      </c>
      <c r="C90" s="117"/>
      <c r="D90" s="208">
        <v>75606.647082559299</v>
      </c>
      <c r="E90" s="209">
        <v>0.25524104648482399</v>
      </c>
      <c r="F90" s="210"/>
      <c r="G90" s="208">
        <v>47285.650769786604</v>
      </c>
      <c r="H90" s="209">
        <v>0.29131439795627501</v>
      </c>
      <c r="I90" s="206"/>
      <c r="J90" s="208">
        <v>48230.779601366099</v>
      </c>
      <c r="K90" s="209">
        <v>0.35518855550648198</v>
      </c>
    </row>
    <row r="91" spans="2:11" ht="6.95" customHeight="1">
      <c r="B91" s="118"/>
      <c r="C91" s="117"/>
      <c r="D91" s="213"/>
      <c r="E91" s="213"/>
      <c r="F91" s="214"/>
      <c r="G91" s="213"/>
      <c r="H91" s="213"/>
      <c r="I91" s="213"/>
      <c r="J91" s="213"/>
      <c r="K91" s="213"/>
    </row>
    <row r="92" spans="2:11" ht="15" customHeight="1">
      <c r="B92" s="170" t="s">
        <v>8</v>
      </c>
      <c r="C92" s="119"/>
      <c r="D92" s="202"/>
      <c r="E92" s="203"/>
      <c r="F92" s="204"/>
      <c r="G92" s="202"/>
      <c r="H92" s="203"/>
      <c r="I92" s="205"/>
      <c r="J92" s="202"/>
      <c r="K92" s="203"/>
    </row>
    <row r="93" spans="2:11" ht="6.95" customHeight="1">
      <c r="B93" s="114"/>
      <c r="C93" s="119"/>
      <c r="D93" s="208"/>
      <c r="E93" s="209"/>
      <c r="F93" s="210"/>
      <c r="G93" s="208"/>
      <c r="H93" s="209"/>
      <c r="I93" s="206"/>
      <c r="J93" s="208"/>
      <c r="K93" s="209"/>
    </row>
    <row r="94" spans="2:11" ht="15" customHeight="1">
      <c r="B94" s="115" t="s">
        <v>39</v>
      </c>
      <c r="C94" s="117"/>
      <c r="D94" s="208">
        <v>308279.87258237199</v>
      </c>
      <c r="E94" s="209">
        <v>0.87254587654839899</v>
      </c>
      <c r="F94" s="210"/>
      <c r="G94" s="208">
        <v>178876.29601737001</v>
      </c>
      <c r="H94" s="209">
        <v>0.93845080962571503</v>
      </c>
      <c r="I94" s="206"/>
      <c r="J94" s="208">
        <v>191505.29899887199</v>
      </c>
      <c r="K94" s="209">
        <v>1.2338943524949599</v>
      </c>
    </row>
    <row r="95" spans="2:11" ht="15" customHeight="1">
      <c r="B95" s="115" t="s">
        <v>40</v>
      </c>
      <c r="C95" s="117"/>
      <c r="D95" s="208">
        <v>656868.99230304302</v>
      </c>
      <c r="E95" s="209">
        <v>1.16390250481147</v>
      </c>
      <c r="F95" s="210"/>
      <c r="G95" s="208">
        <v>404571.18187498802</v>
      </c>
      <c r="H95" s="209">
        <v>1.50303611622294</v>
      </c>
      <c r="I95" s="206"/>
      <c r="J95" s="208">
        <v>386724.654817787</v>
      </c>
      <c r="K95" s="209">
        <v>1.8532916051451001</v>
      </c>
    </row>
    <row r="96" spans="2:11" ht="15" customHeight="1">
      <c r="B96" s="115" t="s">
        <v>41</v>
      </c>
      <c r="C96" s="117"/>
      <c r="D96" s="208">
        <v>605535.91292276804</v>
      </c>
      <c r="E96" s="209">
        <v>1.26267804812106</v>
      </c>
      <c r="F96" s="210"/>
      <c r="G96" s="208">
        <v>399150.01679071801</v>
      </c>
      <c r="H96" s="209">
        <v>1.5032782213597899</v>
      </c>
      <c r="I96" s="206"/>
      <c r="J96" s="208">
        <v>365992.42360926402</v>
      </c>
      <c r="K96" s="209">
        <v>1.8449085226709701</v>
      </c>
    </row>
    <row r="97" spans="2:11" ht="15" customHeight="1">
      <c r="B97" s="115" t="s">
        <v>65</v>
      </c>
      <c r="C97" s="117"/>
      <c r="D97" s="208">
        <v>36553.604056235003</v>
      </c>
      <c r="E97" s="209">
        <v>0.12266532280574501</v>
      </c>
      <c r="F97" s="210"/>
      <c r="G97" s="208">
        <v>25529.910105599702</v>
      </c>
      <c r="H97" s="209">
        <v>0.156289606703471</v>
      </c>
      <c r="I97" s="206"/>
      <c r="J97" s="208">
        <v>15625.7308949054</v>
      </c>
      <c r="K97" s="209">
        <v>0.115587083952057</v>
      </c>
    </row>
    <row r="98" spans="2:11" ht="7.15" customHeight="1">
      <c r="B98" s="116"/>
      <c r="C98" s="117"/>
      <c r="D98" s="216"/>
      <c r="E98" s="216"/>
      <c r="F98" s="216"/>
      <c r="G98" s="216"/>
      <c r="H98" s="216"/>
      <c r="I98" s="217"/>
      <c r="J98" s="216"/>
      <c r="K98" s="216"/>
    </row>
    <row r="99" spans="2:11" ht="15" customHeight="1">
      <c r="B99" s="172" t="s">
        <v>1</v>
      </c>
      <c r="C99" s="44"/>
      <c r="D99" s="202">
        <v>1215345.35573305</v>
      </c>
      <c r="E99" s="203">
        <v>0</v>
      </c>
      <c r="F99" s="204"/>
      <c r="G99" s="202">
        <v>853166.62916364695</v>
      </c>
      <c r="H99" s="203">
        <v>0</v>
      </c>
      <c r="I99" s="205"/>
      <c r="J99" s="202">
        <v>704303.09797417896</v>
      </c>
      <c r="K99" s="203">
        <v>0</v>
      </c>
    </row>
    <row r="100" spans="2:11" ht="7.15" customHeight="1">
      <c r="B100" s="113"/>
      <c r="C100" s="44"/>
      <c r="D100" s="208"/>
      <c r="E100" s="209"/>
      <c r="F100" s="204"/>
      <c r="G100" s="208"/>
      <c r="H100" s="209"/>
      <c r="I100" s="205"/>
      <c r="J100" s="208"/>
      <c r="K100" s="209"/>
    </row>
    <row r="101" spans="2:11" ht="30" customHeight="1">
      <c r="B101" s="171" t="s">
        <v>81</v>
      </c>
      <c r="C101" s="109"/>
      <c r="D101" s="202"/>
      <c r="E101" s="203"/>
      <c r="F101" s="204"/>
      <c r="G101" s="202"/>
      <c r="H101" s="203"/>
      <c r="I101" s="205"/>
      <c r="J101" s="202"/>
      <c r="K101" s="203"/>
    </row>
    <row r="102" spans="2:11" ht="6.95" customHeight="1">
      <c r="B102" s="171"/>
      <c r="C102" s="109"/>
      <c r="D102" s="208"/>
      <c r="E102" s="209"/>
      <c r="F102" s="210"/>
      <c r="G102" s="208"/>
      <c r="H102" s="209"/>
      <c r="I102" s="206"/>
      <c r="J102" s="208"/>
      <c r="K102" s="209"/>
    </row>
    <row r="103" spans="2:11" ht="15" customHeight="1">
      <c r="B103" s="115" t="s">
        <v>39</v>
      </c>
      <c r="C103" s="44"/>
      <c r="D103" s="208">
        <v>1024841.08781748</v>
      </c>
      <c r="E103" s="209">
        <v>0.71110958293457804</v>
      </c>
      <c r="F103" s="210"/>
      <c r="G103" s="208">
        <v>726156.10812146706</v>
      </c>
      <c r="H103" s="209">
        <v>0.91075562939682897</v>
      </c>
      <c r="I103" s="206"/>
      <c r="J103" s="208">
        <v>589705.70444624603</v>
      </c>
      <c r="K103" s="209">
        <v>1.10082154554352</v>
      </c>
    </row>
    <row r="104" spans="2:11" ht="15" customHeight="1">
      <c r="B104" s="115" t="s">
        <v>40</v>
      </c>
      <c r="C104" s="117"/>
      <c r="D104" s="208">
        <v>440696.45719236298</v>
      </c>
      <c r="E104" s="209">
        <v>0.662907275589393</v>
      </c>
      <c r="F104" s="210"/>
      <c r="G104" s="208">
        <v>300350.30892589397</v>
      </c>
      <c r="H104" s="209">
        <v>0.86915145497791102</v>
      </c>
      <c r="I104" s="206"/>
      <c r="J104" s="208">
        <v>310674.91736028902</v>
      </c>
      <c r="K104" s="209">
        <v>1.0196970246046799</v>
      </c>
    </row>
    <row r="105" spans="2:11" ht="15" customHeight="1">
      <c r="B105" s="115" t="s">
        <v>41</v>
      </c>
      <c r="C105" s="117"/>
      <c r="D105" s="208">
        <v>188449.647679079</v>
      </c>
      <c r="E105" s="209">
        <v>0.32558835495100102</v>
      </c>
      <c r="F105" s="210"/>
      <c r="G105" s="208">
        <v>131946.577464125</v>
      </c>
      <c r="H105" s="209">
        <v>0.42690760934765898</v>
      </c>
      <c r="I105" s="206"/>
      <c r="J105" s="208">
        <v>130968.16162810801</v>
      </c>
      <c r="K105" s="209">
        <v>0.47090143358509701</v>
      </c>
    </row>
    <row r="106" spans="2:11" ht="15" customHeight="1">
      <c r="B106" s="115" t="s">
        <v>65</v>
      </c>
      <c r="C106" s="117"/>
      <c r="D106" s="208">
        <v>28655.6365737587</v>
      </c>
      <c r="E106" s="209">
        <v>5.04011747197812E-2</v>
      </c>
      <c r="F106" s="210"/>
      <c r="G106" s="208">
        <v>24592.128320927</v>
      </c>
      <c r="H106" s="209">
        <v>8.1627496908281305E-2</v>
      </c>
      <c r="I106" s="206"/>
      <c r="J106" s="208">
        <v>14727.402480360601</v>
      </c>
      <c r="K106" s="209">
        <v>5.5218943750674897E-2</v>
      </c>
    </row>
    <row r="107" spans="2:11" ht="6.95" customHeight="1">
      <c r="B107" s="118"/>
      <c r="C107" s="117"/>
      <c r="D107" s="213"/>
      <c r="E107" s="213"/>
      <c r="F107" s="214"/>
      <c r="G107" s="213"/>
      <c r="H107" s="213"/>
      <c r="I107" s="213"/>
      <c r="J107" s="213"/>
      <c r="K107" s="213"/>
    </row>
    <row r="108" spans="2:11" ht="15" customHeight="1">
      <c r="B108" s="170" t="s">
        <v>7</v>
      </c>
      <c r="C108" s="109"/>
      <c r="D108" s="202"/>
      <c r="E108" s="203"/>
      <c r="F108" s="204"/>
      <c r="G108" s="202"/>
      <c r="H108" s="203"/>
      <c r="I108" s="205"/>
      <c r="J108" s="202"/>
      <c r="K108" s="203"/>
    </row>
    <row r="109" spans="2:11" ht="6.95" customHeight="1">
      <c r="B109" s="114"/>
      <c r="C109" s="109"/>
      <c r="D109" s="208"/>
      <c r="E109" s="209"/>
      <c r="F109" s="210"/>
      <c r="G109" s="208"/>
      <c r="H109" s="209"/>
      <c r="I109" s="206"/>
      <c r="J109" s="208"/>
      <c r="K109" s="209"/>
    </row>
    <row r="110" spans="2:11" ht="15" customHeight="1">
      <c r="B110" s="115" t="s">
        <v>39</v>
      </c>
      <c r="C110" s="117"/>
      <c r="D110" s="208">
        <v>1032462.55615242</v>
      </c>
      <c r="E110" s="209">
        <v>0.64990981438586504</v>
      </c>
      <c r="F110" s="210"/>
      <c r="G110" s="208">
        <v>725613.97352005297</v>
      </c>
      <c r="H110" s="209">
        <v>0.82224376063556504</v>
      </c>
      <c r="I110" s="206"/>
      <c r="J110" s="208">
        <v>620908.401233593</v>
      </c>
      <c r="K110" s="209">
        <v>0.97547021100461895</v>
      </c>
    </row>
    <row r="111" spans="2:11" ht="15" customHeight="1">
      <c r="B111" s="115" t="s">
        <v>40</v>
      </c>
      <c r="C111" s="117"/>
      <c r="D111" s="208">
        <v>429778.25917762099</v>
      </c>
      <c r="E111" s="209">
        <v>0.62903092999238097</v>
      </c>
      <c r="F111" s="210"/>
      <c r="G111" s="208">
        <v>294656.62832133699</v>
      </c>
      <c r="H111" s="209">
        <v>0.80990127972071801</v>
      </c>
      <c r="I111" s="206"/>
      <c r="J111" s="208">
        <v>283443.65715665498</v>
      </c>
      <c r="K111" s="209">
        <v>0.942046653506729</v>
      </c>
    </row>
    <row r="112" spans="2:11" ht="15" customHeight="1">
      <c r="B112" s="115" t="s">
        <v>41</v>
      </c>
      <c r="C112" s="117"/>
      <c r="D112" s="208">
        <v>65898.889715108002</v>
      </c>
      <c r="E112" s="209">
        <v>0.115357875541368</v>
      </c>
      <c r="F112" s="210"/>
      <c r="G112" s="208">
        <v>39881.680973419898</v>
      </c>
      <c r="H112" s="209">
        <v>0.13121723231381999</v>
      </c>
      <c r="I112" s="206"/>
      <c r="J112" s="208">
        <v>51016.972686368303</v>
      </c>
      <c r="K112" s="209">
        <v>0.19216519892157299</v>
      </c>
    </row>
    <row r="113" spans="2:11" ht="15" customHeight="1">
      <c r="B113" s="115" t="s">
        <v>65</v>
      </c>
      <c r="C113" s="117"/>
      <c r="D113" s="208">
        <v>55030.895639218499</v>
      </c>
      <c r="E113" s="209">
        <v>9.6904765753734301E-2</v>
      </c>
      <c r="F113" s="210"/>
      <c r="G113" s="208">
        <v>34739.812836085803</v>
      </c>
      <c r="H113" s="209">
        <v>0.115760955059793</v>
      </c>
      <c r="I113" s="206"/>
      <c r="J113" s="208">
        <v>35014.381316144703</v>
      </c>
      <c r="K113" s="209">
        <v>0.131094787329393</v>
      </c>
    </row>
    <row r="114" spans="2:11" ht="6.95" customHeight="1">
      <c r="B114" s="118"/>
      <c r="C114" s="117"/>
      <c r="D114" s="213"/>
      <c r="E114" s="213"/>
      <c r="F114" s="214"/>
      <c r="G114" s="213"/>
      <c r="H114" s="213"/>
      <c r="I114" s="213"/>
      <c r="J114" s="213"/>
      <c r="K114" s="213"/>
    </row>
    <row r="115" spans="2:11" ht="30" customHeight="1">
      <c r="B115" s="171" t="s">
        <v>83</v>
      </c>
      <c r="C115" s="119"/>
      <c r="D115" s="202"/>
      <c r="E115" s="203"/>
      <c r="F115" s="204"/>
      <c r="G115" s="202"/>
      <c r="H115" s="203"/>
      <c r="I115" s="205"/>
      <c r="J115" s="202"/>
      <c r="K115" s="203"/>
    </row>
    <row r="116" spans="2:11" ht="6.95" customHeight="1">
      <c r="B116" s="114"/>
      <c r="C116" s="119"/>
      <c r="D116" s="208"/>
      <c r="E116" s="209"/>
      <c r="F116" s="210"/>
      <c r="G116" s="208"/>
      <c r="H116" s="209"/>
      <c r="I116" s="206"/>
      <c r="J116" s="208"/>
      <c r="K116" s="209"/>
    </row>
    <row r="117" spans="2:11" ht="15" customHeight="1">
      <c r="B117" s="115" t="s">
        <v>39</v>
      </c>
      <c r="C117" s="117"/>
      <c r="D117" s="208">
        <v>422572.48214075901</v>
      </c>
      <c r="E117" s="209">
        <v>0.63942913195907303</v>
      </c>
      <c r="F117" s="210"/>
      <c r="G117" s="208">
        <v>331545.57952138002</v>
      </c>
      <c r="H117" s="209">
        <v>0.95202004265166595</v>
      </c>
      <c r="I117" s="206"/>
      <c r="J117" s="208">
        <v>293002.91960266302</v>
      </c>
      <c r="K117" s="209">
        <v>0.95796247966215498</v>
      </c>
    </row>
    <row r="118" spans="2:11" ht="15" customHeight="1">
      <c r="B118" s="115" t="s">
        <v>40</v>
      </c>
      <c r="C118" s="117"/>
      <c r="D118" s="208">
        <v>731020.442236559</v>
      </c>
      <c r="E118" s="209">
        <v>0.83160991493125103</v>
      </c>
      <c r="F118" s="210"/>
      <c r="G118" s="208">
        <v>510439.05456759699</v>
      </c>
      <c r="H118" s="209">
        <v>1.1329574557736899</v>
      </c>
      <c r="I118" s="206"/>
      <c r="J118" s="208">
        <v>458246.04672074702</v>
      </c>
      <c r="K118" s="209">
        <v>1.1678394617755301</v>
      </c>
    </row>
    <row r="119" spans="2:11" ht="15" customHeight="1">
      <c r="B119" s="115" t="s">
        <v>41</v>
      </c>
      <c r="C119" s="117"/>
      <c r="D119" s="208">
        <v>636542.89177034504</v>
      </c>
      <c r="E119" s="209">
        <v>0.83367972586585304</v>
      </c>
      <c r="F119" s="210"/>
      <c r="G119" s="208">
        <v>459904.044047306</v>
      </c>
      <c r="H119" s="209">
        <v>1.15856712665748</v>
      </c>
      <c r="I119" s="206"/>
      <c r="J119" s="208">
        <v>364511.66883273597</v>
      </c>
      <c r="K119" s="209">
        <v>1.10104715131746</v>
      </c>
    </row>
    <row r="120" spans="2:11" ht="15" customHeight="1">
      <c r="B120" s="115" t="s">
        <v>65</v>
      </c>
      <c r="C120" s="117"/>
      <c r="D120" s="208">
        <v>68938.819633120598</v>
      </c>
      <c r="E120" s="209">
        <v>0.121332581609591</v>
      </c>
      <c r="F120" s="210"/>
      <c r="G120" s="208">
        <v>68336.651102708696</v>
      </c>
      <c r="H120" s="209">
        <v>0.226381865659534</v>
      </c>
      <c r="I120" s="206"/>
      <c r="J120" s="208">
        <v>15946.504695387001</v>
      </c>
      <c r="K120" s="209">
        <v>5.98196252132513E-2</v>
      </c>
    </row>
    <row r="121" spans="2:11" ht="6.95" customHeight="1">
      <c r="B121" s="118"/>
      <c r="C121" s="117"/>
      <c r="D121" s="213"/>
      <c r="E121" s="213"/>
      <c r="F121" s="214"/>
      <c r="G121" s="213"/>
      <c r="H121" s="213"/>
      <c r="I121" s="213"/>
      <c r="J121" s="213"/>
      <c r="K121" s="213"/>
    </row>
    <row r="122" spans="2:11" ht="30" customHeight="1">
      <c r="B122" s="171" t="s">
        <v>84</v>
      </c>
      <c r="C122" s="119"/>
      <c r="D122" s="202"/>
      <c r="E122" s="203"/>
      <c r="F122" s="204"/>
      <c r="G122" s="202"/>
      <c r="H122" s="203"/>
      <c r="I122" s="205"/>
      <c r="J122" s="202"/>
      <c r="K122" s="203"/>
    </row>
    <row r="123" spans="2:11" ht="6.95" customHeight="1">
      <c r="B123" s="114"/>
      <c r="C123" s="119"/>
      <c r="D123" s="208"/>
      <c r="E123" s="209"/>
      <c r="F123" s="210"/>
      <c r="G123" s="208"/>
      <c r="H123" s="209"/>
      <c r="I123" s="206"/>
      <c r="J123" s="208"/>
      <c r="K123" s="209"/>
    </row>
    <row r="124" spans="2:11" ht="15" customHeight="1">
      <c r="B124" s="115" t="s">
        <v>39</v>
      </c>
      <c r="C124" s="117"/>
      <c r="D124" s="208">
        <v>782306.27525743097</v>
      </c>
      <c r="E124" s="209">
        <v>0.89136163023600001</v>
      </c>
      <c r="F124" s="210"/>
      <c r="G124" s="208">
        <v>552050.48500623205</v>
      </c>
      <c r="H124" s="209">
        <v>1.18601535841461</v>
      </c>
      <c r="I124" s="206"/>
      <c r="J124" s="208">
        <v>467740.78049255098</v>
      </c>
      <c r="K124" s="209">
        <v>1.17594219240884</v>
      </c>
    </row>
    <row r="125" spans="2:11" ht="15" customHeight="1">
      <c r="B125" s="115" t="s">
        <v>40</v>
      </c>
      <c r="C125" s="117"/>
      <c r="D125" s="208">
        <v>607629.69947317499</v>
      </c>
      <c r="E125" s="209">
        <v>0.78593963098202202</v>
      </c>
      <c r="F125" s="210"/>
      <c r="G125" s="208">
        <v>438483.05845553201</v>
      </c>
      <c r="H125" s="209">
        <v>1.05974440756724</v>
      </c>
      <c r="I125" s="206"/>
      <c r="J125" s="208">
        <v>366237.25582566397</v>
      </c>
      <c r="K125" s="209">
        <v>1.0857545906947099</v>
      </c>
    </row>
    <row r="126" spans="2:11" ht="15" customHeight="1">
      <c r="B126" s="115" t="s">
        <v>41</v>
      </c>
      <c r="C126" s="117"/>
      <c r="D126" s="208">
        <v>420907.93352693698</v>
      </c>
      <c r="E126" s="209">
        <v>0.65352721574841</v>
      </c>
      <c r="F126" s="210"/>
      <c r="G126" s="208">
        <v>282326.81675165799</v>
      </c>
      <c r="H126" s="209">
        <v>0.839237684224036</v>
      </c>
      <c r="I126" s="206"/>
      <c r="J126" s="208">
        <v>282834.07284027903</v>
      </c>
      <c r="K126" s="209">
        <v>0.95102351862914702</v>
      </c>
    </row>
    <row r="127" spans="2:11" ht="15" customHeight="1">
      <c r="B127" s="115" t="s">
        <v>65</v>
      </c>
      <c r="C127" s="117"/>
      <c r="D127" s="208">
        <v>55041.455253794498</v>
      </c>
      <c r="E127" s="209">
        <v>9.7077180614026898E-2</v>
      </c>
      <c r="F127" s="210"/>
      <c r="G127" s="208">
        <v>46439.658484513697</v>
      </c>
      <c r="H127" s="209">
        <v>0.154235971884638</v>
      </c>
      <c r="I127" s="206"/>
      <c r="J127" s="208">
        <v>29776.2979162554</v>
      </c>
      <c r="K127" s="209">
        <v>0.111886261230372</v>
      </c>
    </row>
    <row r="128" spans="2:11" ht="6.95" customHeight="1">
      <c r="B128" s="118"/>
      <c r="C128" s="117"/>
      <c r="D128" s="213"/>
      <c r="E128" s="213"/>
      <c r="F128" s="214"/>
      <c r="G128" s="213"/>
      <c r="H128" s="213"/>
      <c r="I128" s="213"/>
      <c r="J128" s="213"/>
      <c r="K128" s="213"/>
    </row>
    <row r="129" spans="2:11" ht="30" customHeight="1">
      <c r="B129" s="171" t="s">
        <v>85</v>
      </c>
      <c r="C129" s="119"/>
      <c r="D129" s="202"/>
      <c r="E129" s="203"/>
      <c r="F129" s="204"/>
      <c r="G129" s="202"/>
      <c r="H129" s="203"/>
      <c r="I129" s="205"/>
      <c r="J129" s="202"/>
      <c r="K129" s="203"/>
    </row>
    <row r="130" spans="2:11" ht="6.95" customHeight="1">
      <c r="B130" s="114"/>
      <c r="C130" s="119"/>
      <c r="D130" s="208"/>
      <c r="E130" s="209"/>
      <c r="F130" s="210"/>
      <c r="G130" s="208"/>
      <c r="H130" s="209"/>
      <c r="I130" s="206"/>
      <c r="J130" s="208"/>
      <c r="K130" s="209"/>
    </row>
    <row r="131" spans="2:11" ht="15" customHeight="1">
      <c r="B131" s="115" t="s">
        <v>39</v>
      </c>
      <c r="C131" s="117"/>
      <c r="D131" s="208">
        <v>545631.44325708295</v>
      </c>
      <c r="E131" s="209">
        <v>0.79472427128961098</v>
      </c>
      <c r="F131" s="210"/>
      <c r="G131" s="208">
        <v>339750.02312840399</v>
      </c>
      <c r="H131" s="209">
        <v>0.92513860657508495</v>
      </c>
      <c r="I131" s="206"/>
      <c r="J131" s="208">
        <v>348246.99080007902</v>
      </c>
      <c r="K131" s="209">
        <v>1.11020891914356</v>
      </c>
    </row>
    <row r="132" spans="2:11" ht="15" customHeight="1">
      <c r="B132" s="115" t="s">
        <v>40</v>
      </c>
      <c r="C132" s="117"/>
      <c r="D132" s="208">
        <v>746389.38997976203</v>
      </c>
      <c r="E132" s="209">
        <v>0.88443401109737296</v>
      </c>
      <c r="F132" s="210"/>
      <c r="G132" s="208">
        <v>547638.12837396504</v>
      </c>
      <c r="H132" s="209">
        <v>1.1566616294840999</v>
      </c>
      <c r="I132" s="206"/>
      <c r="J132" s="208">
        <v>439285.13154499198</v>
      </c>
      <c r="K132" s="209">
        <v>1.2359524942269</v>
      </c>
    </row>
    <row r="133" spans="2:11" ht="15" customHeight="1">
      <c r="B133" s="115" t="s">
        <v>41</v>
      </c>
      <c r="C133" s="117"/>
      <c r="D133" s="208">
        <v>622268.51067009894</v>
      </c>
      <c r="E133" s="209">
        <v>0.92998549865823599</v>
      </c>
      <c r="F133" s="210"/>
      <c r="G133" s="208">
        <v>408541.84456969099</v>
      </c>
      <c r="H133" s="209">
        <v>1.1582327032689901</v>
      </c>
      <c r="I133" s="206"/>
      <c r="J133" s="208">
        <v>402762.11151468701</v>
      </c>
      <c r="K133" s="209">
        <v>1.26303162452628</v>
      </c>
    </row>
    <row r="134" spans="2:11" ht="15" customHeight="1">
      <c r="B134" s="115" t="s">
        <v>65</v>
      </c>
      <c r="C134" s="117"/>
      <c r="D134" s="208">
        <v>50721.313426353001</v>
      </c>
      <c r="E134" s="209">
        <v>8.8510698082220798E-2</v>
      </c>
      <c r="F134" s="210"/>
      <c r="G134" s="208">
        <v>44183.327204344299</v>
      </c>
      <c r="H134" s="209">
        <v>0.14471765636964501</v>
      </c>
      <c r="I134" s="206"/>
      <c r="J134" s="208">
        <v>24935.229040036302</v>
      </c>
      <c r="K134" s="209">
        <v>9.3777991677614095E-2</v>
      </c>
    </row>
    <row r="135" spans="2:11" ht="6.95" customHeight="1">
      <c r="B135" s="118"/>
      <c r="C135" s="117"/>
      <c r="D135" s="213"/>
      <c r="E135" s="213"/>
      <c r="F135" s="214"/>
      <c r="G135" s="213"/>
      <c r="H135" s="213"/>
      <c r="I135" s="213"/>
      <c r="J135" s="213"/>
      <c r="K135" s="213"/>
    </row>
    <row r="136" spans="2:11" ht="15" customHeight="1">
      <c r="B136" s="170" t="s">
        <v>8</v>
      </c>
      <c r="C136" s="119"/>
      <c r="D136" s="202"/>
      <c r="E136" s="203"/>
      <c r="F136" s="204"/>
      <c r="G136" s="202"/>
      <c r="H136" s="203"/>
      <c r="I136" s="205"/>
      <c r="J136" s="202"/>
      <c r="K136" s="203"/>
    </row>
    <row r="137" spans="2:11" ht="6.95" customHeight="1">
      <c r="B137" s="114"/>
      <c r="C137" s="119"/>
      <c r="D137" s="208"/>
      <c r="E137" s="209"/>
      <c r="F137" s="210"/>
      <c r="G137" s="208"/>
      <c r="H137" s="209"/>
      <c r="I137" s="206"/>
      <c r="J137" s="208"/>
      <c r="K137" s="209"/>
    </row>
    <row r="138" spans="2:11" ht="15" customHeight="1">
      <c r="B138" s="115" t="s">
        <v>39</v>
      </c>
      <c r="C138" s="117"/>
      <c r="D138" s="208">
        <v>385941.35524095298</v>
      </c>
      <c r="E138" s="209">
        <v>0.62886146658895403</v>
      </c>
      <c r="F138" s="210"/>
      <c r="G138" s="208">
        <v>266494.87481784698</v>
      </c>
      <c r="H138" s="209">
        <v>0.81706285855710303</v>
      </c>
      <c r="I138" s="206"/>
      <c r="J138" s="208">
        <v>263989.47572746198</v>
      </c>
      <c r="K138" s="209">
        <v>0.89943639518762297</v>
      </c>
    </row>
    <row r="139" spans="2:11" ht="15" customHeight="1">
      <c r="B139" s="115" t="s">
        <v>40</v>
      </c>
      <c r="C139" s="117"/>
      <c r="D139" s="208">
        <v>794949.32877926598</v>
      </c>
      <c r="E139" s="209">
        <v>0.88618642323853802</v>
      </c>
      <c r="F139" s="210"/>
      <c r="G139" s="208">
        <v>562292.86582441302</v>
      </c>
      <c r="H139" s="209">
        <v>1.19677293965669</v>
      </c>
      <c r="I139" s="206"/>
      <c r="J139" s="208">
        <v>489448.033264025</v>
      </c>
      <c r="K139" s="209">
        <v>1.21433183913554</v>
      </c>
    </row>
    <row r="140" spans="2:11" ht="15" customHeight="1">
      <c r="B140" s="115" t="s">
        <v>41</v>
      </c>
      <c r="C140" s="117"/>
      <c r="D140" s="208">
        <v>643031.580089372</v>
      </c>
      <c r="E140" s="209">
        <v>0.83802522053982298</v>
      </c>
      <c r="F140" s="210"/>
      <c r="G140" s="208">
        <v>474342.53037847398</v>
      </c>
      <c r="H140" s="209">
        <v>1.17376213627468</v>
      </c>
      <c r="I140" s="206"/>
      <c r="J140" s="208">
        <v>376916.242318145</v>
      </c>
      <c r="K140" s="209">
        <v>1.1685351574323599</v>
      </c>
    </row>
    <row r="141" spans="2:11" ht="15" customHeight="1">
      <c r="B141" s="115" t="s">
        <v>65</v>
      </c>
      <c r="C141" s="117"/>
      <c r="D141" s="208">
        <v>54251.622369237797</v>
      </c>
      <c r="E141" s="209">
        <v>9.5327957164264399E-2</v>
      </c>
      <c r="F141" s="210"/>
      <c r="G141" s="208">
        <v>30133.641468528898</v>
      </c>
      <c r="H141" s="209">
        <v>0.10010821904011399</v>
      </c>
      <c r="I141" s="206"/>
      <c r="J141" s="208">
        <v>45118.571353712003</v>
      </c>
      <c r="K141" s="209">
        <v>0.16892560907105</v>
      </c>
    </row>
    <row r="142" spans="2:11" ht="6.95" customHeight="1">
      <c r="B142" s="12"/>
      <c r="C142" s="12"/>
      <c r="D142" s="159"/>
      <c r="E142" s="68"/>
      <c r="F142" s="45"/>
      <c r="G142" s="159"/>
      <c r="H142" s="68"/>
      <c r="I142" s="68"/>
      <c r="J142" s="161"/>
      <c r="K142" s="68"/>
    </row>
    <row r="143" spans="2:11" ht="6.95" customHeight="1">
      <c r="B143" s="66"/>
      <c r="C143" s="66"/>
      <c r="D143" s="160"/>
      <c r="E143" s="67"/>
      <c r="F143" s="67"/>
      <c r="G143" s="160"/>
    </row>
    <row r="144" spans="2:11" customFormat="1" ht="12" customHeight="1">
      <c r="B144" s="247" t="s">
        <v>77</v>
      </c>
      <c r="C144" s="247"/>
      <c r="D144" s="247"/>
      <c r="E144" s="247"/>
      <c r="F144" s="247"/>
      <c r="G144" s="247"/>
      <c r="J144" s="152"/>
    </row>
  </sheetData>
  <mergeCells count="6">
    <mergeCell ref="B144:G144"/>
    <mergeCell ref="D7:E8"/>
    <mergeCell ref="G7:K7"/>
    <mergeCell ref="G8:H8"/>
    <mergeCell ref="J8:K8"/>
    <mergeCell ref="B7:B9"/>
  </mergeCells>
  <hyperlinks>
    <hyperlink ref="K1" location="ÍNDICE!A1" tooltip="Ir a ÍNDICE" display="ÍNDICE" xr:uid="{E2B65D59-4C4C-421C-A05C-774D511940CD}"/>
  </hyperlink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E70AE-6AA6-4544-9309-B6C09CDA61CC}">
  <dimension ref="B1:Q36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254" t="s">
        <v>113</v>
      </c>
      <c r="C5" s="254"/>
      <c r="D5" s="254"/>
      <c r="E5" s="254"/>
      <c r="F5" s="254"/>
      <c r="G5" s="254"/>
      <c r="H5" s="97"/>
      <c r="J5" s="155"/>
      <c r="K5" s="99" t="s">
        <v>21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114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13"/>
      <c r="C10" s="13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22" t="s">
        <v>6</v>
      </c>
      <c r="C11" s="14"/>
      <c r="D11" s="202">
        <v>940724.76979118201</v>
      </c>
      <c r="E11" s="203">
        <v>0</v>
      </c>
      <c r="F11" s="204"/>
      <c r="G11" s="202">
        <v>790274.85617909802</v>
      </c>
      <c r="H11" s="203">
        <v>0</v>
      </c>
      <c r="I11" s="205"/>
      <c r="J11" s="202">
        <v>719306.42915879702</v>
      </c>
      <c r="K11" s="203">
        <v>0</v>
      </c>
      <c r="L11" s="43"/>
    </row>
    <row r="12" spans="2:17" ht="6.95" customHeight="1">
      <c r="B12" s="122"/>
      <c r="C12" s="14"/>
      <c r="D12" s="208"/>
      <c r="E12" s="209"/>
      <c r="F12" s="204"/>
      <c r="G12" s="208"/>
      <c r="H12" s="209"/>
      <c r="I12" s="205"/>
      <c r="J12" s="208"/>
      <c r="K12" s="209"/>
      <c r="L12" s="43"/>
    </row>
    <row r="13" spans="2:17" s="43" customFormat="1" ht="30" customHeight="1">
      <c r="B13" s="171" t="s">
        <v>86</v>
      </c>
      <c r="C13" s="109"/>
      <c r="D13" s="202"/>
      <c r="E13" s="203"/>
      <c r="F13" s="204"/>
      <c r="G13" s="202"/>
      <c r="H13" s="203"/>
      <c r="I13" s="205"/>
      <c r="J13" s="202"/>
      <c r="K13" s="203"/>
    </row>
    <row r="14" spans="2:17" s="43" customFormat="1" ht="6.95" customHeight="1">
      <c r="B14" s="171"/>
      <c r="C14" s="109"/>
      <c r="D14" s="208"/>
      <c r="E14" s="209"/>
      <c r="F14" s="210"/>
      <c r="G14" s="208"/>
      <c r="H14" s="209"/>
      <c r="I14" s="206"/>
      <c r="J14" s="208"/>
      <c r="K14" s="209"/>
    </row>
    <row r="15" spans="2:17" ht="15" customHeight="1">
      <c r="B15" s="115" t="s">
        <v>34</v>
      </c>
      <c r="C15" s="15"/>
      <c r="D15" s="208">
        <v>902164.25104766502</v>
      </c>
      <c r="E15" s="209">
        <v>0.37923713077369797</v>
      </c>
      <c r="F15" s="210"/>
      <c r="G15" s="208">
        <v>742414.251453946</v>
      </c>
      <c r="H15" s="209">
        <v>0.50105310838527795</v>
      </c>
      <c r="I15" s="206"/>
      <c r="J15" s="208">
        <v>699956.59810372104</v>
      </c>
      <c r="K15" s="209">
        <v>0.48774352561587903</v>
      </c>
      <c r="L15" s="43"/>
    </row>
    <row r="16" spans="2:17" ht="15" customHeight="1">
      <c r="B16" s="115" t="s">
        <v>35</v>
      </c>
      <c r="C16" s="15"/>
      <c r="D16" s="208">
        <v>240011.923620599</v>
      </c>
      <c r="E16" s="209">
        <v>0.26975032744736899</v>
      </c>
      <c r="F16" s="210"/>
      <c r="G16" s="208">
        <v>175985.25718252501</v>
      </c>
      <c r="H16" s="209">
        <v>0.362814168162857</v>
      </c>
      <c r="I16" s="206"/>
      <c r="J16" s="208">
        <v>165217.29927077101</v>
      </c>
      <c r="K16" s="209">
        <v>0.40454490207120603</v>
      </c>
    </row>
    <row r="17" spans="2:11" ht="15" customHeight="1">
      <c r="B17" s="115" t="s">
        <v>65</v>
      </c>
      <c r="C17" s="15"/>
      <c r="D17" s="208">
        <v>241984.373600917</v>
      </c>
      <c r="E17" s="209">
        <v>0.27494429100446999</v>
      </c>
      <c r="F17" s="210"/>
      <c r="G17" s="208">
        <v>177190.40633945301</v>
      </c>
      <c r="H17" s="209">
        <v>0.37510452962709001</v>
      </c>
      <c r="I17" s="206"/>
      <c r="J17" s="208">
        <v>125576.64587571099</v>
      </c>
      <c r="K17" s="209">
        <v>0.31050789995416</v>
      </c>
    </row>
    <row r="18" spans="2:11" ht="6.95" customHeight="1">
      <c r="B18" s="115"/>
      <c r="C18" s="123"/>
      <c r="D18" s="206"/>
      <c r="E18" s="206"/>
      <c r="F18" s="218"/>
      <c r="G18" s="206"/>
      <c r="H18" s="206"/>
      <c r="I18" s="206"/>
      <c r="J18" s="206"/>
      <c r="K18" s="206"/>
    </row>
    <row r="19" spans="2:11" ht="15" customHeight="1">
      <c r="B19" s="175" t="s">
        <v>0</v>
      </c>
      <c r="C19" s="15"/>
      <c r="D19" s="202">
        <v>1202696.45731675</v>
      </c>
      <c r="E19" s="203">
        <v>0</v>
      </c>
      <c r="F19" s="204"/>
      <c r="G19" s="202">
        <v>732477.33212123101</v>
      </c>
      <c r="H19" s="203">
        <v>0</v>
      </c>
      <c r="I19" s="205"/>
      <c r="J19" s="202">
        <v>655788.85438650905</v>
      </c>
      <c r="K19" s="203">
        <v>0</v>
      </c>
    </row>
    <row r="20" spans="2:11" ht="6.95" customHeight="1">
      <c r="B20" s="122"/>
      <c r="C20" s="69"/>
      <c r="D20" s="208"/>
      <c r="E20" s="209"/>
      <c r="F20" s="204"/>
      <c r="G20" s="208"/>
      <c r="H20" s="209"/>
      <c r="I20" s="205"/>
      <c r="J20" s="208"/>
      <c r="K20" s="209"/>
    </row>
    <row r="21" spans="2:11" s="43" customFormat="1" ht="30" customHeight="1">
      <c r="B21" s="171" t="s">
        <v>86</v>
      </c>
      <c r="C21" s="109"/>
      <c r="D21" s="202"/>
      <c r="E21" s="203"/>
      <c r="F21" s="204"/>
      <c r="G21" s="202"/>
      <c r="H21" s="203"/>
      <c r="I21" s="205"/>
      <c r="J21" s="202"/>
      <c r="K21" s="203"/>
    </row>
    <row r="22" spans="2:11" s="43" customFormat="1" ht="6.95" customHeight="1">
      <c r="B22" s="171"/>
      <c r="C22" s="109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115" t="s">
        <v>34</v>
      </c>
      <c r="C23" s="15"/>
      <c r="D23" s="208">
        <v>1084764.72378225</v>
      </c>
      <c r="E23" s="209">
        <v>0.77374830434706199</v>
      </c>
      <c r="F23" s="210"/>
      <c r="G23" s="208">
        <v>650460.43420291401</v>
      </c>
      <c r="H23" s="209">
        <v>0.923925134651155</v>
      </c>
      <c r="I23" s="206"/>
      <c r="J23" s="208">
        <v>612955.04499684903</v>
      </c>
      <c r="K23" s="209">
        <v>0.96605486266640095</v>
      </c>
    </row>
    <row r="24" spans="2:11" ht="15" customHeight="1">
      <c r="B24" s="115" t="s">
        <v>35</v>
      </c>
      <c r="C24" s="15"/>
      <c r="D24" s="208">
        <v>148151.761771194</v>
      </c>
      <c r="E24" s="209">
        <v>0.44438017423794102</v>
      </c>
      <c r="F24" s="210"/>
      <c r="G24" s="208">
        <v>109269.688604789</v>
      </c>
      <c r="H24" s="209">
        <v>0.60691561490829304</v>
      </c>
      <c r="I24" s="206"/>
      <c r="J24" s="208">
        <v>100942.413770253</v>
      </c>
      <c r="K24" s="209">
        <v>0.70943205703546297</v>
      </c>
    </row>
    <row r="25" spans="2:11" ht="15" customHeight="1">
      <c r="B25" s="115" t="s">
        <v>65</v>
      </c>
      <c r="C25" s="15"/>
      <c r="D25" s="208">
        <v>211252.45023298601</v>
      </c>
      <c r="E25" s="209">
        <v>0.65830727166426395</v>
      </c>
      <c r="F25" s="210"/>
      <c r="G25" s="208">
        <v>142894.244626656</v>
      </c>
      <c r="H25" s="209">
        <v>0.81273448804736204</v>
      </c>
      <c r="I25" s="206"/>
      <c r="J25" s="208">
        <v>105666.89625296299</v>
      </c>
      <c r="K25" s="209">
        <v>0.76307246868008705</v>
      </c>
    </row>
    <row r="26" spans="2:11" ht="6.95" customHeight="1">
      <c r="B26" s="123"/>
      <c r="C26" s="123"/>
      <c r="D26" s="206"/>
      <c r="E26" s="206"/>
      <c r="F26" s="218"/>
      <c r="G26" s="206"/>
      <c r="H26" s="206"/>
      <c r="I26" s="206"/>
      <c r="J26" s="206"/>
      <c r="K26" s="206"/>
    </row>
    <row r="27" spans="2:11" ht="15" customHeight="1">
      <c r="B27" s="173" t="s">
        <v>1</v>
      </c>
      <c r="C27" s="15"/>
      <c r="D27" s="202">
        <v>1215345.35573305</v>
      </c>
      <c r="E27" s="203">
        <v>0</v>
      </c>
      <c r="F27" s="204"/>
      <c r="G27" s="202">
        <v>853166.62916364695</v>
      </c>
      <c r="H27" s="203">
        <v>0</v>
      </c>
      <c r="I27" s="205"/>
      <c r="J27" s="202">
        <v>704303.09797417896</v>
      </c>
      <c r="K27" s="203">
        <v>0</v>
      </c>
    </row>
    <row r="28" spans="2:11" ht="6.95" customHeight="1">
      <c r="B28" s="122"/>
      <c r="C28" s="69"/>
      <c r="D28" s="208"/>
      <c r="E28" s="209"/>
      <c r="F28" s="204"/>
      <c r="G28" s="208"/>
      <c r="H28" s="209"/>
      <c r="I28" s="205"/>
      <c r="J28" s="208"/>
      <c r="K28" s="209"/>
    </row>
    <row r="29" spans="2:11" s="43" customFormat="1" ht="30" customHeight="1">
      <c r="B29" s="171" t="s">
        <v>86</v>
      </c>
      <c r="C29" s="109"/>
      <c r="D29" s="202"/>
      <c r="E29" s="203"/>
      <c r="F29" s="204"/>
      <c r="G29" s="202"/>
      <c r="H29" s="203"/>
      <c r="I29" s="205"/>
      <c r="J29" s="202"/>
      <c r="K29" s="203"/>
    </row>
    <row r="30" spans="2:11" s="43" customFormat="1" ht="6.95" customHeight="1">
      <c r="B30" s="171"/>
      <c r="C30" s="109"/>
      <c r="D30" s="208"/>
      <c r="E30" s="209"/>
      <c r="F30" s="210"/>
      <c r="G30" s="208"/>
      <c r="H30" s="209"/>
      <c r="I30" s="206"/>
      <c r="J30" s="208"/>
      <c r="K30" s="209"/>
    </row>
    <row r="31" spans="2:11" ht="15" customHeight="1">
      <c r="B31" s="115" t="s">
        <v>34</v>
      </c>
      <c r="C31" s="15"/>
      <c r="D31" s="208">
        <v>1154611.1769316799</v>
      </c>
      <c r="E31" s="209">
        <v>0.39301186511719399</v>
      </c>
      <c r="F31" s="210"/>
      <c r="G31" s="208">
        <v>817300.16857527697</v>
      </c>
      <c r="H31" s="209">
        <v>0.572425472425941</v>
      </c>
      <c r="I31" s="206"/>
      <c r="J31" s="208">
        <v>670760.83711158903</v>
      </c>
      <c r="K31" s="209">
        <v>0.53075577865520995</v>
      </c>
    </row>
    <row r="32" spans="2:11" ht="15" customHeight="1">
      <c r="B32" s="115" t="s">
        <v>35</v>
      </c>
      <c r="C32" s="15"/>
      <c r="D32" s="208">
        <v>196943.988901929</v>
      </c>
      <c r="E32" s="209">
        <v>0.33233754348325401</v>
      </c>
      <c r="F32" s="210"/>
      <c r="G32" s="208">
        <v>141146.49300377499</v>
      </c>
      <c r="H32" s="209">
        <v>0.45241502987460103</v>
      </c>
      <c r="I32" s="206"/>
      <c r="J32" s="208">
        <v>133449.15577550701</v>
      </c>
      <c r="K32" s="209">
        <v>0.48185457894936101</v>
      </c>
    </row>
    <row r="33" spans="2:11" ht="15" customHeight="1">
      <c r="B33" s="115" t="s">
        <v>65</v>
      </c>
      <c r="C33" s="15"/>
      <c r="D33" s="208">
        <v>130344.845938529</v>
      </c>
      <c r="E33" s="209">
        <v>0.22538582884472899</v>
      </c>
      <c r="F33" s="210"/>
      <c r="G33" s="208">
        <v>110150.385314721</v>
      </c>
      <c r="H33" s="209">
        <v>0.36119607060034398</v>
      </c>
      <c r="I33" s="206"/>
      <c r="J33" s="208">
        <v>69638.0037131969</v>
      </c>
      <c r="K33" s="209">
        <v>0.25863998005987698</v>
      </c>
    </row>
    <row r="34" spans="2:11" ht="6.95" customHeight="1">
      <c r="B34" s="16"/>
      <c r="C34" s="16"/>
      <c r="D34" s="153"/>
      <c r="E34" s="42"/>
      <c r="F34" s="17"/>
      <c r="G34" s="153"/>
      <c r="H34" s="42"/>
      <c r="I34" s="42"/>
      <c r="J34" s="153"/>
      <c r="K34" s="42"/>
    </row>
    <row r="35" spans="2:11" ht="6.95" customHeight="1">
      <c r="B35" s="13"/>
      <c r="C35" s="13"/>
      <c r="E35" s="59"/>
      <c r="F35" s="59"/>
    </row>
    <row r="36" spans="2:11" ht="12" customHeight="1">
      <c r="B36" s="247" t="s">
        <v>77</v>
      </c>
      <c r="C36" s="247"/>
      <c r="D36" s="247"/>
      <c r="E36" s="247"/>
      <c r="F36" s="247"/>
      <c r="G36" s="247"/>
    </row>
  </sheetData>
  <mergeCells count="7">
    <mergeCell ref="B36:G36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EDD0CF91-39BD-47D8-A45D-213E5B2EF3B8}"/>
  </hyperlink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5463-29DD-451F-917D-C55889DF78E6}">
  <dimension ref="B1:Q5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5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3" t="s">
        <v>9</v>
      </c>
      <c r="C5" s="101"/>
      <c r="D5" s="151"/>
      <c r="E5" s="102"/>
      <c r="F5" s="102"/>
      <c r="G5" s="151"/>
      <c r="H5" s="97"/>
      <c r="J5" s="155"/>
      <c r="K5" s="99" t="s">
        <v>22</v>
      </c>
    </row>
    <row r="6" spans="2:17" s="98" customFormat="1" ht="6.95" customHeight="1">
      <c r="D6" s="162"/>
      <c r="E6" s="100"/>
      <c r="F6" s="100"/>
      <c r="G6" s="162"/>
      <c r="H6" s="100"/>
      <c r="J6" s="155"/>
    </row>
    <row r="7" spans="2:17" ht="15" customHeight="1">
      <c r="B7" s="248" t="s">
        <v>95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13"/>
      <c r="C10" s="13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8" t="s">
        <v>6</v>
      </c>
      <c r="C11" s="19"/>
      <c r="D11" s="202">
        <v>940724.76979118201</v>
      </c>
      <c r="E11" s="203">
        <v>0</v>
      </c>
      <c r="F11" s="204"/>
      <c r="G11" s="202">
        <v>790274.85617909802</v>
      </c>
      <c r="H11" s="203">
        <v>0</v>
      </c>
      <c r="I11" s="205"/>
      <c r="J11" s="202">
        <v>719306.42915879702</v>
      </c>
      <c r="K11" s="203">
        <v>0</v>
      </c>
    </row>
    <row r="12" spans="2:17" ht="6.95" customHeight="1">
      <c r="B12" s="18"/>
      <c r="C12" s="19"/>
      <c r="D12" s="208"/>
      <c r="E12" s="209"/>
      <c r="F12" s="204"/>
      <c r="G12" s="208"/>
      <c r="H12" s="209"/>
      <c r="I12" s="205"/>
      <c r="J12" s="208"/>
      <c r="K12" s="209"/>
    </row>
    <row r="13" spans="2:17" ht="30" customHeight="1">
      <c r="B13" s="171" t="s">
        <v>10</v>
      </c>
      <c r="C13" s="22"/>
      <c r="D13" s="202"/>
      <c r="E13" s="203"/>
      <c r="F13" s="204"/>
      <c r="G13" s="202"/>
      <c r="H13" s="203"/>
      <c r="I13" s="205"/>
      <c r="J13" s="202"/>
      <c r="K13" s="203"/>
    </row>
    <row r="14" spans="2:17" ht="6.95" customHeight="1">
      <c r="B14" s="171"/>
      <c r="C14" s="22"/>
      <c r="D14" s="208"/>
      <c r="E14" s="209"/>
      <c r="F14" s="210"/>
      <c r="G14" s="208"/>
      <c r="H14" s="209"/>
      <c r="I14" s="206"/>
      <c r="J14" s="208"/>
      <c r="K14" s="209"/>
    </row>
    <row r="15" spans="2:17" ht="15" customHeight="1">
      <c r="B15" s="115" t="s">
        <v>34</v>
      </c>
      <c r="C15" s="20"/>
      <c r="D15" s="208">
        <v>906388.58389890601</v>
      </c>
      <c r="E15" s="209">
        <v>0.63702223783442402</v>
      </c>
      <c r="F15" s="210"/>
      <c r="G15" s="208">
        <v>731087.233943725</v>
      </c>
      <c r="H15" s="209">
        <v>0.80537218168996805</v>
      </c>
      <c r="I15" s="206"/>
      <c r="J15" s="208">
        <v>676930.54156495701</v>
      </c>
      <c r="K15" s="209">
        <v>0.858122563132242</v>
      </c>
    </row>
    <row r="16" spans="2:17" ht="15" customHeight="1">
      <c r="B16" s="115" t="s">
        <v>35</v>
      </c>
      <c r="C16" s="20"/>
      <c r="D16" s="208">
        <v>544461.92656644701</v>
      </c>
      <c r="E16" s="209">
        <v>0.58219904382097198</v>
      </c>
      <c r="F16" s="210"/>
      <c r="G16" s="208">
        <v>362168.29689227301</v>
      </c>
      <c r="H16" s="209">
        <v>0.71316537788836598</v>
      </c>
      <c r="I16" s="206"/>
      <c r="J16" s="208">
        <v>349966.907535162</v>
      </c>
      <c r="K16" s="209">
        <v>0.82137882546805197</v>
      </c>
    </row>
    <row r="17" spans="2:11" ht="15" customHeight="1">
      <c r="B17" s="115" t="s">
        <v>65</v>
      </c>
      <c r="C17" s="20"/>
      <c r="D17" s="208">
        <v>209454.214569743</v>
      </c>
      <c r="E17" s="209">
        <v>0.241697277458503</v>
      </c>
      <c r="F17" s="210"/>
      <c r="G17" s="208">
        <v>162103.12162779999</v>
      </c>
      <c r="H17" s="209">
        <v>0.34771404826586899</v>
      </c>
      <c r="I17" s="206"/>
      <c r="J17" s="208">
        <v>111726.92151821</v>
      </c>
      <c r="K17" s="209">
        <v>0.27569849057738599</v>
      </c>
    </row>
    <row r="18" spans="2:11" ht="6.95" customHeight="1">
      <c r="B18" s="124"/>
      <c r="C18" s="24"/>
      <c r="D18" s="217"/>
      <c r="E18" s="217"/>
      <c r="F18" s="219"/>
      <c r="G18" s="217"/>
      <c r="H18" s="217"/>
      <c r="I18" s="217"/>
      <c r="J18" s="217"/>
      <c r="K18" s="217"/>
    </row>
    <row r="19" spans="2:11" ht="15" customHeight="1">
      <c r="B19" s="174" t="s">
        <v>0</v>
      </c>
      <c r="C19" s="20"/>
      <c r="D19" s="202">
        <v>1202696.45731675</v>
      </c>
      <c r="E19" s="203">
        <v>0</v>
      </c>
      <c r="F19" s="204"/>
      <c r="G19" s="202">
        <v>732477.33212123101</v>
      </c>
      <c r="H19" s="203">
        <v>0</v>
      </c>
      <c r="I19" s="205"/>
      <c r="J19" s="202">
        <v>655788.85438650905</v>
      </c>
      <c r="K19" s="203">
        <v>0</v>
      </c>
    </row>
    <row r="20" spans="2:11" ht="6.95" customHeight="1">
      <c r="B20" s="18"/>
      <c r="C20" s="70"/>
      <c r="D20" s="208"/>
      <c r="E20" s="209"/>
      <c r="F20" s="204"/>
      <c r="G20" s="208"/>
      <c r="H20" s="209"/>
      <c r="I20" s="205"/>
      <c r="J20" s="208"/>
      <c r="K20" s="209"/>
    </row>
    <row r="21" spans="2:11" ht="30" customHeight="1">
      <c r="B21" s="171" t="s">
        <v>10</v>
      </c>
      <c r="C21" s="22"/>
      <c r="D21" s="202"/>
      <c r="E21" s="203"/>
      <c r="F21" s="204"/>
      <c r="G21" s="202"/>
      <c r="H21" s="203"/>
      <c r="I21" s="205"/>
      <c r="J21" s="202"/>
      <c r="K21" s="203"/>
    </row>
    <row r="22" spans="2:11" ht="6.95" customHeight="1">
      <c r="B22" s="171"/>
      <c r="C22" s="22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115" t="s">
        <v>34</v>
      </c>
      <c r="C23" s="20"/>
      <c r="D23" s="208">
        <v>956927.56275513</v>
      </c>
      <c r="E23" s="209">
        <v>1.1633890604939101</v>
      </c>
      <c r="F23" s="210"/>
      <c r="G23" s="208">
        <v>596094.13572717702</v>
      </c>
      <c r="H23" s="209">
        <v>1.52347749424891</v>
      </c>
      <c r="I23" s="206"/>
      <c r="J23" s="208">
        <v>555570.99569773197</v>
      </c>
      <c r="K23" s="209">
        <v>1.6406917534507099</v>
      </c>
    </row>
    <row r="24" spans="2:11" ht="15" customHeight="1">
      <c r="B24" s="115" t="s">
        <v>35</v>
      </c>
      <c r="C24" s="20"/>
      <c r="D24" s="208">
        <v>411604.88220130099</v>
      </c>
      <c r="E24" s="209">
        <v>1.03097142643005</v>
      </c>
      <c r="F24" s="210"/>
      <c r="G24" s="208">
        <v>266989.47360229801</v>
      </c>
      <c r="H24" s="209">
        <v>1.3052180182783599</v>
      </c>
      <c r="I24" s="206"/>
      <c r="J24" s="208">
        <v>239012.07756563401</v>
      </c>
      <c r="K24" s="209">
        <v>1.5396332312323999</v>
      </c>
    </row>
    <row r="25" spans="2:11" ht="15" customHeight="1">
      <c r="B25" s="115" t="s">
        <v>65</v>
      </c>
      <c r="C25" s="20"/>
      <c r="D25" s="208">
        <v>171595.002334385</v>
      </c>
      <c r="E25" s="209">
        <v>0.56389907264197503</v>
      </c>
      <c r="F25" s="210"/>
      <c r="G25" s="208">
        <v>123629.53020237399</v>
      </c>
      <c r="H25" s="209">
        <v>0.735419859200238</v>
      </c>
      <c r="I25" s="206"/>
      <c r="J25" s="208">
        <v>87285.873717688795</v>
      </c>
      <c r="K25" s="209">
        <v>0.62163835655934496</v>
      </c>
    </row>
    <row r="26" spans="2:11" ht="6.95" customHeight="1">
      <c r="B26" s="115"/>
      <c r="C26" s="22"/>
      <c r="D26" s="217"/>
      <c r="E26" s="217"/>
      <c r="F26" s="219"/>
      <c r="G26" s="217"/>
      <c r="H26" s="217"/>
      <c r="I26" s="217"/>
      <c r="J26" s="217"/>
      <c r="K26" s="217"/>
    </row>
    <row r="27" spans="2:11" ht="15" customHeight="1">
      <c r="B27" s="174" t="s">
        <v>1</v>
      </c>
      <c r="C27" s="20"/>
      <c r="D27" s="202">
        <v>1215345.35573305</v>
      </c>
      <c r="E27" s="203">
        <v>0</v>
      </c>
      <c r="F27" s="204"/>
      <c r="G27" s="202">
        <v>853166.62916364695</v>
      </c>
      <c r="H27" s="203">
        <v>0</v>
      </c>
      <c r="I27" s="205"/>
      <c r="J27" s="202">
        <v>704303.09797417896</v>
      </c>
      <c r="K27" s="203">
        <v>0</v>
      </c>
    </row>
    <row r="28" spans="2:11" ht="6.95" customHeight="1">
      <c r="B28" s="18"/>
      <c r="C28" s="70"/>
      <c r="D28" s="208"/>
      <c r="E28" s="209"/>
      <c r="F28" s="204"/>
      <c r="G28" s="208"/>
      <c r="H28" s="209"/>
      <c r="I28" s="205"/>
      <c r="J28" s="208"/>
      <c r="K28" s="209"/>
    </row>
    <row r="29" spans="2:11" s="71" customFormat="1" ht="30" customHeight="1">
      <c r="B29" s="171" t="s">
        <v>10</v>
      </c>
      <c r="C29" s="72"/>
      <c r="D29" s="202"/>
      <c r="E29" s="203"/>
      <c r="F29" s="204"/>
      <c r="G29" s="202"/>
      <c r="H29" s="203"/>
      <c r="I29" s="205"/>
      <c r="J29" s="202"/>
      <c r="K29" s="203"/>
    </row>
    <row r="30" spans="2:11" s="71" customFormat="1" ht="6.95" customHeight="1">
      <c r="B30" s="171"/>
      <c r="C30" s="72"/>
      <c r="D30" s="208"/>
      <c r="E30" s="209"/>
      <c r="F30" s="210"/>
      <c r="G30" s="208"/>
      <c r="H30" s="209"/>
      <c r="I30" s="206"/>
      <c r="J30" s="208"/>
      <c r="K30" s="209"/>
    </row>
    <row r="31" spans="2:11" ht="15" customHeight="1">
      <c r="B31" s="115" t="s">
        <v>34</v>
      </c>
      <c r="C31" s="20"/>
      <c r="D31" s="208">
        <v>1059578.46939952</v>
      </c>
      <c r="E31" s="209">
        <v>0.73577574907450805</v>
      </c>
      <c r="F31" s="210"/>
      <c r="G31" s="208">
        <v>752323.17979743495</v>
      </c>
      <c r="H31" s="209">
        <v>0.89479526697969403</v>
      </c>
      <c r="I31" s="206"/>
      <c r="J31" s="208">
        <v>623945.34429200494</v>
      </c>
      <c r="K31" s="209">
        <v>0.99765195037333698</v>
      </c>
    </row>
    <row r="32" spans="2:11" ht="15" customHeight="1">
      <c r="B32" s="115" t="s">
        <v>35</v>
      </c>
      <c r="C32" s="20"/>
      <c r="D32" s="208">
        <v>448802.72259243502</v>
      </c>
      <c r="E32" s="209">
        <v>0.69248131614777997</v>
      </c>
      <c r="F32" s="210"/>
      <c r="G32" s="208">
        <v>280857.41708247602</v>
      </c>
      <c r="H32" s="209">
        <v>0.81853513879422202</v>
      </c>
      <c r="I32" s="206"/>
      <c r="J32" s="208">
        <v>288739.09248731198</v>
      </c>
      <c r="K32" s="209">
        <v>0.96855214594192296</v>
      </c>
    </row>
    <row r="33" spans="2:11" ht="15" customHeight="1">
      <c r="B33" s="115" t="s">
        <v>65</v>
      </c>
      <c r="C33" s="20"/>
      <c r="D33" s="208">
        <v>126977.527902092</v>
      </c>
      <c r="E33" s="209">
        <v>0.219736151777816</v>
      </c>
      <c r="F33" s="210"/>
      <c r="G33" s="208">
        <v>108432.54957826099</v>
      </c>
      <c r="H33" s="209">
        <v>0.35598357507338901</v>
      </c>
      <c r="I33" s="206"/>
      <c r="J33" s="208">
        <v>70212.469272031201</v>
      </c>
      <c r="K33" s="209">
        <v>0.26195464192002199</v>
      </c>
    </row>
    <row r="34" spans="2:11" ht="6.95" customHeight="1">
      <c r="B34" s="176"/>
      <c r="C34" s="16"/>
      <c r="D34" s="153"/>
      <c r="E34" s="42"/>
      <c r="F34" s="17"/>
      <c r="G34" s="153"/>
      <c r="H34" s="42"/>
      <c r="I34" s="42"/>
      <c r="J34" s="153"/>
      <c r="K34" s="42"/>
    </row>
    <row r="35" spans="2:11" ht="6.95" customHeight="1">
      <c r="B35" s="13"/>
      <c r="C35" s="13"/>
      <c r="E35" s="59"/>
      <c r="F35" s="59"/>
    </row>
    <row r="36" spans="2:11" ht="12" customHeight="1">
      <c r="B36" s="247" t="s">
        <v>77</v>
      </c>
      <c r="C36" s="247"/>
      <c r="D36" s="247"/>
      <c r="E36" s="247"/>
      <c r="F36" s="247"/>
      <c r="G36" s="247"/>
    </row>
    <row r="37" spans="2:11" ht="15" customHeight="1"/>
    <row r="52" ht="6.95" customHeight="1"/>
  </sheetData>
  <mergeCells count="6">
    <mergeCell ref="B36:G36"/>
    <mergeCell ref="B7:B9"/>
    <mergeCell ref="D7:E8"/>
    <mergeCell ref="G7:K7"/>
    <mergeCell ref="G8:H8"/>
    <mergeCell ref="J8:K8"/>
  </mergeCells>
  <hyperlinks>
    <hyperlink ref="K1" location="ÍNDICE!A1" tooltip="Ir a ÍNDICE" display="ÍNDICE" xr:uid="{B1B02100-0A08-445E-B523-E40A8F3E49B5}"/>
  </hyperlink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210A-9EF3-43C9-A82F-419CF7FC7019}">
  <dimension ref="B1:Q5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3" t="s">
        <v>115</v>
      </c>
      <c r="C5" s="101"/>
      <c r="D5" s="151"/>
      <c r="E5" s="102"/>
      <c r="F5" s="102"/>
      <c r="G5" s="151"/>
      <c r="H5" s="97"/>
      <c r="J5" s="155"/>
      <c r="K5" s="99" t="s">
        <v>23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96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13"/>
      <c r="C10" s="13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8" t="s">
        <v>6</v>
      </c>
      <c r="C11" s="25"/>
      <c r="D11" s="202">
        <v>940724.76979118201</v>
      </c>
      <c r="E11" s="203">
        <v>0</v>
      </c>
      <c r="F11" s="204"/>
      <c r="G11" s="202">
        <v>790274.85617909802</v>
      </c>
      <c r="H11" s="203">
        <v>0</v>
      </c>
      <c r="I11" s="205"/>
      <c r="J11" s="202">
        <v>719306.42915879702</v>
      </c>
      <c r="K11" s="203">
        <v>0</v>
      </c>
    </row>
    <row r="12" spans="2:17" ht="6.95" customHeight="1">
      <c r="B12" s="18"/>
      <c r="C12" s="25"/>
      <c r="D12" s="208"/>
      <c r="E12" s="209"/>
      <c r="F12" s="204"/>
      <c r="G12" s="208"/>
      <c r="H12" s="209"/>
      <c r="I12" s="205"/>
      <c r="J12" s="208"/>
      <c r="K12" s="209"/>
    </row>
    <row r="13" spans="2:17" ht="30" customHeight="1">
      <c r="B13" s="171" t="s">
        <v>87</v>
      </c>
      <c r="C13" s="21"/>
      <c r="D13" s="202"/>
      <c r="E13" s="203"/>
      <c r="F13" s="204"/>
      <c r="G13" s="202"/>
      <c r="H13" s="203"/>
      <c r="I13" s="205"/>
      <c r="J13" s="202"/>
      <c r="K13" s="203"/>
    </row>
    <row r="14" spans="2:17" ht="6.95" customHeight="1">
      <c r="B14" s="171"/>
      <c r="C14" s="21"/>
      <c r="D14" s="208"/>
      <c r="E14" s="209"/>
      <c r="F14" s="210"/>
      <c r="G14" s="208"/>
      <c r="H14" s="209"/>
      <c r="I14" s="206"/>
      <c r="J14" s="208"/>
      <c r="K14" s="209"/>
    </row>
    <row r="15" spans="2:17" ht="15" customHeight="1">
      <c r="B15" s="115" t="s">
        <v>34</v>
      </c>
      <c r="C15" s="27"/>
      <c r="D15" s="208">
        <v>876063.86075169605</v>
      </c>
      <c r="E15" s="209">
        <v>0.63140697325548001</v>
      </c>
      <c r="F15" s="210"/>
      <c r="G15" s="208">
        <v>673174.53672065504</v>
      </c>
      <c r="H15" s="209">
        <v>0.87227882260019496</v>
      </c>
      <c r="I15" s="206"/>
      <c r="J15" s="208">
        <v>631608.390800772</v>
      </c>
      <c r="K15" s="209">
        <v>0.93053732852478799</v>
      </c>
    </row>
    <row r="16" spans="2:17" ht="15" customHeight="1">
      <c r="B16" s="115" t="s">
        <v>35</v>
      </c>
      <c r="C16" s="26"/>
      <c r="D16" s="208">
        <v>576783.774304708</v>
      </c>
      <c r="E16" s="209">
        <v>0.60882201037276695</v>
      </c>
      <c r="F16" s="210"/>
      <c r="G16" s="208">
        <v>452877.40911447897</v>
      </c>
      <c r="H16" s="209">
        <v>0.84313790376803799</v>
      </c>
      <c r="I16" s="206"/>
      <c r="J16" s="208">
        <v>388655.36359508103</v>
      </c>
      <c r="K16" s="209">
        <v>0.86369881251710601</v>
      </c>
    </row>
    <row r="17" spans="2:11" ht="15" customHeight="1">
      <c r="B17" s="115" t="s">
        <v>65</v>
      </c>
      <c r="C17" s="26"/>
      <c r="D17" s="208">
        <v>246394.80132981599</v>
      </c>
      <c r="E17" s="209">
        <v>0.28369639334081898</v>
      </c>
      <c r="F17" s="210"/>
      <c r="G17" s="208">
        <v>162746.64101276701</v>
      </c>
      <c r="H17" s="209">
        <v>0.34589190903561901</v>
      </c>
      <c r="I17" s="206"/>
      <c r="J17" s="208">
        <v>186734.065399524</v>
      </c>
      <c r="K17" s="209">
        <v>0.457985686039795</v>
      </c>
    </row>
    <row r="18" spans="2:11" ht="6.95" customHeight="1">
      <c r="B18" s="23"/>
      <c r="C18" s="23"/>
      <c r="D18" s="206"/>
      <c r="E18" s="206"/>
      <c r="F18" s="220"/>
      <c r="G18" s="206"/>
      <c r="H18" s="206"/>
      <c r="I18" s="206"/>
      <c r="J18" s="217"/>
      <c r="K18" s="217"/>
    </row>
    <row r="19" spans="2:11" ht="15" customHeight="1">
      <c r="B19" s="174" t="s">
        <v>0</v>
      </c>
      <c r="C19" s="26"/>
      <c r="D19" s="202">
        <v>1202696.45731675</v>
      </c>
      <c r="E19" s="203">
        <v>0</v>
      </c>
      <c r="F19" s="204"/>
      <c r="G19" s="202">
        <v>732477.33212123101</v>
      </c>
      <c r="H19" s="203">
        <v>0</v>
      </c>
      <c r="I19" s="205"/>
      <c r="J19" s="202">
        <v>655788.85438650905</v>
      </c>
      <c r="K19" s="203">
        <v>0</v>
      </c>
    </row>
    <row r="20" spans="2:11" ht="6.95" customHeight="1">
      <c r="B20" s="23"/>
      <c r="C20" s="23"/>
      <c r="D20" s="208"/>
      <c r="E20" s="209"/>
      <c r="F20" s="204"/>
      <c r="G20" s="208"/>
      <c r="H20" s="209"/>
      <c r="I20" s="205"/>
      <c r="J20" s="208"/>
      <c r="K20" s="209"/>
    </row>
    <row r="21" spans="2:11" ht="30" customHeight="1">
      <c r="B21" s="171" t="s">
        <v>63</v>
      </c>
      <c r="C21" s="21"/>
      <c r="D21" s="202"/>
      <c r="E21" s="203"/>
      <c r="F21" s="204"/>
      <c r="G21" s="202"/>
      <c r="H21" s="203"/>
      <c r="I21" s="205"/>
      <c r="J21" s="202"/>
      <c r="K21" s="203"/>
    </row>
    <row r="22" spans="2:11" ht="6.95" customHeight="1">
      <c r="B22" s="171"/>
      <c r="C22" s="21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115" t="s">
        <v>34</v>
      </c>
      <c r="C23" s="26"/>
      <c r="D23" s="208">
        <v>880162.21927681402</v>
      </c>
      <c r="E23" s="209">
        <v>1.19920604096704</v>
      </c>
      <c r="F23" s="210"/>
      <c r="G23" s="208">
        <v>554838.311168632</v>
      </c>
      <c r="H23" s="209">
        <v>1.5647168426721201</v>
      </c>
      <c r="I23" s="206"/>
      <c r="J23" s="208">
        <v>493284.40770836198</v>
      </c>
      <c r="K23" s="209">
        <v>1.62850262897991</v>
      </c>
    </row>
    <row r="24" spans="2:11" ht="15" customHeight="1">
      <c r="B24" s="115" t="s">
        <v>35</v>
      </c>
      <c r="C24" s="26"/>
      <c r="D24" s="208">
        <v>481008.59590188903</v>
      </c>
      <c r="E24" s="209">
        <v>1.1180081459387801</v>
      </c>
      <c r="F24" s="210"/>
      <c r="G24" s="208">
        <v>331171.90355574997</v>
      </c>
      <c r="H24" s="209">
        <v>1.48283277936388</v>
      </c>
      <c r="I24" s="206"/>
      <c r="J24" s="208">
        <v>262397.92126565101</v>
      </c>
      <c r="K24" s="209">
        <v>1.5416411061272599</v>
      </c>
    </row>
    <row r="25" spans="2:11" ht="15" customHeight="1">
      <c r="B25" s="115" t="s">
        <v>65</v>
      </c>
      <c r="C25" s="26"/>
      <c r="D25" s="208">
        <v>174189.700785414</v>
      </c>
      <c r="E25" s="209">
        <v>0.55946642191333495</v>
      </c>
      <c r="F25" s="210"/>
      <c r="G25" s="208">
        <v>108909.933824479</v>
      </c>
      <c r="H25" s="209">
        <v>0.677689911170269</v>
      </c>
      <c r="I25" s="206"/>
      <c r="J25" s="208">
        <v>123672.45275796999</v>
      </c>
      <c r="K25" s="209">
        <v>0.82143104222904995</v>
      </c>
    </row>
    <row r="26" spans="2:11" ht="6.95" customHeight="1">
      <c r="B26" s="21"/>
      <c r="C26" s="21"/>
      <c r="D26" s="206"/>
      <c r="E26" s="206"/>
      <c r="F26" s="220"/>
      <c r="G26" s="206"/>
      <c r="H26" s="206"/>
      <c r="I26" s="206"/>
      <c r="J26" s="217"/>
      <c r="K26" s="217"/>
    </row>
    <row r="27" spans="2:11" ht="15" customHeight="1">
      <c r="B27" s="174" t="s">
        <v>1</v>
      </c>
      <c r="C27" s="26"/>
      <c r="D27" s="202">
        <v>1215345.35573305</v>
      </c>
      <c r="E27" s="203">
        <v>0</v>
      </c>
      <c r="F27" s="204"/>
      <c r="G27" s="202">
        <v>853166.62916364695</v>
      </c>
      <c r="H27" s="203">
        <v>0</v>
      </c>
      <c r="I27" s="205"/>
      <c r="J27" s="202">
        <v>704303.09797417896</v>
      </c>
      <c r="K27" s="203">
        <v>0</v>
      </c>
    </row>
    <row r="28" spans="2:11" ht="6.95" customHeight="1">
      <c r="B28" s="18"/>
      <c r="C28" s="73"/>
      <c r="D28" s="208"/>
      <c r="E28" s="209"/>
      <c r="F28" s="204"/>
      <c r="G28" s="208"/>
      <c r="H28" s="209"/>
      <c r="I28" s="205"/>
      <c r="J28" s="208"/>
      <c r="K28" s="209"/>
    </row>
    <row r="29" spans="2:11" ht="30" customHeight="1">
      <c r="B29" s="171" t="s">
        <v>63</v>
      </c>
      <c r="C29" s="21"/>
      <c r="D29" s="202"/>
      <c r="E29" s="203"/>
      <c r="F29" s="204"/>
      <c r="G29" s="202"/>
      <c r="H29" s="203"/>
      <c r="I29" s="205"/>
      <c r="J29" s="202"/>
      <c r="K29" s="203"/>
    </row>
    <row r="30" spans="2:11" ht="6.95" customHeight="1">
      <c r="B30" s="140"/>
      <c r="C30" s="21"/>
      <c r="D30" s="208"/>
      <c r="E30" s="209"/>
      <c r="F30" s="210"/>
      <c r="G30" s="208"/>
      <c r="H30" s="209"/>
      <c r="I30" s="206"/>
      <c r="J30" s="208"/>
      <c r="K30" s="209"/>
    </row>
    <row r="31" spans="2:11" s="74" customFormat="1" ht="15" customHeight="1">
      <c r="B31" s="115" t="s">
        <v>34</v>
      </c>
      <c r="C31" s="75"/>
      <c r="D31" s="208">
        <v>984254.49464956101</v>
      </c>
      <c r="E31" s="209">
        <v>0.71424455882654303</v>
      </c>
      <c r="F31" s="210"/>
      <c r="G31" s="208">
        <v>664640.44888293894</v>
      </c>
      <c r="H31" s="209">
        <v>1.0558043083683799</v>
      </c>
      <c r="I31" s="206"/>
      <c r="J31" s="208">
        <v>600898.66646215902</v>
      </c>
      <c r="K31" s="209">
        <v>1.1305952097162</v>
      </c>
    </row>
    <row r="32" spans="2:11" s="74" customFormat="1" ht="15" customHeight="1">
      <c r="B32" s="115" t="s">
        <v>35</v>
      </c>
      <c r="C32" s="75"/>
      <c r="D32" s="208">
        <v>490782.41114327201</v>
      </c>
      <c r="E32" s="209">
        <v>0.69617480595216297</v>
      </c>
      <c r="F32" s="210"/>
      <c r="G32" s="208">
        <v>393340.268565854</v>
      </c>
      <c r="H32" s="209">
        <v>1.02881375787309</v>
      </c>
      <c r="I32" s="206"/>
      <c r="J32" s="208">
        <v>327110.74375360599</v>
      </c>
      <c r="K32" s="209">
        <v>1.0603210478029499</v>
      </c>
    </row>
    <row r="33" spans="2:11" s="74" customFormat="1" ht="15" customHeight="1">
      <c r="B33" s="115" t="s">
        <v>65</v>
      </c>
      <c r="C33" s="75"/>
      <c r="D33" s="208">
        <v>177359.74027333301</v>
      </c>
      <c r="E33" s="209">
        <v>0.30917533345174802</v>
      </c>
      <c r="F33" s="210"/>
      <c r="G33" s="208">
        <v>121620.635453115</v>
      </c>
      <c r="H33" s="209">
        <v>0.394420260293672</v>
      </c>
      <c r="I33" s="206"/>
      <c r="J33" s="208">
        <v>140669.84466007201</v>
      </c>
      <c r="K33" s="209">
        <v>0.52524180786901498</v>
      </c>
    </row>
    <row r="34" spans="2:11" ht="6.95" customHeight="1">
      <c r="B34" s="176"/>
      <c r="C34" s="16"/>
      <c r="D34" s="153"/>
      <c r="E34" s="42"/>
      <c r="F34" s="17"/>
      <c r="G34" s="153"/>
      <c r="H34" s="42"/>
      <c r="I34" s="42"/>
      <c r="J34" s="153"/>
      <c r="K34" s="42"/>
    </row>
    <row r="35" spans="2:11" ht="6.95" customHeight="1">
      <c r="B35" s="115"/>
      <c r="C35" s="13"/>
      <c r="E35" s="59"/>
      <c r="F35" s="59"/>
    </row>
    <row r="36" spans="2:11" ht="12" customHeight="1">
      <c r="B36" s="247" t="s">
        <v>77</v>
      </c>
      <c r="C36" s="247"/>
      <c r="D36" s="247"/>
      <c r="E36" s="247"/>
      <c r="F36" s="247"/>
      <c r="G36" s="247"/>
    </row>
    <row r="52" ht="6.95" customHeight="1"/>
  </sheetData>
  <mergeCells count="6">
    <mergeCell ref="B36:G36"/>
    <mergeCell ref="B7:B9"/>
    <mergeCell ref="D7:E8"/>
    <mergeCell ref="G7:K7"/>
    <mergeCell ref="G8:H8"/>
    <mergeCell ref="J8:K8"/>
  </mergeCells>
  <hyperlinks>
    <hyperlink ref="K1" location="ÍNDICE!A1" tooltip="Ir a ÍNDICE" display="ÍNDICE" xr:uid="{F2DE420B-BA78-431B-8ED8-63BE8BE9DDC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112B-A51E-4224-88FD-7B4F1A41EFAA}">
  <dimension ref="B1:Q144"/>
  <sheetViews>
    <sheetView showGridLines="0" zoomScaleNormal="100" workbookViewId="0"/>
  </sheetViews>
  <sheetFormatPr baseColWidth="10" defaultColWidth="11.42578125" defaultRowHeight="15"/>
  <cols>
    <col min="1" max="1" width="1.7109375" style="43" customWidth="1"/>
    <col min="2" max="2" width="40.7109375" style="43" customWidth="1"/>
    <col min="3" max="3" width="1.7109375" style="43" customWidth="1"/>
    <col min="4" max="4" width="15.7109375" style="158" customWidth="1"/>
    <col min="5" max="5" width="15.7109375" style="43" customWidth="1"/>
    <col min="6" max="6" width="1.7109375" style="43" customWidth="1"/>
    <col min="7" max="7" width="15.7109375" style="158" customWidth="1"/>
    <col min="8" max="8" width="15.7109375" style="43" customWidth="1"/>
    <col min="9" max="9" width="1.7109375" style="43" customWidth="1"/>
    <col min="10" max="10" width="15.7109375" style="158" customWidth="1"/>
    <col min="11" max="11" width="15.7109375" style="43" customWidth="1"/>
    <col min="12" max="16384" width="11.42578125" style="43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4" t="s">
        <v>116</v>
      </c>
      <c r="C5" s="101"/>
      <c r="D5" s="151"/>
      <c r="E5" s="102"/>
      <c r="F5" s="102"/>
      <c r="G5" s="151"/>
      <c r="H5" s="97"/>
      <c r="J5" s="155"/>
      <c r="K5" s="99" t="s">
        <v>24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customFormat="1" ht="15" customHeight="1">
      <c r="B7" s="248" t="s">
        <v>88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25" t="s">
        <v>6</v>
      </c>
      <c r="C11" s="44"/>
      <c r="D11" s="202">
        <v>940724.76979118201</v>
      </c>
      <c r="E11" s="203">
        <v>0</v>
      </c>
      <c r="F11" s="204"/>
      <c r="G11" s="202">
        <v>790274.85617909802</v>
      </c>
      <c r="H11" s="203">
        <v>0</v>
      </c>
      <c r="I11" s="205"/>
      <c r="J11" s="202">
        <v>719306.42915879702</v>
      </c>
      <c r="K11" s="203">
        <v>0</v>
      </c>
    </row>
    <row r="12" spans="2:17" ht="6.95" customHeight="1">
      <c r="B12" s="125"/>
      <c r="C12" s="44"/>
      <c r="D12" s="208"/>
      <c r="E12" s="209"/>
      <c r="F12" s="204"/>
      <c r="G12" s="208"/>
      <c r="H12" s="209"/>
      <c r="I12" s="205"/>
      <c r="J12" s="208"/>
      <c r="K12" s="209"/>
    </row>
    <row r="13" spans="2:17" ht="30" customHeight="1">
      <c r="B13" s="171" t="s">
        <v>97</v>
      </c>
      <c r="C13" s="44"/>
      <c r="D13" s="202"/>
      <c r="E13" s="203"/>
      <c r="F13" s="204"/>
      <c r="G13" s="202"/>
      <c r="H13" s="203"/>
      <c r="I13" s="205"/>
      <c r="J13" s="202"/>
      <c r="K13" s="203"/>
    </row>
    <row r="14" spans="2:17" ht="6.95" customHeight="1">
      <c r="B14" s="171"/>
      <c r="C14" s="44"/>
      <c r="D14" s="208"/>
      <c r="E14" s="209"/>
      <c r="F14" s="210"/>
      <c r="G14" s="208"/>
      <c r="H14" s="209"/>
      <c r="I14" s="206"/>
      <c r="J14" s="208"/>
      <c r="K14" s="209"/>
    </row>
    <row r="15" spans="2:17" ht="15" customHeight="1">
      <c r="B15" s="115" t="s">
        <v>36</v>
      </c>
      <c r="C15" s="44"/>
      <c r="D15" s="208">
        <v>654435.45009900595</v>
      </c>
      <c r="E15" s="209">
        <v>0.64619924409802698</v>
      </c>
      <c r="F15" s="210"/>
      <c r="G15" s="208">
        <v>499517.355892347</v>
      </c>
      <c r="H15" s="209">
        <v>0.82477886015828805</v>
      </c>
      <c r="I15" s="206"/>
      <c r="J15" s="208">
        <v>487278.60360350797</v>
      </c>
      <c r="K15" s="209">
        <v>0.97307793182194702</v>
      </c>
    </row>
    <row r="16" spans="2:17" ht="15" customHeight="1">
      <c r="B16" s="115" t="s">
        <v>37</v>
      </c>
      <c r="C16" s="126"/>
      <c r="D16" s="208">
        <v>570845.39995958202</v>
      </c>
      <c r="E16" s="209">
        <v>0.56568555939476195</v>
      </c>
      <c r="F16" s="210"/>
      <c r="G16" s="208">
        <v>414911.32585284999</v>
      </c>
      <c r="H16" s="209">
        <v>0.76486986820277603</v>
      </c>
      <c r="I16" s="206"/>
      <c r="J16" s="208">
        <v>393689.50322983798</v>
      </c>
      <c r="K16" s="209">
        <v>0.85162471601874101</v>
      </c>
    </row>
    <row r="17" spans="2:11" ht="15" customHeight="1">
      <c r="B17" s="115" t="s">
        <v>38</v>
      </c>
      <c r="C17" s="126"/>
      <c r="D17" s="208">
        <v>607032.95832231501</v>
      </c>
      <c r="E17" s="209">
        <v>0.615741788941642</v>
      </c>
      <c r="F17" s="210"/>
      <c r="G17" s="208">
        <v>466279.06508765399</v>
      </c>
      <c r="H17" s="209">
        <v>0.85222411549461197</v>
      </c>
      <c r="I17" s="206"/>
      <c r="J17" s="208">
        <v>440607.85240536398</v>
      </c>
      <c r="K17" s="209">
        <v>0.93315565203738804</v>
      </c>
    </row>
    <row r="18" spans="2:11" ht="15" customHeight="1">
      <c r="B18" s="115" t="s">
        <v>65</v>
      </c>
      <c r="C18" s="126"/>
      <c r="D18" s="208">
        <v>94258.013514921302</v>
      </c>
      <c r="E18" s="209">
        <v>0.108794319515996</v>
      </c>
      <c r="F18" s="210"/>
      <c r="G18" s="208">
        <v>76955.362516163703</v>
      </c>
      <c r="H18" s="209">
        <v>0.16567677779398399</v>
      </c>
      <c r="I18" s="206"/>
      <c r="J18" s="208">
        <v>40291.973723713003</v>
      </c>
      <c r="K18" s="209">
        <v>0.100989542902347</v>
      </c>
    </row>
    <row r="19" spans="2:11" ht="6.95" customHeight="1">
      <c r="B19" s="127"/>
      <c r="C19" s="126"/>
      <c r="D19" s="213"/>
      <c r="E19" s="213"/>
      <c r="F19" s="221"/>
      <c r="G19" s="213"/>
      <c r="H19" s="213"/>
      <c r="I19" s="213"/>
      <c r="J19" s="213"/>
      <c r="K19" s="213"/>
    </row>
    <row r="20" spans="2:11" ht="15" customHeight="1">
      <c r="B20" s="171" t="s">
        <v>12</v>
      </c>
      <c r="C20" s="128"/>
      <c r="D20" s="202"/>
      <c r="E20" s="203"/>
      <c r="F20" s="204"/>
      <c r="G20" s="202"/>
      <c r="H20" s="203"/>
      <c r="I20" s="205"/>
      <c r="J20" s="202"/>
      <c r="K20" s="203"/>
    </row>
    <row r="21" spans="2:11" ht="6.95" customHeight="1">
      <c r="B21" s="171"/>
      <c r="C21" s="44"/>
      <c r="D21" s="208"/>
      <c r="E21" s="209"/>
      <c r="F21" s="210"/>
      <c r="G21" s="208"/>
      <c r="H21" s="209"/>
      <c r="I21" s="206"/>
      <c r="J21" s="208"/>
      <c r="K21" s="209"/>
    </row>
    <row r="22" spans="2:11" ht="15" customHeight="1">
      <c r="B22" s="115" t="s">
        <v>36</v>
      </c>
      <c r="C22" s="126"/>
      <c r="D22" s="208">
        <v>785284.04843924998</v>
      </c>
      <c r="E22" s="209">
        <v>0.74872043581196202</v>
      </c>
      <c r="F22" s="210"/>
      <c r="G22" s="208">
        <v>552838.10484672</v>
      </c>
      <c r="H22" s="209">
        <v>0.90361187480215299</v>
      </c>
      <c r="I22" s="206"/>
      <c r="J22" s="208">
        <v>567914.11906506005</v>
      </c>
      <c r="K22" s="209">
        <v>1.07987794550677</v>
      </c>
    </row>
    <row r="23" spans="2:11" ht="15" customHeight="1">
      <c r="B23" s="115" t="s">
        <v>37</v>
      </c>
      <c r="C23" s="126"/>
      <c r="D23" s="208">
        <v>641857.43254909199</v>
      </c>
      <c r="E23" s="209">
        <v>0.65232749500824205</v>
      </c>
      <c r="F23" s="210"/>
      <c r="G23" s="208">
        <v>454522.504993084</v>
      </c>
      <c r="H23" s="209">
        <v>0.84319505770785097</v>
      </c>
      <c r="I23" s="206"/>
      <c r="J23" s="208">
        <v>444754.23564006301</v>
      </c>
      <c r="K23" s="209">
        <v>0.94565647763981797</v>
      </c>
    </row>
    <row r="24" spans="2:11" ht="15" customHeight="1">
      <c r="B24" s="115" t="s">
        <v>38</v>
      </c>
      <c r="C24" s="126"/>
      <c r="D24" s="208">
        <v>530481.18733988702</v>
      </c>
      <c r="E24" s="209">
        <v>0.57044279980494195</v>
      </c>
      <c r="F24" s="210"/>
      <c r="G24" s="208">
        <v>406937.916098847</v>
      </c>
      <c r="H24" s="209">
        <v>0.76283861898293304</v>
      </c>
      <c r="I24" s="206"/>
      <c r="J24" s="208">
        <v>358073.12838850601</v>
      </c>
      <c r="K24" s="209">
        <v>0.84559591301054904</v>
      </c>
    </row>
    <row r="25" spans="2:11" ht="15" customHeight="1">
      <c r="B25" s="115" t="s">
        <v>65</v>
      </c>
      <c r="C25" s="126"/>
      <c r="D25" s="208">
        <v>38063.286273348604</v>
      </c>
      <c r="E25" s="209">
        <v>4.4091578148201201E-2</v>
      </c>
      <c r="F25" s="210"/>
      <c r="G25" s="208">
        <v>33444.887986922302</v>
      </c>
      <c r="H25" s="209">
        <v>7.2107527190516801E-2</v>
      </c>
      <c r="I25" s="206"/>
      <c r="J25" s="208">
        <v>18853.495776645799</v>
      </c>
      <c r="K25" s="209">
        <v>4.70442220304308E-2</v>
      </c>
    </row>
    <row r="26" spans="2:11" ht="6.95" customHeight="1">
      <c r="B26" s="127"/>
      <c r="C26" s="126"/>
      <c r="D26" s="216"/>
      <c r="E26" s="216"/>
      <c r="F26" s="222"/>
      <c r="G26" s="216"/>
      <c r="H26" s="216"/>
      <c r="I26" s="217"/>
      <c r="J26" s="216"/>
      <c r="K26" s="216"/>
    </row>
    <row r="27" spans="2:11" ht="30" customHeight="1">
      <c r="B27" s="171" t="s">
        <v>99</v>
      </c>
      <c r="C27" s="126"/>
      <c r="D27" s="202"/>
      <c r="E27" s="203"/>
      <c r="F27" s="204"/>
      <c r="G27" s="202"/>
      <c r="H27" s="203"/>
      <c r="I27" s="205"/>
      <c r="J27" s="202"/>
      <c r="K27" s="203"/>
    </row>
    <row r="28" spans="2:11" ht="6.95" customHeight="1">
      <c r="B28" s="171"/>
      <c r="C28" s="44"/>
      <c r="D28" s="208"/>
      <c r="E28" s="209"/>
      <c r="F28" s="210"/>
      <c r="G28" s="208"/>
      <c r="H28" s="209"/>
      <c r="I28" s="206"/>
      <c r="J28" s="208"/>
      <c r="K28" s="209"/>
    </row>
    <row r="29" spans="2:11" ht="15" customHeight="1">
      <c r="B29" s="115" t="s">
        <v>36</v>
      </c>
      <c r="C29" s="126"/>
      <c r="D29" s="208">
        <v>748714.63550495799</v>
      </c>
      <c r="E29" s="209">
        <v>0.72474813166852803</v>
      </c>
      <c r="F29" s="210"/>
      <c r="G29" s="208">
        <v>614585.59277630097</v>
      </c>
      <c r="H29" s="209">
        <v>0.987874790914266</v>
      </c>
      <c r="I29" s="206"/>
      <c r="J29" s="208">
        <v>494191.32106061903</v>
      </c>
      <c r="K29" s="209">
        <v>0.98454892609602396</v>
      </c>
    </row>
    <row r="30" spans="2:11" ht="15" customHeight="1">
      <c r="B30" s="115" t="s">
        <v>37</v>
      </c>
      <c r="C30" s="126"/>
      <c r="D30" s="208">
        <v>611456.992790299</v>
      </c>
      <c r="E30" s="209">
        <v>0.63631780189827603</v>
      </c>
      <c r="F30" s="210"/>
      <c r="G30" s="208">
        <v>443607.96353850397</v>
      </c>
      <c r="H30" s="209">
        <v>0.85324246642298796</v>
      </c>
      <c r="I30" s="206"/>
      <c r="J30" s="208">
        <v>404225.07668695803</v>
      </c>
      <c r="K30" s="209">
        <v>0.89878830747300897</v>
      </c>
    </row>
    <row r="31" spans="2:11" ht="15" customHeight="1">
      <c r="B31" s="115" t="s">
        <v>38</v>
      </c>
      <c r="C31" s="126"/>
      <c r="D31" s="208">
        <v>636047.97240775102</v>
      </c>
      <c r="E31" s="209">
        <v>0.674184586183463</v>
      </c>
      <c r="F31" s="210"/>
      <c r="G31" s="208">
        <v>422758.10429803102</v>
      </c>
      <c r="H31" s="209">
        <v>0.82253776473252305</v>
      </c>
      <c r="I31" s="206"/>
      <c r="J31" s="208">
        <v>450202.09275620402</v>
      </c>
      <c r="K31" s="209">
        <v>0.96320085675742295</v>
      </c>
    </row>
    <row r="32" spans="2:11" ht="15" customHeight="1">
      <c r="B32" s="115" t="s">
        <v>65</v>
      </c>
      <c r="C32" s="126"/>
      <c r="D32" s="208">
        <v>88474.593053013406</v>
      </c>
      <c r="E32" s="209">
        <v>0.101264701719344</v>
      </c>
      <c r="F32" s="210"/>
      <c r="G32" s="208">
        <v>57829.153920871198</v>
      </c>
      <c r="H32" s="209">
        <v>0.124666081043182</v>
      </c>
      <c r="I32" s="206"/>
      <c r="J32" s="208">
        <v>62450.786845489398</v>
      </c>
      <c r="K32" s="209">
        <v>0.15476512259608799</v>
      </c>
    </row>
    <row r="33" spans="2:11" ht="6.95" customHeight="1">
      <c r="B33" s="127"/>
      <c r="C33" s="126"/>
      <c r="D33" s="216"/>
      <c r="E33" s="216"/>
      <c r="F33" s="222"/>
      <c r="G33" s="216"/>
      <c r="H33" s="216"/>
      <c r="I33" s="217"/>
      <c r="J33" s="216"/>
      <c r="K33" s="216"/>
    </row>
    <row r="34" spans="2:11" ht="30" customHeight="1">
      <c r="B34" s="171" t="s">
        <v>100</v>
      </c>
      <c r="C34" s="126"/>
      <c r="D34" s="202"/>
      <c r="E34" s="203"/>
      <c r="F34" s="204"/>
      <c r="G34" s="202"/>
      <c r="H34" s="203"/>
      <c r="I34" s="205"/>
      <c r="J34" s="202"/>
      <c r="K34" s="203"/>
    </row>
    <row r="35" spans="2:11" ht="6.95" customHeight="1">
      <c r="B35" s="171"/>
      <c r="C35" s="44"/>
      <c r="D35" s="208"/>
      <c r="E35" s="209"/>
      <c r="F35" s="210"/>
      <c r="G35" s="208"/>
      <c r="H35" s="209"/>
      <c r="I35" s="206"/>
      <c r="J35" s="208"/>
      <c r="K35" s="209"/>
    </row>
    <row r="36" spans="2:11" ht="15" customHeight="1">
      <c r="B36" s="115" t="s">
        <v>36</v>
      </c>
      <c r="C36" s="126"/>
      <c r="D36" s="208">
        <v>687235.11600558599</v>
      </c>
      <c r="E36" s="209">
        <v>0.67428738650867504</v>
      </c>
      <c r="F36" s="210"/>
      <c r="G36" s="208">
        <v>509100.73942358</v>
      </c>
      <c r="H36" s="209">
        <v>0.87523040040668099</v>
      </c>
      <c r="I36" s="206"/>
      <c r="J36" s="208">
        <v>501144.11635117797</v>
      </c>
      <c r="K36" s="209">
        <v>1.01747601727681</v>
      </c>
    </row>
    <row r="37" spans="2:11" ht="15" customHeight="1">
      <c r="B37" s="115" t="s">
        <v>37</v>
      </c>
      <c r="C37" s="126"/>
      <c r="D37" s="208">
        <v>615236.62614038598</v>
      </c>
      <c r="E37" s="209">
        <v>0.58620023807260402</v>
      </c>
      <c r="F37" s="210"/>
      <c r="G37" s="208">
        <v>471083.43368145003</v>
      </c>
      <c r="H37" s="209">
        <v>0.83773393599405599</v>
      </c>
      <c r="I37" s="206"/>
      <c r="J37" s="208">
        <v>423121.05399981298</v>
      </c>
      <c r="K37" s="209">
        <v>0.88486912226339698</v>
      </c>
    </row>
    <row r="38" spans="2:11" ht="15" customHeight="1">
      <c r="B38" s="115" t="s">
        <v>38</v>
      </c>
      <c r="C38" s="126"/>
      <c r="D38" s="208">
        <v>606188.00544553297</v>
      </c>
      <c r="E38" s="209">
        <v>0.65268425704152999</v>
      </c>
      <c r="F38" s="210"/>
      <c r="G38" s="208">
        <v>443015.66848135297</v>
      </c>
      <c r="H38" s="209">
        <v>0.837387775573745</v>
      </c>
      <c r="I38" s="206"/>
      <c r="J38" s="208">
        <v>431668.11443896999</v>
      </c>
      <c r="K38" s="209">
        <v>0.96202072289998997</v>
      </c>
    </row>
    <row r="39" spans="2:11" ht="15" customHeight="1">
      <c r="B39" s="115" t="s">
        <v>65</v>
      </c>
      <c r="C39" s="126"/>
      <c r="D39" s="208">
        <v>119418.459587506</v>
      </c>
      <c r="E39" s="209">
        <v>0.13792837888544299</v>
      </c>
      <c r="F39" s="210"/>
      <c r="G39" s="208">
        <v>94745.492901548001</v>
      </c>
      <c r="H39" s="209">
        <v>0.20365292848397001</v>
      </c>
      <c r="I39" s="206"/>
      <c r="J39" s="208">
        <v>64459.665330913202</v>
      </c>
      <c r="K39" s="209">
        <v>0.160146663288672</v>
      </c>
    </row>
    <row r="40" spans="2:11" ht="6.95" customHeight="1">
      <c r="B40" s="127"/>
      <c r="C40" s="126"/>
      <c r="D40" s="213"/>
      <c r="E40" s="213"/>
      <c r="F40" s="221"/>
      <c r="G40" s="213"/>
      <c r="H40" s="213"/>
      <c r="I40" s="213"/>
      <c r="J40" s="213"/>
      <c r="K40" s="213"/>
    </row>
    <row r="41" spans="2:11" ht="30" customHeight="1">
      <c r="B41" s="171" t="s">
        <v>98</v>
      </c>
      <c r="C41" s="126"/>
      <c r="D41" s="202"/>
      <c r="E41" s="203"/>
      <c r="F41" s="204"/>
      <c r="G41" s="202"/>
      <c r="H41" s="203"/>
      <c r="I41" s="205"/>
      <c r="J41" s="202"/>
      <c r="K41" s="203"/>
    </row>
    <row r="42" spans="2:11" ht="6.95" customHeight="1">
      <c r="B42" s="171"/>
      <c r="C42" s="44"/>
      <c r="D42" s="208"/>
      <c r="E42" s="209"/>
      <c r="F42" s="210"/>
      <c r="G42" s="208"/>
      <c r="H42" s="209"/>
      <c r="I42" s="206"/>
      <c r="J42" s="208"/>
      <c r="K42" s="209"/>
    </row>
    <row r="43" spans="2:11" ht="15" customHeight="1">
      <c r="B43" s="115" t="s">
        <v>36</v>
      </c>
      <c r="C43" s="126"/>
      <c r="D43" s="208">
        <v>750631.42995734198</v>
      </c>
      <c r="E43" s="209">
        <v>0.66430881713693701</v>
      </c>
      <c r="F43" s="210"/>
      <c r="G43" s="208">
        <v>512187.05284134299</v>
      </c>
      <c r="H43" s="209">
        <v>0.860045750076048</v>
      </c>
      <c r="I43" s="206"/>
      <c r="J43" s="208">
        <v>541813.52085636905</v>
      </c>
      <c r="K43" s="209">
        <v>1.0184658188305</v>
      </c>
    </row>
    <row r="44" spans="2:11" ht="15" customHeight="1">
      <c r="B44" s="115" t="s">
        <v>37</v>
      </c>
      <c r="C44" s="126"/>
      <c r="D44" s="208">
        <v>624090.87081512203</v>
      </c>
      <c r="E44" s="209">
        <v>0.65004784396340498</v>
      </c>
      <c r="F44" s="210"/>
      <c r="G44" s="208">
        <v>495479.145884561</v>
      </c>
      <c r="H44" s="209">
        <v>0.87943483360868802</v>
      </c>
      <c r="I44" s="206"/>
      <c r="J44" s="208">
        <v>378972.247924258</v>
      </c>
      <c r="K44" s="209">
        <v>0.85692672029733896</v>
      </c>
    </row>
    <row r="45" spans="2:11" ht="15" customHeight="1">
      <c r="B45" s="115" t="s">
        <v>38</v>
      </c>
      <c r="C45" s="126"/>
      <c r="D45" s="208">
        <v>579418.29996378301</v>
      </c>
      <c r="E45" s="209">
        <v>0.64395650541237903</v>
      </c>
      <c r="F45" s="210"/>
      <c r="G45" s="208">
        <v>434624.50267259299</v>
      </c>
      <c r="H45" s="209">
        <v>0.85936068977320801</v>
      </c>
      <c r="I45" s="206"/>
      <c r="J45" s="208">
        <v>427416.086907438</v>
      </c>
      <c r="K45" s="209">
        <v>0.94111561236744801</v>
      </c>
    </row>
    <row r="46" spans="2:11" ht="15" customHeight="1">
      <c r="B46" s="115" t="s">
        <v>65</v>
      </c>
      <c r="C46" s="126"/>
      <c r="D46" s="208">
        <v>43093.782879370803</v>
      </c>
      <c r="E46" s="209">
        <v>4.9718163917002497E-2</v>
      </c>
      <c r="F46" s="210"/>
      <c r="G46" s="208">
        <v>36468.225746684097</v>
      </c>
      <c r="H46" s="209">
        <v>7.8119029613883104E-2</v>
      </c>
      <c r="I46" s="206"/>
      <c r="J46" s="208">
        <v>18230.643973147999</v>
      </c>
      <c r="K46" s="209">
        <v>4.5669519318879401E-2</v>
      </c>
    </row>
    <row r="47" spans="2:11" ht="6.95" customHeight="1">
      <c r="B47" s="127"/>
      <c r="C47" s="126"/>
      <c r="D47" s="213"/>
      <c r="E47" s="213"/>
      <c r="F47" s="221"/>
      <c r="G47" s="213"/>
      <c r="H47" s="213"/>
      <c r="I47" s="213"/>
      <c r="J47" s="213"/>
      <c r="K47" s="213"/>
    </row>
    <row r="48" spans="2:11" ht="30" customHeight="1">
      <c r="B48" s="171" t="s">
        <v>89</v>
      </c>
      <c r="C48" s="126"/>
      <c r="D48" s="202"/>
      <c r="E48" s="203"/>
      <c r="F48" s="204"/>
      <c r="G48" s="202"/>
      <c r="H48" s="203"/>
      <c r="I48" s="205"/>
      <c r="J48" s="202"/>
      <c r="K48" s="203"/>
    </row>
    <row r="49" spans="2:11" ht="6.95" customHeight="1">
      <c r="B49" s="171"/>
      <c r="C49" s="44"/>
      <c r="D49" s="208"/>
      <c r="E49" s="209"/>
      <c r="F49" s="210"/>
      <c r="G49" s="208"/>
      <c r="H49" s="209"/>
      <c r="I49" s="206"/>
      <c r="J49" s="208"/>
      <c r="K49" s="209"/>
    </row>
    <row r="50" spans="2:11" ht="15" customHeight="1">
      <c r="B50" s="115" t="s">
        <v>36</v>
      </c>
      <c r="C50" s="126"/>
      <c r="D50" s="208">
        <v>719938.56066714402</v>
      </c>
      <c r="E50" s="209">
        <v>0.69047409080341304</v>
      </c>
      <c r="F50" s="210"/>
      <c r="G50" s="208">
        <v>490870.182471785</v>
      </c>
      <c r="H50" s="209">
        <v>0.840190558446131</v>
      </c>
      <c r="I50" s="206"/>
      <c r="J50" s="208">
        <v>498266.67457811697</v>
      </c>
      <c r="K50" s="209">
        <v>1.0344442741618201</v>
      </c>
    </row>
    <row r="51" spans="2:11" ht="15" customHeight="1">
      <c r="B51" s="115" t="s">
        <v>37</v>
      </c>
      <c r="C51" s="126"/>
      <c r="D51" s="208">
        <v>604856.71760359395</v>
      </c>
      <c r="E51" s="209">
        <v>0.64070021432964896</v>
      </c>
      <c r="F51" s="210"/>
      <c r="G51" s="208">
        <v>471834.12248557201</v>
      </c>
      <c r="H51" s="209">
        <v>0.88241724277927602</v>
      </c>
      <c r="I51" s="206"/>
      <c r="J51" s="208">
        <v>398471.15937368001</v>
      </c>
      <c r="K51" s="209">
        <v>0.90086090744900704</v>
      </c>
    </row>
    <row r="52" spans="2:11" ht="15" customHeight="1">
      <c r="B52" s="115" t="s">
        <v>38</v>
      </c>
      <c r="C52" s="126"/>
      <c r="D52" s="208">
        <v>658250.58487513103</v>
      </c>
      <c r="E52" s="209">
        <v>0.68099049144775803</v>
      </c>
      <c r="F52" s="210"/>
      <c r="G52" s="208">
        <v>483335.17428302701</v>
      </c>
      <c r="H52" s="209">
        <v>0.88267849374182805</v>
      </c>
      <c r="I52" s="206"/>
      <c r="J52" s="208">
        <v>479334.79317835701</v>
      </c>
      <c r="K52" s="209">
        <v>0.98715061981290098</v>
      </c>
    </row>
    <row r="53" spans="2:11" ht="15" customHeight="1">
      <c r="B53" s="115" t="s">
        <v>65</v>
      </c>
      <c r="C53" s="126"/>
      <c r="D53" s="208">
        <v>49710.082498981603</v>
      </c>
      <c r="E53" s="209">
        <v>5.7622699754311502E-2</v>
      </c>
      <c r="F53" s="210"/>
      <c r="G53" s="208">
        <v>30054.944133850699</v>
      </c>
      <c r="H53" s="209">
        <v>6.4735281391393895E-2</v>
      </c>
      <c r="I53" s="206"/>
      <c r="J53" s="208">
        <v>34410.7602647776</v>
      </c>
      <c r="K53" s="209">
        <v>8.5561931039727396E-2</v>
      </c>
    </row>
    <row r="54" spans="2:11" ht="6.95" customHeight="1">
      <c r="B54" s="129"/>
      <c r="C54" s="130"/>
      <c r="D54" s="213"/>
      <c r="E54" s="213"/>
      <c r="F54" s="223"/>
      <c r="G54" s="213"/>
      <c r="H54" s="213"/>
      <c r="I54" s="213"/>
      <c r="J54" s="213"/>
      <c r="K54" s="213"/>
    </row>
    <row r="55" spans="2:11" ht="15" customHeight="1">
      <c r="B55" s="177" t="s">
        <v>0</v>
      </c>
      <c r="C55" s="44"/>
      <c r="D55" s="202">
        <v>1202696.45731675</v>
      </c>
      <c r="E55" s="203">
        <v>0</v>
      </c>
      <c r="F55" s="204"/>
      <c r="G55" s="202">
        <v>732477.33212123101</v>
      </c>
      <c r="H55" s="203">
        <v>0</v>
      </c>
      <c r="I55" s="205"/>
      <c r="J55" s="202">
        <v>655788.85438650905</v>
      </c>
      <c r="K55" s="203">
        <v>0</v>
      </c>
    </row>
    <row r="56" spans="2:11" ht="6.95" customHeight="1">
      <c r="B56" s="125"/>
      <c r="C56" s="44"/>
      <c r="D56" s="208"/>
      <c r="E56" s="209"/>
      <c r="F56" s="204"/>
      <c r="G56" s="208"/>
      <c r="H56" s="209"/>
      <c r="I56" s="205"/>
      <c r="J56" s="208"/>
      <c r="K56" s="209"/>
    </row>
    <row r="57" spans="2:11" ht="30" customHeight="1">
      <c r="B57" s="171" t="s">
        <v>97</v>
      </c>
      <c r="C57" s="44"/>
      <c r="D57" s="202"/>
      <c r="E57" s="203"/>
      <c r="F57" s="204"/>
      <c r="G57" s="202"/>
      <c r="H57" s="203"/>
      <c r="I57" s="205"/>
      <c r="J57" s="202"/>
      <c r="K57" s="203"/>
    </row>
    <row r="58" spans="2:11" ht="6.95" customHeight="1">
      <c r="B58" s="171"/>
      <c r="C58" s="44"/>
      <c r="D58" s="208"/>
      <c r="E58" s="209"/>
      <c r="F58" s="210"/>
      <c r="G58" s="208"/>
      <c r="H58" s="209"/>
      <c r="I58" s="206"/>
      <c r="J58" s="208"/>
      <c r="K58" s="209"/>
    </row>
    <row r="59" spans="2:11" ht="15" customHeight="1">
      <c r="B59" s="115" t="s">
        <v>36</v>
      </c>
      <c r="C59" s="44"/>
      <c r="D59" s="208">
        <v>611829.56422467495</v>
      </c>
      <c r="E59" s="209">
        <v>1.1817943035285401</v>
      </c>
      <c r="F59" s="210"/>
      <c r="G59" s="208">
        <v>361354.08192203398</v>
      </c>
      <c r="H59" s="209">
        <v>1.3179142921215801</v>
      </c>
      <c r="I59" s="206"/>
      <c r="J59" s="208">
        <v>383582.21586359799</v>
      </c>
      <c r="K59" s="209">
        <v>1.77866269406765</v>
      </c>
    </row>
    <row r="60" spans="2:11" ht="15" customHeight="1">
      <c r="B60" s="115" t="s">
        <v>37</v>
      </c>
      <c r="C60" s="126"/>
      <c r="D60" s="208">
        <v>415904.61942003301</v>
      </c>
      <c r="E60" s="209">
        <v>0.91335991852207099</v>
      </c>
      <c r="F60" s="210"/>
      <c r="G60" s="208">
        <v>292826.42673601699</v>
      </c>
      <c r="H60" s="209">
        <v>1.3197583412823399</v>
      </c>
      <c r="I60" s="206"/>
      <c r="J60" s="208">
        <v>237007.25689911199</v>
      </c>
      <c r="K60" s="209">
        <v>1.43376037809379</v>
      </c>
    </row>
    <row r="61" spans="2:11" ht="15" customHeight="1">
      <c r="B61" s="115" t="s">
        <v>38</v>
      </c>
      <c r="C61" s="126"/>
      <c r="D61" s="208">
        <v>499521.33600979298</v>
      </c>
      <c r="E61" s="209">
        <v>1.1037841127613901</v>
      </c>
      <c r="F61" s="210"/>
      <c r="G61" s="208">
        <v>329078.99876900902</v>
      </c>
      <c r="H61" s="209">
        <v>1.4087536583184801</v>
      </c>
      <c r="I61" s="206"/>
      <c r="J61" s="208">
        <v>307335.41644090501</v>
      </c>
      <c r="K61" s="209">
        <v>1.57764570948559</v>
      </c>
    </row>
    <row r="62" spans="2:11" ht="15" customHeight="1">
      <c r="B62" s="115" t="s">
        <v>65</v>
      </c>
      <c r="C62" s="126"/>
      <c r="D62" s="208">
        <v>85146.998036458303</v>
      </c>
      <c r="E62" s="209">
        <v>0.284945050227281</v>
      </c>
      <c r="F62" s="210"/>
      <c r="G62" s="208">
        <v>69218.523146075604</v>
      </c>
      <c r="H62" s="209">
        <v>0.42467464373373898</v>
      </c>
      <c r="I62" s="206"/>
      <c r="J62" s="208">
        <v>33282.268242299499</v>
      </c>
      <c r="K62" s="209">
        <v>0.249943363271214</v>
      </c>
    </row>
    <row r="63" spans="2:11" ht="6.95" customHeight="1">
      <c r="B63" s="127"/>
      <c r="C63" s="126"/>
      <c r="D63" s="213"/>
      <c r="E63" s="213"/>
      <c r="F63" s="221"/>
      <c r="G63" s="213"/>
      <c r="H63" s="213"/>
      <c r="I63" s="213"/>
      <c r="J63" s="213"/>
      <c r="K63" s="213"/>
    </row>
    <row r="64" spans="2:11" ht="15" customHeight="1">
      <c r="B64" s="171" t="s">
        <v>12</v>
      </c>
      <c r="C64" s="128"/>
      <c r="D64" s="202"/>
      <c r="E64" s="203"/>
      <c r="F64" s="204"/>
      <c r="G64" s="202"/>
      <c r="H64" s="203"/>
      <c r="I64" s="205"/>
      <c r="J64" s="202"/>
      <c r="K64" s="203"/>
    </row>
    <row r="65" spans="2:11" ht="6.95" customHeight="1">
      <c r="B65" s="171"/>
      <c r="C65" s="44"/>
      <c r="D65" s="208"/>
      <c r="E65" s="209"/>
      <c r="F65" s="210"/>
      <c r="G65" s="208"/>
      <c r="H65" s="209"/>
      <c r="I65" s="206"/>
      <c r="J65" s="208"/>
      <c r="K65" s="209"/>
    </row>
    <row r="66" spans="2:11" ht="15" customHeight="1">
      <c r="B66" s="115" t="s">
        <v>36</v>
      </c>
      <c r="C66" s="126"/>
      <c r="D66" s="208">
        <v>718408.86456430098</v>
      </c>
      <c r="E66" s="209">
        <v>1.4782419045641799</v>
      </c>
      <c r="F66" s="210"/>
      <c r="G66" s="208">
        <v>433948.59277128702</v>
      </c>
      <c r="H66" s="209">
        <v>1.6665137451131999</v>
      </c>
      <c r="I66" s="206"/>
      <c r="J66" s="208">
        <v>430303.75836563797</v>
      </c>
      <c r="K66" s="209">
        <v>2.1395922945271599</v>
      </c>
    </row>
    <row r="67" spans="2:11" ht="15" customHeight="1">
      <c r="B67" s="115" t="s">
        <v>37</v>
      </c>
      <c r="C67" s="126"/>
      <c r="D67" s="208">
        <v>512348.28056714899</v>
      </c>
      <c r="E67" s="209">
        <v>1.1642481714386801</v>
      </c>
      <c r="F67" s="210"/>
      <c r="G67" s="208">
        <v>293306.48812888103</v>
      </c>
      <c r="H67" s="209">
        <v>1.3488900612602199</v>
      </c>
      <c r="I67" s="206"/>
      <c r="J67" s="208">
        <v>317567.12339755002</v>
      </c>
      <c r="K67" s="209">
        <v>1.74472724471721</v>
      </c>
    </row>
    <row r="68" spans="2:11" ht="15" customHeight="1">
      <c r="B68" s="115" t="s">
        <v>38</v>
      </c>
      <c r="C68" s="126"/>
      <c r="D68" s="208">
        <v>399774.72575653001</v>
      </c>
      <c r="E68" s="209">
        <v>1.02615825587909</v>
      </c>
      <c r="F68" s="210"/>
      <c r="G68" s="208">
        <v>302820.53836037801</v>
      </c>
      <c r="H68" s="209">
        <v>1.39482387670426</v>
      </c>
      <c r="I68" s="206"/>
      <c r="J68" s="208">
        <v>229842.459912452</v>
      </c>
      <c r="K68" s="209">
        <v>1.4402084553976899</v>
      </c>
    </row>
    <row r="69" spans="2:11" ht="15" customHeight="1">
      <c r="B69" s="115" t="s">
        <v>65</v>
      </c>
      <c r="C69" s="126"/>
      <c r="D69" s="208">
        <v>33707.056334043002</v>
      </c>
      <c r="E69" s="209">
        <v>0.11412403374186</v>
      </c>
      <c r="F69" s="210"/>
      <c r="G69" s="208">
        <v>30161.771363396001</v>
      </c>
      <c r="H69" s="209">
        <v>0.18650692589137999</v>
      </c>
      <c r="I69" s="206"/>
      <c r="J69" s="208">
        <v>15847.743340930299</v>
      </c>
      <c r="K69" s="209">
        <v>0.117137931515764</v>
      </c>
    </row>
    <row r="70" spans="2:11" ht="6.95" customHeight="1">
      <c r="B70" s="127"/>
      <c r="C70" s="126"/>
      <c r="D70" s="216"/>
      <c r="E70" s="216"/>
      <c r="F70" s="222"/>
      <c r="G70" s="216"/>
      <c r="H70" s="216"/>
      <c r="I70" s="217"/>
      <c r="J70" s="216"/>
      <c r="K70" s="216"/>
    </row>
    <row r="71" spans="2:11" ht="30" customHeight="1">
      <c r="B71" s="171" t="s">
        <v>99</v>
      </c>
      <c r="C71" s="126"/>
      <c r="D71" s="202"/>
      <c r="E71" s="203"/>
      <c r="F71" s="204"/>
      <c r="G71" s="202"/>
      <c r="H71" s="203"/>
      <c r="I71" s="205"/>
      <c r="J71" s="202"/>
      <c r="K71" s="203"/>
    </row>
    <row r="72" spans="2:11" ht="6.95" customHeight="1">
      <c r="B72" s="171"/>
      <c r="C72" s="44"/>
      <c r="D72" s="208"/>
      <c r="E72" s="209"/>
      <c r="F72" s="210"/>
      <c r="G72" s="208"/>
      <c r="H72" s="209"/>
      <c r="I72" s="206"/>
      <c r="J72" s="208"/>
      <c r="K72" s="209"/>
    </row>
    <row r="73" spans="2:11" ht="15" customHeight="1">
      <c r="B73" s="115" t="s">
        <v>36</v>
      </c>
      <c r="C73" s="126"/>
      <c r="D73" s="208">
        <v>598546.67686021398</v>
      </c>
      <c r="E73" s="209">
        <v>1.20322312606495</v>
      </c>
      <c r="F73" s="210"/>
      <c r="G73" s="208">
        <v>402846.23258704902</v>
      </c>
      <c r="H73" s="209">
        <v>1.5645835238977399</v>
      </c>
      <c r="I73" s="206"/>
      <c r="J73" s="208">
        <v>351571.33601465297</v>
      </c>
      <c r="K73" s="209">
        <v>1.7525693706004299</v>
      </c>
    </row>
    <row r="74" spans="2:11" ht="15" customHeight="1">
      <c r="B74" s="115" t="s">
        <v>37</v>
      </c>
      <c r="C74" s="126"/>
      <c r="D74" s="208">
        <v>475950.13077210402</v>
      </c>
      <c r="E74" s="209">
        <v>1.20486664486179</v>
      </c>
      <c r="F74" s="210"/>
      <c r="G74" s="208">
        <v>301159.801483783</v>
      </c>
      <c r="H74" s="209">
        <v>1.4649221302745801</v>
      </c>
      <c r="I74" s="206"/>
      <c r="J74" s="208">
        <v>291823.81841098302</v>
      </c>
      <c r="K74" s="209">
        <v>1.7662823376283201</v>
      </c>
    </row>
    <row r="75" spans="2:11" ht="15" customHeight="1">
      <c r="B75" s="115" t="s">
        <v>38</v>
      </c>
      <c r="C75" s="126"/>
      <c r="D75" s="208">
        <v>537066.42827012297</v>
      </c>
      <c r="E75" s="209">
        <v>1.2158642069152701</v>
      </c>
      <c r="F75" s="210"/>
      <c r="G75" s="208">
        <v>331810.78466590098</v>
      </c>
      <c r="H75" s="209">
        <v>1.4572884526313099</v>
      </c>
      <c r="I75" s="206"/>
      <c r="J75" s="208">
        <v>330502.05781750602</v>
      </c>
      <c r="K75" s="209">
        <v>1.7969811065788499</v>
      </c>
    </row>
    <row r="76" spans="2:11" ht="15" customHeight="1">
      <c r="B76" s="115" t="s">
        <v>65</v>
      </c>
      <c r="C76" s="126"/>
      <c r="D76" s="208">
        <v>66588.9086629464</v>
      </c>
      <c r="E76" s="209">
        <v>0.21980831036246201</v>
      </c>
      <c r="F76" s="210"/>
      <c r="G76" s="208">
        <v>51020.301793455103</v>
      </c>
      <c r="H76" s="209">
        <v>0.31405754053683499</v>
      </c>
      <c r="I76" s="206"/>
      <c r="J76" s="208">
        <v>35670.093447530497</v>
      </c>
      <c r="K76" s="209">
        <v>0.26210453939365702</v>
      </c>
    </row>
    <row r="77" spans="2:11" ht="6.95" customHeight="1">
      <c r="B77" s="127"/>
      <c r="C77" s="126"/>
      <c r="D77" s="216"/>
      <c r="E77" s="216"/>
      <c r="F77" s="222"/>
      <c r="G77" s="216"/>
      <c r="H77" s="216"/>
      <c r="I77" s="217"/>
      <c r="J77" s="216"/>
      <c r="K77" s="216"/>
    </row>
    <row r="78" spans="2:11" ht="30" customHeight="1">
      <c r="B78" s="171" t="s">
        <v>100</v>
      </c>
      <c r="C78" s="126"/>
      <c r="D78" s="202"/>
      <c r="E78" s="203"/>
      <c r="F78" s="204"/>
      <c r="G78" s="202"/>
      <c r="H78" s="203"/>
      <c r="I78" s="205"/>
      <c r="J78" s="202"/>
      <c r="K78" s="203"/>
    </row>
    <row r="79" spans="2:11" ht="6.95" customHeight="1">
      <c r="B79" s="171"/>
      <c r="C79" s="44"/>
      <c r="D79" s="208"/>
      <c r="E79" s="209"/>
      <c r="F79" s="210"/>
      <c r="G79" s="208"/>
      <c r="H79" s="209"/>
      <c r="I79" s="206"/>
      <c r="J79" s="208"/>
      <c r="K79" s="209"/>
    </row>
    <row r="80" spans="2:11" ht="15" customHeight="1">
      <c r="B80" s="115" t="s">
        <v>36</v>
      </c>
      <c r="C80" s="126"/>
      <c r="D80" s="208">
        <v>562553.31179520895</v>
      </c>
      <c r="E80" s="209">
        <v>1.1897905895182099</v>
      </c>
      <c r="F80" s="210"/>
      <c r="G80" s="208">
        <v>341873.20095345599</v>
      </c>
      <c r="H80" s="209">
        <v>1.5167975047657001</v>
      </c>
      <c r="I80" s="206"/>
      <c r="J80" s="208">
        <v>354330.06198078301</v>
      </c>
      <c r="K80" s="209">
        <v>1.7510967639600299</v>
      </c>
    </row>
    <row r="81" spans="2:11" ht="15" customHeight="1">
      <c r="B81" s="115" t="s">
        <v>37</v>
      </c>
      <c r="C81" s="126"/>
      <c r="D81" s="208">
        <v>518219.58490281203</v>
      </c>
      <c r="E81" s="209">
        <v>1.0667028531871601</v>
      </c>
      <c r="F81" s="210"/>
      <c r="G81" s="208">
        <v>341451.134113223</v>
      </c>
      <c r="H81" s="209">
        <v>1.4688801106128599</v>
      </c>
      <c r="I81" s="206"/>
      <c r="J81" s="208">
        <v>286700.609921108</v>
      </c>
      <c r="K81" s="209">
        <v>1.4980121787087901</v>
      </c>
    </row>
    <row r="82" spans="2:11" ht="15" customHeight="1">
      <c r="B82" s="115" t="s">
        <v>38</v>
      </c>
      <c r="C82" s="126"/>
      <c r="D82" s="208">
        <v>496823.89272733801</v>
      </c>
      <c r="E82" s="209">
        <v>1.23650716520274</v>
      </c>
      <c r="F82" s="210"/>
      <c r="G82" s="208">
        <v>342972.29790130601</v>
      </c>
      <c r="H82" s="209">
        <v>1.47831564989616</v>
      </c>
      <c r="I82" s="206"/>
      <c r="J82" s="208">
        <v>312711.91886304901</v>
      </c>
      <c r="K82" s="209">
        <v>1.88627468388639</v>
      </c>
    </row>
    <row r="83" spans="2:11" ht="15" customHeight="1">
      <c r="B83" s="115" t="s">
        <v>65</v>
      </c>
      <c r="C83" s="126"/>
      <c r="D83" s="208">
        <v>104821.14787333801</v>
      </c>
      <c r="E83" s="209">
        <v>0.34900367397360599</v>
      </c>
      <c r="F83" s="210"/>
      <c r="G83" s="208">
        <v>81189.399359944597</v>
      </c>
      <c r="H83" s="209">
        <v>0.49507763236133401</v>
      </c>
      <c r="I83" s="206"/>
      <c r="J83" s="208">
        <v>56411.536190156497</v>
      </c>
      <c r="K83" s="209">
        <v>0.41539720036580102</v>
      </c>
    </row>
    <row r="84" spans="2:11" ht="6.95" customHeight="1">
      <c r="B84" s="127"/>
      <c r="C84" s="126"/>
      <c r="D84" s="213"/>
      <c r="E84" s="213"/>
      <c r="F84" s="221"/>
      <c r="G84" s="213"/>
      <c r="H84" s="213"/>
      <c r="I84" s="213"/>
      <c r="J84" s="213"/>
      <c r="K84" s="213"/>
    </row>
    <row r="85" spans="2:11" ht="30" customHeight="1">
      <c r="B85" s="171" t="s">
        <v>98</v>
      </c>
      <c r="C85" s="126"/>
      <c r="D85" s="202"/>
      <c r="E85" s="203"/>
      <c r="F85" s="204"/>
      <c r="G85" s="202"/>
      <c r="H85" s="203"/>
      <c r="I85" s="205"/>
      <c r="J85" s="202"/>
      <c r="K85" s="203"/>
    </row>
    <row r="86" spans="2:11" ht="6.95" customHeight="1">
      <c r="B86" s="171"/>
      <c r="C86" s="44"/>
      <c r="D86" s="208"/>
      <c r="E86" s="209"/>
      <c r="F86" s="210"/>
      <c r="G86" s="208"/>
      <c r="H86" s="209"/>
      <c r="I86" s="206"/>
      <c r="J86" s="208"/>
      <c r="K86" s="209"/>
    </row>
    <row r="87" spans="2:11" ht="15" customHeight="1">
      <c r="B87" s="115" t="s">
        <v>36</v>
      </c>
      <c r="C87" s="126"/>
      <c r="D87" s="208">
        <v>634249.66090928996</v>
      </c>
      <c r="E87" s="209">
        <v>1.20317414764635</v>
      </c>
      <c r="F87" s="210"/>
      <c r="G87" s="208">
        <v>338156.81045037002</v>
      </c>
      <c r="H87" s="209">
        <v>1.38247964269379</v>
      </c>
      <c r="I87" s="206"/>
      <c r="J87" s="208">
        <v>403483.82683983498</v>
      </c>
      <c r="K87" s="209">
        <v>1.9171820892217399</v>
      </c>
    </row>
    <row r="88" spans="2:11" ht="15" customHeight="1">
      <c r="B88" s="115" t="s">
        <v>37</v>
      </c>
      <c r="C88" s="126"/>
      <c r="D88" s="208">
        <v>476833.33824287198</v>
      </c>
      <c r="E88" s="209">
        <v>1.16131337908406</v>
      </c>
      <c r="F88" s="210"/>
      <c r="G88" s="208">
        <v>347537.993290824</v>
      </c>
      <c r="H88" s="209">
        <v>1.54786151187568</v>
      </c>
      <c r="I88" s="206"/>
      <c r="J88" s="208">
        <v>250258.26527825199</v>
      </c>
      <c r="K88" s="209">
        <v>1.48310953439837</v>
      </c>
    </row>
    <row r="89" spans="2:11" ht="15" customHeight="1">
      <c r="B89" s="115" t="s">
        <v>38</v>
      </c>
      <c r="C89" s="126"/>
      <c r="D89" s="208">
        <v>505187.06282133597</v>
      </c>
      <c r="E89" s="209">
        <v>1.2993218491007901</v>
      </c>
      <c r="F89" s="210"/>
      <c r="G89" s="208">
        <v>331784.49073630001</v>
      </c>
      <c r="H89" s="209">
        <v>1.4402716584784301</v>
      </c>
      <c r="I89" s="206"/>
      <c r="J89" s="208">
        <v>327210.73388890899</v>
      </c>
      <c r="K89" s="209">
        <v>1.98095512210847</v>
      </c>
    </row>
    <row r="90" spans="2:11" ht="15" customHeight="1">
      <c r="B90" s="115" t="s">
        <v>65</v>
      </c>
      <c r="C90" s="126"/>
      <c r="D90" s="208">
        <v>38663.755155471197</v>
      </c>
      <c r="E90" s="209">
        <v>0.12900518313310899</v>
      </c>
      <c r="F90" s="210"/>
      <c r="G90" s="208">
        <v>32719.559118192399</v>
      </c>
      <c r="H90" s="209">
        <v>0.197631193501242</v>
      </c>
      <c r="I90" s="206"/>
      <c r="J90" s="208">
        <v>15097.269488222</v>
      </c>
      <c r="K90" s="209">
        <v>0.112917192864911</v>
      </c>
    </row>
    <row r="91" spans="2:11" ht="6.95" customHeight="1">
      <c r="B91" s="127"/>
      <c r="C91" s="126"/>
      <c r="D91" s="213"/>
      <c r="E91" s="213"/>
      <c r="F91" s="221"/>
      <c r="G91" s="213"/>
      <c r="H91" s="213"/>
      <c r="I91" s="213"/>
      <c r="J91" s="213"/>
      <c r="K91" s="213"/>
    </row>
    <row r="92" spans="2:11" ht="30" customHeight="1">
      <c r="B92" s="171" t="s">
        <v>89</v>
      </c>
      <c r="C92" s="126"/>
      <c r="D92" s="202"/>
      <c r="E92" s="203"/>
      <c r="F92" s="204"/>
      <c r="G92" s="202"/>
      <c r="H92" s="203"/>
      <c r="I92" s="205"/>
      <c r="J92" s="202"/>
      <c r="K92" s="203"/>
    </row>
    <row r="93" spans="2:11" ht="6.95" customHeight="1">
      <c r="B93" s="171"/>
      <c r="C93" s="44"/>
      <c r="D93" s="208"/>
      <c r="E93" s="209"/>
      <c r="F93" s="210"/>
      <c r="G93" s="208"/>
      <c r="H93" s="209"/>
      <c r="I93" s="206"/>
      <c r="J93" s="208"/>
      <c r="K93" s="209"/>
    </row>
    <row r="94" spans="2:11" ht="15" customHeight="1">
      <c r="B94" s="115" t="s">
        <v>36</v>
      </c>
      <c r="C94" s="126"/>
      <c r="D94" s="208">
        <v>559898.18628730101</v>
      </c>
      <c r="E94" s="209">
        <v>1.15358350267488</v>
      </c>
      <c r="F94" s="210"/>
      <c r="G94" s="208">
        <v>312324.442912472</v>
      </c>
      <c r="H94" s="209">
        <v>1.26742013419886</v>
      </c>
      <c r="I94" s="206"/>
      <c r="J94" s="208">
        <v>345979.53855905402</v>
      </c>
      <c r="K94" s="209">
        <v>1.8182349772781701</v>
      </c>
    </row>
    <row r="95" spans="2:11" ht="15" customHeight="1">
      <c r="B95" s="115" t="s">
        <v>37</v>
      </c>
      <c r="C95" s="126"/>
      <c r="D95" s="208">
        <v>457838.30705799902</v>
      </c>
      <c r="E95" s="209">
        <v>1.1337425963707699</v>
      </c>
      <c r="F95" s="210"/>
      <c r="G95" s="208">
        <v>342828.15913837898</v>
      </c>
      <c r="H95" s="209">
        <v>1.6640490571542601</v>
      </c>
      <c r="I95" s="206"/>
      <c r="J95" s="208">
        <v>252145.90621286901</v>
      </c>
      <c r="K95" s="209">
        <v>1.55758141399158</v>
      </c>
    </row>
    <row r="96" spans="2:11" ht="15" customHeight="1">
      <c r="B96" s="115" t="s">
        <v>38</v>
      </c>
      <c r="C96" s="126"/>
      <c r="D96" s="208">
        <v>578268.54517250799</v>
      </c>
      <c r="E96" s="209">
        <v>1.2376605614854199</v>
      </c>
      <c r="F96" s="210"/>
      <c r="G96" s="208">
        <v>375568.751404515</v>
      </c>
      <c r="H96" s="209">
        <v>1.47869549283361</v>
      </c>
      <c r="I96" s="206"/>
      <c r="J96" s="208">
        <v>380088.84238710499</v>
      </c>
      <c r="K96" s="209">
        <v>1.9739675894767901</v>
      </c>
    </row>
    <row r="97" spans="2:11" ht="15" customHeight="1">
      <c r="B97" s="115" t="s">
        <v>65</v>
      </c>
      <c r="C97" s="126"/>
      <c r="D97" s="208">
        <v>45156.647396098298</v>
      </c>
      <c r="E97" s="209">
        <v>0.15343773343610001</v>
      </c>
      <c r="F97" s="210"/>
      <c r="G97" s="208">
        <v>23397.807394901101</v>
      </c>
      <c r="H97" s="209">
        <v>0.144479092346919</v>
      </c>
      <c r="I97" s="206"/>
      <c r="J97" s="208">
        <v>33286.231387767497</v>
      </c>
      <c r="K97" s="209">
        <v>0.24511983169121501</v>
      </c>
    </row>
    <row r="98" spans="2:11" ht="6.95" customHeight="1">
      <c r="B98" s="129"/>
      <c r="C98" s="129"/>
      <c r="D98" s="216"/>
      <c r="E98" s="216"/>
      <c r="F98" s="222"/>
      <c r="G98" s="216"/>
      <c r="H98" s="216"/>
      <c r="I98" s="217"/>
      <c r="J98" s="216"/>
      <c r="K98" s="216"/>
    </row>
    <row r="99" spans="2:11" s="141" customFormat="1" ht="15" customHeight="1">
      <c r="B99" s="177" t="s">
        <v>1</v>
      </c>
      <c r="C99" s="44"/>
      <c r="D99" s="202">
        <v>1215345.35573305</v>
      </c>
      <c r="E99" s="203">
        <v>0</v>
      </c>
      <c r="F99" s="204"/>
      <c r="G99" s="202">
        <v>853166.62916364695</v>
      </c>
      <c r="H99" s="203">
        <v>0</v>
      </c>
      <c r="I99" s="205"/>
      <c r="J99" s="202">
        <v>704303.09797417896</v>
      </c>
      <c r="K99" s="203">
        <v>0</v>
      </c>
    </row>
    <row r="100" spans="2:11" ht="6.95" customHeight="1">
      <c r="B100" s="125"/>
      <c r="C100" s="44"/>
      <c r="D100" s="208"/>
      <c r="E100" s="209"/>
      <c r="F100" s="204"/>
      <c r="G100" s="208"/>
      <c r="H100" s="209"/>
      <c r="I100" s="205"/>
      <c r="J100" s="208"/>
      <c r="K100" s="209"/>
    </row>
    <row r="101" spans="2:11" ht="30" customHeight="1">
      <c r="B101" s="171" t="s">
        <v>97</v>
      </c>
      <c r="C101" s="44"/>
      <c r="D101" s="202"/>
      <c r="E101" s="203"/>
      <c r="F101" s="204"/>
      <c r="G101" s="202"/>
      <c r="H101" s="203"/>
      <c r="I101" s="205"/>
      <c r="J101" s="202"/>
      <c r="K101" s="203"/>
    </row>
    <row r="102" spans="2:11" ht="6.95" customHeight="1">
      <c r="B102" s="171"/>
      <c r="C102" s="44"/>
      <c r="D102" s="208"/>
      <c r="E102" s="209"/>
      <c r="F102" s="210"/>
      <c r="G102" s="208"/>
      <c r="H102" s="209"/>
      <c r="I102" s="206"/>
      <c r="J102" s="208"/>
      <c r="K102" s="209"/>
    </row>
    <row r="103" spans="2:11" ht="15" customHeight="1">
      <c r="B103" s="115" t="s">
        <v>36</v>
      </c>
      <c r="C103" s="44"/>
      <c r="D103" s="208">
        <v>673200.21297216497</v>
      </c>
      <c r="E103" s="209">
        <v>0.79171714220059997</v>
      </c>
      <c r="F103" s="210"/>
      <c r="G103" s="208">
        <v>480168.84433372098</v>
      </c>
      <c r="H103" s="209">
        <v>1.06159548881793</v>
      </c>
      <c r="I103" s="206"/>
      <c r="J103" s="208">
        <v>428137.730538423</v>
      </c>
      <c r="K103" s="209">
        <v>1.1996745375041999</v>
      </c>
    </row>
    <row r="104" spans="2:11" ht="15" customHeight="1">
      <c r="B104" s="115" t="s">
        <v>37</v>
      </c>
      <c r="C104" s="126"/>
      <c r="D104" s="208">
        <v>490851.24234020099</v>
      </c>
      <c r="E104" s="209">
        <v>0.73173125284461704</v>
      </c>
      <c r="F104" s="210"/>
      <c r="G104" s="208">
        <v>339182.47117264598</v>
      </c>
      <c r="H104" s="209">
        <v>0.93474342548981604</v>
      </c>
      <c r="I104" s="206"/>
      <c r="J104" s="208">
        <v>339203.94199121703</v>
      </c>
      <c r="K104" s="209">
        <v>1.0627923018193699</v>
      </c>
    </row>
    <row r="105" spans="2:11" ht="15" customHeight="1">
      <c r="B105" s="115" t="s">
        <v>38</v>
      </c>
      <c r="C105" s="126"/>
      <c r="D105" s="208">
        <v>613085.62581164495</v>
      </c>
      <c r="E105" s="209">
        <v>0.74204961302357397</v>
      </c>
      <c r="F105" s="210"/>
      <c r="G105" s="208">
        <v>433770.67473395698</v>
      </c>
      <c r="H105" s="209">
        <v>1.0456261311261299</v>
      </c>
      <c r="I105" s="206"/>
      <c r="J105" s="208">
        <v>389873.90699746797</v>
      </c>
      <c r="K105" s="209">
        <v>1.1854657782426301</v>
      </c>
    </row>
    <row r="106" spans="2:11" ht="15" customHeight="1">
      <c r="B106" s="115" t="s">
        <v>65</v>
      </c>
      <c r="C106" s="126"/>
      <c r="D106" s="208">
        <v>40532.979051119</v>
      </c>
      <c r="E106" s="209">
        <v>7.1503500500962103E-2</v>
      </c>
      <c r="F106" s="210"/>
      <c r="G106" s="208">
        <v>33720.6462967478</v>
      </c>
      <c r="H106" s="209">
        <v>0.112062774047806</v>
      </c>
      <c r="I106" s="206"/>
      <c r="J106" s="208">
        <v>22709.772504364701</v>
      </c>
      <c r="K106" s="209">
        <v>8.5262735495453407E-2</v>
      </c>
    </row>
    <row r="107" spans="2:11" ht="6.95" customHeight="1">
      <c r="B107" s="127"/>
      <c r="C107" s="126"/>
      <c r="D107" s="213"/>
      <c r="E107" s="213"/>
      <c r="F107" s="221"/>
      <c r="G107" s="213"/>
      <c r="H107" s="213"/>
      <c r="I107" s="213"/>
      <c r="J107" s="213"/>
      <c r="K107" s="213"/>
    </row>
    <row r="108" spans="2:11" ht="15" customHeight="1">
      <c r="B108" s="171" t="s">
        <v>12</v>
      </c>
      <c r="C108" s="128"/>
      <c r="D108" s="202"/>
      <c r="E108" s="203"/>
      <c r="F108" s="204"/>
      <c r="G108" s="202"/>
      <c r="H108" s="203"/>
      <c r="I108" s="205"/>
      <c r="J108" s="202"/>
      <c r="K108" s="203"/>
    </row>
    <row r="109" spans="2:11" ht="6.95" customHeight="1">
      <c r="B109" s="171"/>
      <c r="C109" s="44"/>
      <c r="D109" s="208"/>
      <c r="E109" s="209"/>
      <c r="F109" s="210"/>
      <c r="G109" s="208"/>
      <c r="H109" s="209"/>
      <c r="I109" s="206"/>
      <c r="J109" s="208"/>
      <c r="K109" s="209"/>
    </row>
    <row r="110" spans="2:11" ht="15" customHeight="1">
      <c r="B110" s="115" t="s">
        <v>36</v>
      </c>
      <c r="C110" s="126"/>
      <c r="D110" s="208">
        <v>709747.20889050199</v>
      </c>
      <c r="E110" s="209">
        <v>0.87151031798563094</v>
      </c>
      <c r="F110" s="210"/>
      <c r="G110" s="208">
        <v>500538.576638731</v>
      </c>
      <c r="H110" s="209">
        <v>1.1045374617430399</v>
      </c>
      <c r="I110" s="206"/>
      <c r="J110" s="208">
        <v>463926.41501825099</v>
      </c>
      <c r="K110" s="209">
        <v>1.24192465172947</v>
      </c>
    </row>
    <row r="111" spans="2:11" ht="15" customHeight="1">
      <c r="B111" s="115" t="s">
        <v>37</v>
      </c>
      <c r="C111" s="126"/>
      <c r="D111" s="208">
        <v>603468.27781862998</v>
      </c>
      <c r="E111" s="209">
        <v>0.80086025635011004</v>
      </c>
      <c r="F111" s="210"/>
      <c r="G111" s="208">
        <v>415748.367232672</v>
      </c>
      <c r="H111" s="209">
        <v>1.06564245689615</v>
      </c>
      <c r="I111" s="206"/>
      <c r="J111" s="208">
        <v>386093.01801289403</v>
      </c>
      <c r="K111" s="209">
        <v>1.1367014783473</v>
      </c>
    </row>
    <row r="112" spans="2:11" ht="15" customHeight="1">
      <c r="B112" s="115" t="s">
        <v>38</v>
      </c>
      <c r="C112" s="126"/>
      <c r="D112" s="208">
        <v>497163.225655091</v>
      </c>
      <c r="E112" s="209">
        <v>0.68795136525657896</v>
      </c>
      <c r="F112" s="210"/>
      <c r="G112" s="208">
        <v>353647.18501437001</v>
      </c>
      <c r="H112" s="209">
        <v>0.93866209683174795</v>
      </c>
      <c r="I112" s="206"/>
      <c r="J112" s="208">
        <v>303243.30289146199</v>
      </c>
      <c r="K112" s="209">
        <v>1.0202724524639999</v>
      </c>
    </row>
    <row r="113" spans="2:11" ht="15" customHeight="1">
      <c r="B113" s="115" t="s">
        <v>65</v>
      </c>
      <c r="C113" s="126"/>
      <c r="D113" s="208">
        <v>18021.543696935099</v>
      </c>
      <c r="E113" s="209">
        <v>3.1814645012183403E-2</v>
      </c>
      <c r="F113" s="210"/>
      <c r="G113" s="208">
        <v>14864.588883652301</v>
      </c>
      <c r="H113" s="209">
        <v>4.9287959077534499E-2</v>
      </c>
      <c r="I113" s="206"/>
      <c r="J113" s="208">
        <v>10212.900371588899</v>
      </c>
      <c r="K113" s="209">
        <v>3.8466873152426098E-2</v>
      </c>
    </row>
    <row r="114" spans="2:11" ht="6.95" customHeight="1">
      <c r="B114" s="127"/>
      <c r="C114" s="126"/>
      <c r="D114" s="216"/>
      <c r="E114" s="216"/>
      <c r="F114" s="222"/>
      <c r="G114" s="216"/>
      <c r="H114" s="216"/>
      <c r="I114" s="217"/>
      <c r="J114" s="216"/>
      <c r="K114" s="216"/>
    </row>
    <row r="115" spans="2:11" ht="30" customHeight="1">
      <c r="B115" s="171" t="s">
        <v>99</v>
      </c>
      <c r="C115" s="126"/>
      <c r="D115" s="202"/>
      <c r="E115" s="203"/>
      <c r="F115" s="204"/>
      <c r="G115" s="202"/>
      <c r="H115" s="203"/>
      <c r="I115" s="205"/>
      <c r="J115" s="202"/>
      <c r="K115" s="203"/>
    </row>
    <row r="116" spans="2:11" ht="6.95" customHeight="1">
      <c r="B116" s="171"/>
      <c r="C116" s="44"/>
      <c r="D116" s="208"/>
      <c r="E116" s="209"/>
      <c r="F116" s="210"/>
      <c r="G116" s="208"/>
      <c r="H116" s="209"/>
      <c r="I116" s="206"/>
      <c r="J116" s="208"/>
      <c r="K116" s="209"/>
    </row>
    <row r="117" spans="2:11" ht="15" customHeight="1">
      <c r="B117" s="115" t="s">
        <v>36</v>
      </c>
      <c r="C117" s="126"/>
      <c r="D117" s="208">
        <v>788896.89016397903</v>
      </c>
      <c r="E117" s="209">
        <v>0.88409815592590002</v>
      </c>
      <c r="F117" s="210"/>
      <c r="G117" s="208">
        <v>581155.26733809104</v>
      </c>
      <c r="H117" s="209">
        <v>1.2219207837321999</v>
      </c>
      <c r="I117" s="206"/>
      <c r="J117" s="208">
        <v>455730.78189518902</v>
      </c>
      <c r="K117" s="209">
        <v>1.1859974668097</v>
      </c>
    </row>
    <row r="118" spans="2:11" ht="15" customHeight="1">
      <c r="B118" s="115" t="s">
        <v>37</v>
      </c>
      <c r="C118" s="126"/>
      <c r="D118" s="208">
        <v>514864.24358171201</v>
      </c>
      <c r="E118" s="209">
        <v>0.75508651010254701</v>
      </c>
      <c r="F118" s="210"/>
      <c r="G118" s="208">
        <v>378729.49535270297</v>
      </c>
      <c r="H118" s="209">
        <v>1.0500922957157399</v>
      </c>
      <c r="I118" s="206"/>
      <c r="J118" s="208">
        <v>318717.52850674698</v>
      </c>
      <c r="K118" s="209">
        <v>1.0447335981246899</v>
      </c>
    </row>
    <row r="119" spans="2:11" ht="15" customHeight="1">
      <c r="B119" s="115" t="s">
        <v>38</v>
      </c>
      <c r="C119" s="126"/>
      <c r="D119" s="208">
        <v>551138.60140492395</v>
      </c>
      <c r="E119" s="209">
        <v>0.80369943942097699</v>
      </c>
      <c r="F119" s="210"/>
      <c r="G119" s="208">
        <v>351327.86961339199</v>
      </c>
      <c r="H119" s="209">
        <v>0.97655662077348304</v>
      </c>
      <c r="I119" s="206"/>
      <c r="J119" s="208">
        <v>366341.65436539898</v>
      </c>
      <c r="K119" s="209">
        <v>1.13303027810454</v>
      </c>
    </row>
    <row r="120" spans="2:11" ht="15" customHeight="1">
      <c r="B120" s="115" t="s">
        <v>65</v>
      </c>
      <c r="C120" s="126"/>
      <c r="D120" s="208">
        <v>58511.517086588297</v>
      </c>
      <c r="E120" s="209">
        <v>0.10228370636819301</v>
      </c>
      <c r="F120" s="210"/>
      <c r="G120" s="208">
        <v>27445.724076959101</v>
      </c>
      <c r="H120" s="209">
        <v>9.1105393152177999E-2</v>
      </c>
      <c r="I120" s="206"/>
      <c r="J120" s="208">
        <v>51261.537345901001</v>
      </c>
      <c r="K120" s="209">
        <v>0.191437403506592</v>
      </c>
    </row>
    <row r="121" spans="2:11" ht="6.95" customHeight="1">
      <c r="B121" s="127"/>
      <c r="C121" s="126"/>
      <c r="D121" s="216"/>
      <c r="E121" s="216"/>
      <c r="F121" s="222"/>
      <c r="G121" s="216"/>
      <c r="H121" s="216"/>
      <c r="I121" s="217"/>
      <c r="J121" s="216"/>
      <c r="K121" s="216"/>
    </row>
    <row r="122" spans="2:11" ht="30" customHeight="1">
      <c r="B122" s="171" t="s">
        <v>100</v>
      </c>
      <c r="C122" s="126"/>
      <c r="D122" s="202"/>
      <c r="E122" s="203"/>
      <c r="F122" s="204"/>
      <c r="G122" s="202"/>
      <c r="H122" s="203"/>
      <c r="I122" s="205"/>
      <c r="J122" s="202"/>
      <c r="K122" s="203"/>
    </row>
    <row r="123" spans="2:11" ht="6.95" customHeight="1">
      <c r="B123" s="171"/>
      <c r="C123" s="44"/>
      <c r="D123" s="208"/>
      <c r="E123" s="209"/>
      <c r="F123" s="210"/>
      <c r="G123" s="208"/>
      <c r="H123" s="209"/>
      <c r="I123" s="206"/>
      <c r="J123" s="208"/>
      <c r="K123" s="209"/>
    </row>
    <row r="124" spans="2:11" ht="15" customHeight="1">
      <c r="B124" s="115" t="s">
        <v>36</v>
      </c>
      <c r="C124" s="126"/>
      <c r="D124" s="208">
        <v>671537.03023196</v>
      </c>
      <c r="E124" s="209">
        <v>0.813265136763348</v>
      </c>
      <c r="F124" s="210"/>
      <c r="G124" s="208">
        <v>477945.736770491</v>
      </c>
      <c r="H124" s="209">
        <v>1.0343685652276999</v>
      </c>
      <c r="I124" s="206"/>
      <c r="J124" s="208">
        <v>434339.96778944897</v>
      </c>
      <c r="K124" s="209">
        <v>1.26758343485964</v>
      </c>
    </row>
    <row r="125" spans="2:11" ht="15" customHeight="1">
      <c r="B125" s="115" t="s">
        <v>37</v>
      </c>
      <c r="C125" s="126"/>
      <c r="D125" s="208">
        <v>565427.01463169302</v>
      </c>
      <c r="E125" s="209">
        <v>0.70964733955102399</v>
      </c>
      <c r="F125" s="210"/>
      <c r="G125" s="208">
        <v>405372.47237013298</v>
      </c>
      <c r="H125" s="209">
        <v>1.0181122260917801</v>
      </c>
      <c r="I125" s="206"/>
      <c r="J125" s="208">
        <v>381588.62213971</v>
      </c>
      <c r="K125" s="209">
        <v>1.1120569278428001</v>
      </c>
    </row>
    <row r="126" spans="2:11" ht="15" customHeight="1">
      <c r="B126" s="115" t="s">
        <v>38</v>
      </c>
      <c r="C126" s="126"/>
      <c r="D126" s="208">
        <v>548703.66372416797</v>
      </c>
      <c r="E126" s="209">
        <v>0.77871968296470795</v>
      </c>
      <c r="F126" s="210"/>
      <c r="G126" s="208">
        <v>377615.56369459</v>
      </c>
      <c r="H126" s="209">
        <v>1.0154595642025299</v>
      </c>
      <c r="I126" s="206"/>
      <c r="J126" s="208">
        <v>344672.72086634801</v>
      </c>
      <c r="K126" s="209">
        <v>1.1026619168840299</v>
      </c>
    </row>
    <row r="127" spans="2:11" ht="15" customHeight="1">
      <c r="B127" s="115" t="s">
        <v>65</v>
      </c>
      <c r="C127" s="126"/>
      <c r="D127" s="208">
        <v>57302.849684537701</v>
      </c>
      <c r="E127" s="209">
        <v>0.100985455101849</v>
      </c>
      <c r="F127" s="210"/>
      <c r="G127" s="208">
        <v>48899.365741579102</v>
      </c>
      <c r="H127" s="209">
        <v>0.16177684896781599</v>
      </c>
      <c r="I127" s="206"/>
      <c r="J127" s="208">
        <v>31256.200332733999</v>
      </c>
      <c r="K127" s="209">
        <v>0.11714086230048799</v>
      </c>
    </row>
    <row r="128" spans="2:11" ht="6.95" customHeight="1">
      <c r="B128" s="127"/>
      <c r="C128" s="126"/>
      <c r="D128" s="213"/>
      <c r="E128" s="213"/>
      <c r="F128" s="221"/>
      <c r="G128" s="213"/>
      <c r="H128" s="213"/>
      <c r="I128" s="213"/>
      <c r="J128" s="213"/>
      <c r="K128" s="213"/>
    </row>
    <row r="129" spans="2:11" ht="30" customHeight="1">
      <c r="B129" s="171" t="s">
        <v>98</v>
      </c>
      <c r="C129" s="126"/>
      <c r="D129" s="202"/>
      <c r="E129" s="203"/>
      <c r="F129" s="204"/>
      <c r="G129" s="202"/>
      <c r="H129" s="203"/>
      <c r="I129" s="205"/>
      <c r="J129" s="202"/>
      <c r="K129" s="203"/>
    </row>
    <row r="130" spans="2:11" ht="6.95" customHeight="1">
      <c r="B130" s="171"/>
      <c r="C130" s="44"/>
      <c r="D130" s="208"/>
      <c r="E130" s="209"/>
      <c r="F130" s="210"/>
      <c r="G130" s="208"/>
      <c r="H130" s="209"/>
      <c r="I130" s="206"/>
      <c r="J130" s="208"/>
      <c r="K130" s="209"/>
    </row>
    <row r="131" spans="2:11" ht="15" customHeight="1">
      <c r="B131" s="115" t="s">
        <v>36</v>
      </c>
      <c r="C131" s="126"/>
      <c r="D131" s="208">
        <v>737251.10922609398</v>
      </c>
      <c r="E131" s="209">
        <v>0.84158565977607702</v>
      </c>
      <c r="F131" s="210"/>
      <c r="G131" s="208">
        <v>493485.05901946902</v>
      </c>
      <c r="H131" s="209">
        <v>1.09034593824225</v>
      </c>
      <c r="I131" s="206"/>
      <c r="J131" s="208">
        <v>473728.04617979698</v>
      </c>
      <c r="K131" s="209">
        <v>1.2191727069332301</v>
      </c>
    </row>
    <row r="132" spans="2:11" ht="15" customHeight="1">
      <c r="B132" s="115" t="s">
        <v>37</v>
      </c>
      <c r="C132" s="126"/>
      <c r="D132" s="208">
        <v>572158.39156972605</v>
      </c>
      <c r="E132" s="209">
        <v>0.79351245119346003</v>
      </c>
      <c r="F132" s="210"/>
      <c r="G132" s="208">
        <v>426224.85847568599</v>
      </c>
      <c r="H132" s="209">
        <v>1.07781546477106</v>
      </c>
      <c r="I132" s="206"/>
      <c r="J132" s="208">
        <v>334066.07147508097</v>
      </c>
      <c r="K132" s="209">
        <v>1.0471026442389599</v>
      </c>
    </row>
    <row r="133" spans="2:11" ht="15" customHeight="1">
      <c r="B133" s="115" t="s">
        <v>38</v>
      </c>
      <c r="C133" s="126"/>
      <c r="D133" s="208">
        <v>524844.31444983894</v>
      </c>
      <c r="E133" s="209">
        <v>0.76000156444866396</v>
      </c>
      <c r="F133" s="210"/>
      <c r="G133" s="208">
        <v>387979.28537688998</v>
      </c>
      <c r="H133" s="209">
        <v>1.09335884384468</v>
      </c>
      <c r="I133" s="206"/>
      <c r="J133" s="208">
        <v>321893.57753589202</v>
      </c>
      <c r="K133" s="209">
        <v>1.0281595975609501</v>
      </c>
    </row>
    <row r="134" spans="2:11" ht="15" customHeight="1">
      <c r="B134" s="115" t="s">
        <v>65</v>
      </c>
      <c r="C134" s="126"/>
      <c r="D134" s="208">
        <v>19144.7588626734</v>
      </c>
      <c r="E134" s="209">
        <v>3.3751016068522002E-2</v>
      </c>
      <c r="F134" s="210"/>
      <c r="G134" s="208">
        <v>16110.014028547601</v>
      </c>
      <c r="H134" s="209">
        <v>5.3370948030239902E-2</v>
      </c>
      <c r="I134" s="206"/>
      <c r="J134" s="208">
        <v>10420.741512756</v>
      </c>
      <c r="K134" s="209">
        <v>3.92831025329137E-2</v>
      </c>
    </row>
    <row r="135" spans="2:11" ht="6.95" customHeight="1">
      <c r="B135" s="127"/>
      <c r="C135" s="126"/>
      <c r="D135" s="213"/>
      <c r="E135" s="213"/>
      <c r="F135" s="221"/>
      <c r="G135" s="213"/>
      <c r="H135" s="213"/>
      <c r="I135" s="213"/>
      <c r="J135" s="213"/>
      <c r="K135" s="213"/>
    </row>
    <row r="136" spans="2:11" ht="30" customHeight="1">
      <c r="B136" s="171" t="s">
        <v>89</v>
      </c>
      <c r="C136" s="126"/>
      <c r="D136" s="202"/>
      <c r="E136" s="203"/>
      <c r="F136" s="204"/>
      <c r="G136" s="202"/>
      <c r="H136" s="203"/>
      <c r="I136" s="205"/>
      <c r="J136" s="202"/>
      <c r="K136" s="203"/>
    </row>
    <row r="137" spans="2:11" ht="6.95" customHeight="1">
      <c r="B137" s="171"/>
      <c r="C137" s="44"/>
      <c r="D137" s="208"/>
      <c r="E137" s="209"/>
      <c r="F137" s="210"/>
      <c r="G137" s="208"/>
      <c r="H137" s="209"/>
      <c r="I137" s="206"/>
      <c r="J137" s="208"/>
      <c r="K137" s="209"/>
    </row>
    <row r="138" spans="2:11" ht="15" customHeight="1">
      <c r="B138" s="115" t="s">
        <v>36</v>
      </c>
      <c r="C138" s="126"/>
      <c r="D138" s="208">
        <v>675571.60730941303</v>
      </c>
      <c r="E138" s="209">
        <v>0.88241083778974405</v>
      </c>
      <c r="F138" s="210"/>
      <c r="G138" s="208">
        <v>469710.45704567502</v>
      </c>
      <c r="H138" s="209">
        <v>1.0885298783094499</v>
      </c>
      <c r="I138" s="206"/>
      <c r="J138" s="208">
        <v>423467.75610450201</v>
      </c>
      <c r="K138" s="209">
        <v>1.27676599636281</v>
      </c>
    </row>
    <row r="139" spans="2:11" ht="15" customHeight="1">
      <c r="B139" s="115" t="s">
        <v>37</v>
      </c>
      <c r="C139" s="126"/>
      <c r="D139" s="208">
        <v>579142.53999378195</v>
      </c>
      <c r="E139" s="209">
        <v>0.79105531774225402</v>
      </c>
      <c r="F139" s="210"/>
      <c r="G139" s="208">
        <v>413032.56600688997</v>
      </c>
      <c r="H139" s="209">
        <v>1.05239854070788</v>
      </c>
      <c r="I139" s="206"/>
      <c r="J139" s="208">
        <v>350686.56569896103</v>
      </c>
      <c r="K139" s="209">
        <v>1.0844665785943699</v>
      </c>
    </row>
    <row r="140" spans="2:11" ht="15" customHeight="1">
      <c r="B140" s="115" t="s">
        <v>38</v>
      </c>
      <c r="C140" s="126"/>
      <c r="D140" s="208">
        <v>608835.80362051202</v>
      </c>
      <c r="E140" s="209">
        <v>0.81699552151538302</v>
      </c>
      <c r="F140" s="210"/>
      <c r="G140" s="208">
        <v>418016.60914231499</v>
      </c>
      <c r="H140" s="209">
        <v>1.11618689598346</v>
      </c>
      <c r="I140" s="206"/>
      <c r="J140" s="208">
        <v>384202.97557225701</v>
      </c>
      <c r="K140" s="209">
        <v>1.11095310517348</v>
      </c>
    </row>
    <row r="141" spans="2:11" ht="15" customHeight="1">
      <c r="B141" s="115" t="s">
        <v>65</v>
      </c>
      <c r="C141" s="126"/>
      <c r="D141" s="208">
        <v>20883.786007331099</v>
      </c>
      <c r="E141" s="209">
        <v>3.6863582015619401E-2</v>
      </c>
      <c r="F141" s="210"/>
      <c r="G141" s="208">
        <v>18863.782123423702</v>
      </c>
      <c r="H141" s="209">
        <v>6.2641742017975094E-2</v>
      </c>
      <c r="I141" s="206"/>
      <c r="J141" s="208">
        <v>8960.4822414867795</v>
      </c>
      <c r="K141" s="209">
        <v>3.3751771013051497E-2</v>
      </c>
    </row>
    <row r="142" spans="2:11" ht="6.95" customHeight="1">
      <c r="B142" s="12"/>
      <c r="C142" s="12"/>
      <c r="D142" s="159"/>
      <c r="E142" s="68"/>
      <c r="F142" s="45"/>
      <c r="G142" s="159"/>
      <c r="H142" s="68"/>
      <c r="I142" s="68"/>
      <c r="J142" s="161"/>
      <c r="K142" s="68"/>
    </row>
    <row r="143" spans="2:11" ht="6.95" customHeight="1">
      <c r="B143" s="66"/>
      <c r="C143" s="66"/>
      <c r="D143" s="160"/>
      <c r="E143" s="67"/>
      <c r="F143" s="67"/>
      <c r="G143" s="160"/>
    </row>
    <row r="144" spans="2:11" customFormat="1" ht="12" customHeight="1">
      <c r="B144" s="247" t="s">
        <v>77</v>
      </c>
      <c r="C144" s="247"/>
      <c r="D144" s="247"/>
      <c r="E144" s="247"/>
      <c r="F144" s="247"/>
      <c r="G144" s="247"/>
      <c r="J144" s="152"/>
    </row>
  </sheetData>
  <mergeCells count="6">
    <mergeCell ref="B144:G144"/>
    <mergeCell ref="B7:B9"/>
    <mergeCell ref="D7:E8"/>
    <mergeCell ref="G7:K7"/>
    <mergeCell ref="G8:H8"/>
    <mergeCell ref="J8:K8"/>
  </mergeCells>
  <hyperlinks>
    <hyperlink ref="K1" location="ÍNDICE!A1" tooltip="Ir a ÍNDICE" display="ÍNDICE" xr:uid="{85FF7261-88DD-49BE-9F56-310D2B5A49D8}"/>
  </hyperlink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2BDD-1032-4F13-A75F-51BFEBBE8F89}">
  <dimension ref="B1:Q5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5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4" t="s">
        <v>117</v>
      </c>
      <c r="C5" s="104"/>
      <c r="D5" s="104"/>
      <c r="E5" s="104"/>
      <c r="F5" s="104"/>
      <c r="G5" s="104"/>
      <c r="H5" s="97"/>
      <c r="J5" s="155"/>
      <c r="K5" s="99" t="s">
        <v>25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11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13"/>
      <c r="C10" s="13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8" t="s">
        <v>6</v>
      </c>
      <c r="C11" s="25"/>
      <c r="D11" s="202">
        <v>940724.76979118201</v>
      </c>
      <c r="E11" s="203">
        <v>0</v>
      </c>
      <c r="F11" s="204"/>
      <c r="G11" s="202">
        <v>790274.85617909802</v>
      </c>
      <c r="H11" s="203">
        <v>0</v>
      </c>
      <c r="I11" s="205"/>
      <c r="J11" s="202">
        <v>719306.42915879702</v>
      </c>
      <c r="K11" s="203">
        <v>0</v>
      </c>
    </row>
    <row r="12" spans="2:17" ht="6.95" customHeight="1">
      <c r="B12" s="18"/>
      <c r="C12" s="25"/>
      <c r="D12" s="208"/>
      <c r="E12" s="209"/>
      <c r="F12" s="210"/>
      <c r="G12" s="208"/>
      <c r="H12" s="209"/>
      <c r="I12" s="206"/>
      <c r="J12" s="208"/>
      <c r="K12" s="209"/>
    </row>
    <row r="13" spans="2:17" ht="15" customHeight="1">
      <c r="B13" s="83" t="s">
        <v>42</v>
      </c>
      <c r="C13" s="29"/>
      <c r="D13" s="208">
        <v>892343.87325622502</v>
      </c>
      <c r="E13" s="209">
        <v>0.71410402183261301</v>
      </c>
      <c r="F13" s="210"/>
      <c r="G13" s="208">
        <v>647561.24647533195</v>
      </c>
      <c r="H13" s="209">
        <v>0.86880913413142802</v>
      </c>
      <c r="I13" s="206"/>
      <c r="J13" s="208">
        <v>616013.55118233105</v>
      </c>
      <c r="K13" s="209">
        <v>0.99714789108602098</v>
      </c>
    </row>
    <row r="14" spans="2:17" ht="15" customHeight="1">
      <c r="B14" s="83" t="s">
        <v>43</v>
      </c>
      <c r="C14" s="28"/>
      <c r="D14" s="208">
        <v>678690.46051191201</v>
      </c>
      <c r="E14" s="209">
        <v>0.71410402183261301</v>
      </c>
      <c r="F14" s="210"/>
      <c r="G14" s="208">
        <v>486887.55958438799</v>
      </c>
      <c r="H14" s="209">
        <v>0.86880913413142802</v>
      </c>
      <c r="I14" s="206"/>
      <c r="J14" s="208">
        <v>472302.297875944</v>
      </c>
      <c r="K14" s="209">
        <v>0.99714789108602098</v>
      </c>
    </row>
    <row r="15" spans="2:17" ht="6.95" customHeight="1">
      <c r="B15" s="23"/>
      <c r="C15" s="30"/>
      <c r="D15" s="206"/>
      <c r="E15" s="206"/>
      <c r="F15" s="220"/>
      <c r="G15" s="206"/>
      <c r="H15" s="206"/>
      <c r="I15" s="206"/>
      <c r="J15" s="206"/>
      <c r="K15" s="206"/>
    </row>
    <row r="16" spans="2:17" ht="15" customHeight="1">
      <c r="B16" s="18" t="s">
        <v>0</v>
      </c>
      <c r="C16" s="28"/>
      <c r="D16" s="202">
        <v>1202696.45731675</v>
      </c>
      <c r="E16" s="203">
        <v>0</v>
      </c>
      <c r="F16" s="204"/>
      <c r="G16" s="202">
        <v>732477.33212123101</v>
      </c>
      <c r="H16" s="203">
        <v>0</v>
      </c>
      <c r="I16" s="205"/>
      <c r="J16" s="202">
        <v>655788.85438650905</v>
      </c>
      <c r="K16" s="203">
        <v>0</v>
      </c>
    </row>
    <row r="17" spans="2:11" ht="6.95" customHeight="1">
      <c r="B17" s="18"/>
      <c r="C17" s="28"/>
      <c r="D17" s="208"/>
      <c r="E17" s="209"/>
      <c r="F17" s="210"/>
      <c r="G17" s="208"/>
      <c r="H17" s="209"/>
      <c r="I17" s="206"/>
      <c r="J17" s="208"/>
      <c r="K17" s="209"/>
    </row>
    <row r="18" spans="2:11" ht="15" customHeight="1">
      <c r="B18" s="83" t="s">
        <v>42</v>
      </c>
      <c r="C18" s="28"/>
      <c r="D18" s="208">
        <v>861545.52818801696</v>
      </c>
      <c r="E18" s="209">
        <v>1.30169390449722</v>
      </c>
      <c r="F18" s="210"/>
      <c r="G18" s="208">
        <v>525627.32729114604</v>
      </c>
      <c r="H18" s="209">
        <v>1.5798261509227101</v>
      </c>
      <c r="I18" s="206"/>
      <c r="J18" s="208">
        <v>497292.08966332499</v>
      </c>
      <c r="K18" s="209">
        <v>1.76519546992433</v>
      </c>
    </row>
    <row r="19" spans="2:11" ht="15" customHeight="1">
      <c r="B19" s="83" t="s">
        <v>43</v>
      </c>
      <c r="C19" s="28"/>
      <c r="D19" s="208">
        <v>569649.25415001297</v>
      </c>
      <c r="E19" s="209">
        <v>1.30169390449722</v>
      </c>
      <c r="F19" s="210"/>
      <c r="G19" s="208">
        <v>365869.854071512</v>
      </c>
      <c r="H19" s="209">
        <v>1.5798261509227101</v>
      </c>
      <c r="I19" s="206"/>
      <c r="J19" s="208">
        <v>319373.45036537503</v>
      </c>
      <c r="K19" s="209">
        <v>1.76519546992433</v>
      </c>
    </row>
    <row r="20" spans="2:11" ht="6.95" customHeight="1">
      <c r="B20" s="21"/>
      <c r="C20" s="31"/>
      <c r="D20" s="206"/>
      <c r="E20" s="206"/>
      <c r="F20" s="220"/>
      <c r="G20" s="206"/>
      <c r="H20" s="206"/>
      <c r="I20" s="206"/>
      <c r="J20" s="206"/>
      <c r="K20" s="206"/>
    </row>
    <row r="21" spans="2:11" ht="15" customHeight="1">
      <c r="B21" s="18" t="s">
        <v>1</v>
      </c>
      <c r="C21" s="28"/>
      <c r="D21" s="202">
        <v>1215345.35573305</v>
      </c>
      <c r="E21" s="203">
        <v>0</v>
      </c>
      <c r="F21" s="204"/>
      <c r="G21" s="202">
        <v>853166.62916364695</v>
      </c>
      <c r="H21" s="203">
        <v>0</v>
      </c>
      <c r="I21" s="205"/>
      <c r="J21" s="202">
        <v>704303.09797417896</v>
      </c>
      <c r="K21" s="203">
        <v>0</v>
      </c>
    </row>
    <row r="22" spans="2:11" ht="6.95" customHeight="1">
      <c r="B22" s="18"/>
      <c r="C22" s="28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83" t="s">
        <v>42</v>
      </c>
      <c r="C23" s="28"/>
      <c r="D23" s="208">
        <v>902588.16498183704</v>
      </c>
      <c r="E23" s="209">
        <v>0.88420712375224897</v>
      </c>
      <c r="F23" s="210"/>
      <c r="G23" s="208">
        <v>603120.93003844004</v>
      </c>
      <c r="H23" s="209">
        <v>1.0712916950793301</v>
      </c>
      <c r="I23" s="206"/>
      <c r="J23" s="208">
        <v>554597.18624470604</v>
      </c>
      <c r="K23" s="209">
        <v>1.2410563340457099</v>
      </c>
    </row>
    <row r="24" spans="2:11" ht="15" customHeight="1">
      <c r="B24" s="83" t="s">
        <v>43</v>
      </c>
      <c r="C24" s="28"/>
      <c r="D24" s="208">
        <v>683900.42409948003</v>
      </c>
      <c r="E24" s="209">
        <v>0.88420712375224897</v>
      </c>
      <c r="F24" s="210"/>
      <c r="G24" s="208">
        <v>471072.74953053601</v>
      </c>
      <c r="H24" s="209">
        <v>1.0712916950793301</v>
      </c>
      <c r="I24" s="206"/>
      <c r="J24" s="208">
        <v>418244.49824495299</v>
      </c>
      <c r="K24" s="209">
        <v>1.2410563340457099</v>
      </c>
    </row>
    <row r="25" spans="2:11" ht="6.95" customHeight="1">
      <c r="B25" s="16"/>
      <c r="C25" s="16"/>
      <c r="D25" s="153"/>
      <c r="E25" s="42"/>
      <c r="F25" s="17"/>
      <c r="G25" s="153"/>
      <c r="H25" s="42"/>
      <c r="I25" s="42"/>
      <c r="J25" s="153"/>
      <c r="K25" s="42"/>
    </row>
    <row r="26" spans="2:11" ht="6.95" customHeight="1">
      <c r="B26" s="13"/>
      <c r="C26" s="13"/>
      <c r="E26" s="59"/>
      <c r="F26" s="59"/>
    </row>
    <row r="27" spans="2:11" ht="12" customHeight="1">
      <c r="B27" s="247" t="s">
        <v>77</v>
      </c>
      <c r="C27" s="247"/>
      <c r="D27" s="247"/>
      <c r="E27" s="247"/>
      <c r="F27" s="247"/>
      <c r="G27" s="247"/>
    </row>
    <row r="28" spans="2:11" ht="6.95" customHeight="1"/>
    <row r="52" ht="6.95" customHeight="1"/>
  </sheetData>
  <mergeCells count="6">
    <mergeCell ref="B27:G27"/>
    <mergeCell ref="B7:B9"/>
    <mergeCell ref="D7:E8"/>
    <mergeCell ref="G7:K7"/>
    <mergeCell ref="G8:H8"/>
    <mergeCell ref="J8:K8"/>
  </mergeCells>
  <hyperlinks>
    <hyperlink ref="K1" location="ÍNDICE!A1" tooltip="Ir a ÍNDICE" display="ÍNDICE" xr:uid="{0680260B-5899-4E0B-934F-16CF1E9215F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DEAD-8F20-41E8-8D6D-DF0FE25A6E9E}">
  <dimension ref="B1:Q5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50" customFormat="1" ht="30" customHeight="1">
      <c r="B5" s="255" t="s">
        <v>124</v>
      </c>
      <c r="C5" s="255"/>
      <c r="D5" s="255"/>
      <c r="E5" s="255"/>
      <c r="F5" s="255"/>
      <c r="G5" s="255"/>
      <c r="H5" s="52"/>
      <c r="J5" s="154"/>
      <c r="K5" s="148" t="s">
        <v>26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20.100000000000001" customHeight="1">
      <c r="B7" s="248" t="s">
        <v>90</v>
      </c>
      <c r="C7" s="54"/>
      <c r="D7" s="251" t="s">
        <v>130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20.100000000000001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32"/>
      <c r="C10" s="32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80" t="s">
        <v>2</v>
      </c>
      <c r="C11" s="34"/>
      <c r="D11" s="202">
        <v>678690.46051191201</v>
      </c>
      <c r="E11" s="203">
        <v>0</v>
      </c>
      <c r="F11" s="204"/>
      <c r="G11" s="202">
        <v>486887.55958438799</v>
      </c>
      <c r="H11" s="203">
        <v>0</v>
      </c>
      <c r="I11" s="205"/>
      <c r="J11" s="202">
        <v>472302.297875944</v>
      </c>
      <c r="K11" s="203">
        <v>0</v>
      </c>
    </row>
    <row r="12" spans="2:17" ht="6.95" customHeight="1">
      <c r="B12" s="33"/>
      <c r="C12" s="34"/>
      <c r="D12" s="208"/>
      <c r="E12" s="209"/>
      <c r="F12" s="210"/>
      <c r="G12" s="208"/>
      <c r="H12" s="209"/>
      <c r="I12" s="206"/>
      <c r="J12" s="208"/>
      <c r="K12" s="209"/>
    </row>
    <row r="13" spans="2:17" ht="15" customHeight="1">
      <c r="B13" s="84" t="s">
        <v>44</v>
      </c>
      <c r="C13" s="27"/>
      <c r="D13" s="208">
        <v>534163.09797572298</v>
      </c>
      <c r="E13" s="209">
        <v>1.08395233908211</v>
      </c>
      <c r="F13" s="210"/>
      <c r="G13" s="208">
        <v>369392.190574067</v>
      </c>
      <c r="H13" s="209">
        <v>1.31035834239195</v>
      </c>
      <c r="I13" s="206"/>
      <c r="J13" s="208">
        <v>374689.79261581501</v>
      </c>
      <c r="K13" s="209">
        <v>1.7614934798439399</v>
      </c>
    </row>
    <row r="14" spans="2:17" ht="15" customHeight="1">
      <c r="B14" s="85" t="s">
        <v>45</v>
      </c>
      <c r="C14" s="26"/>
      <c r="D14" s="208">
        <v>473471.57094923197</v>
      </c>
      <c r="E14" s="209">
        <v>1.0820159025337499</v>
      </c>
      <c r="F14" s="210"/>
      <c r="G14" s="208">
        <v>351728.53284532297</v>
      </c>
      <c r="H14" s="209">
        <v>1.38273003666856</v>
      </c>
      <c r="I14" s="206"/>
      <c r="J14" s="208">
        <v>302449.009035444</v>
      </c>
      <c r="K14" s="209">
        <v>1.6610712257475699</v>
      </c>
    </row>
    <row r="15" spans="2:17" ht="15" customHeight="1">
      <c r="B15" s="85" t="s">
        <v>46</v>
      </c>
      <c r="C15" s="26"/>
      <c r="D15" s="208">
        <v>563935.62354099099</v>
      </c>
      <c r="E15" s="209">
        <v>1.00909620061026</v>
      </c>
      <c r="F15" s="210"/>
      <c r="G15" s="208">
        <v>422047.27290432202</v>
      </c>
      <c r="H15" s="209">
        <v>1.18218074124227</v>
      </c>
      <c r="I15" s="206"/>
      <c r="J15" s="208">
        <v>375305.25820308598</v>
      </c>
      <c r="K15" s="209">
        <v>1.6954559659288699</v>
      </c>
    </row>
    <row r="16" spans="2:17" ht="15" customHeight="1">
      <c r="B16" s="84" t="s">
        <v>47</v>
      </c>
      <c r="C16" s="26"/>
      <c r="D16" s="208">
        <v>274456.67083989299</v>
      </c>
      <c r="E16" s="209">
        <v>0.72046578757436897</v>
      </c>
      <c r="F16" s="210"/>
      <c r="G16" s="208">
        <v>184815.56465133899</v>
      </c>
      <c r="H16" s="209">
        <v>0.85905552150729203</v>
      </c>
      <c r="I16" s="206"/>
      <c r="J16" s="208">
        <v>196979.32288396501</v>
      </c>
      <c r="K16" s="209">
        <v>1.2260727490866401</v>
      </c>
    </row>
    <row r="17" spans="2:11" ht="30" customHeight="1">
      <c r="B17" s="110" t="s">
        <v>91</v>
      </c>
      <c r="C17" s="26"/>
      <c r="D17" s="208">
        <v>283838.00248265901</v>
      </c>
      <c r="E17" s="209">
        <v>0.76476304650733395</v>
      </c>
      <c r="F17" s="210"/>
      <c r="G17" s="208">
        <v>185274.73119503999</v>
      </c>
      <c r="H17" s="209">
        <v>0.88333560118130094</v>
      </c>
      <c r="I17" s="206"/>
      <c r="J17" s="208">
        <v>204189.26083065401</v>
      </c>
      <c r="K17" s="209">
        <v>1.3845359158228501</v>
      </c>
    </row>
    <row r="18" spans="2:11" ht="30" customHeight="1">
      <c r="B18" s="110" t="s">
        <v>92</v>
      </c>
      <c r="C18" s="26"/>
      <c r="D18" s="208">
        <v>221643.97988556599</v>
      </c>
      <c r="E18" s="209">
        <v>0.62746768886819504</v>
      </c>
      <c r="F18" s="210"/>
      <c r="G18" s="208">
        <v>163953.312473631</v>
      </c>
      <c r="H18" s="209">
        <v>0.76550655041146898</v>
      </c>
      <c r="I18" s="206"/>
      <c r="J18" s="208">
        <v>146890.52880769901</v>
      </c>
      <c r="K18" s="209">
        <v>0.99284848393089298</v>
      </c>
    </row>
    <row r="19" spans="2:11" ht="15" customHeight="1">
      <c r="B19" s="84" t="s">
        <v>48</v>
      </c>
      <c r="C19" s="26"/>
      <c r="D19" s="208">
        <v>192634.63342491101</v>
      </c>
      <c r="E19" s="209">
        <v>0.55492326752363896</v>
      </c>
      <c r="F19" s="210"/>
      <c r="G19" s="208">
        <v>141777.195075364</v>
      </c>
      <c r="H19" s="209">
        <v>0.68655945265498497</v>
      </c>
      <c r="I19" s="206"/>
      <c r="J19" s="208">
        <v>145339.46648472999</v>
      </c>
      <c r="K19" s="209">
        <v>0.97962595419058596</v>
      </c>
    </row>
    <row r="20" spans="2:11" ht="6.95" customHeight="1">
      <c r="B20" s="33"/>
      <c r="C20" s="36"/>
      <c r="D20" s="206"/>
      <c r="E20" s="206"/>
      <c r="F20" s="224"/>
      <c r="G20" s="206"/>
      <c r="H20" s="206"/>
      <c r="I20" s="206"/>
      <c r="J20" s="206"/>
      <c r="K20" s="206"/>
    </row>
    <row r="21" spans="2:11" ht="15" customHeight="1">
      <c r="B21" s="179" t="s">
        <v>0</v>
      </c>
      <c r="C21" s="26"/>
      <c r="D21" s="202">
        <v>569649.25415001297</v>
      </c>
      <c r="E21" s="203">
        <v>0</v>
      </c>
      <c r="F21" s="204"/>
      <c r="G21" s="202">
        <v>365869.854071512</v>
      </c>
      <c r="H21" s="203">
        <v>0</v>
      </c>
      <c r="I21" s="205"/>
      <c r="J21" s="202">
        <v>319373.45036537503</v>
      </c>
      <c r="K21" s="203">
        <v>0</v>
      </c>
    </row>
    <row r="22" spans="2:11" ht="6.95" customHeight="1">
      <c r="B22" s="33"/>
      <c r="C22" s="26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84" t="s">
        <v>44</v>
      </c>
      <c r="C23" s="26"/>
      <c r="D23" s="208">
        <v>438751.64570026501</v>
      </c>
      <c r="E23" s="209">
        <v>1.7131760193907699</v>
      </c>
      <c r="F23" s="210"/>
      <c r="G23" s="208">
        <v>287915.20046900399</v>
      </c>
      <c r="H23" s="209">
        <v>2.0747825014643899</v>
      </c>
      <c r="I23" s="206"/>
      <c r="J23" s="208">
        <v>262377.42591090198</v>
      </c>
      <c r="K23" s="209">
        <v>2.5454856845127898</v>
      </c>
    </row>
    <row r="24" spans="2:11" ht="15" customHeight="1">
      <c r="B24" s="85" t="s">
        <v>45</v>
      </c>
      <c r="C24" s="26"/>
      <c r="D24" s="208">
        <v>351519.106333684</v>
      </c>
      <c r="E24" s="209">
        <v>1.7230329850325701</v>
      </c>
      <c r="F24" s="210"/>
      <c r="G24" s="208">
        <v>247712.52361768301</v>
      </c>
      <c r="H24" s="209">
        <v>2.33356267006037</v>
      </c>
      <c r="I24" s="206"/>
      <c r="J24" s="208">
        <v>209349.92411379301</v>
      </c>
      <c r="K24" s="209">
        <v>2.6856342062677601</v>
      </c>
    </row>
    <row r="25" spans="2:11" ht="15" customHeight="1">
      <c r="B25" s="85" t="s">
        <v>46</v>
      </c>
      <c r="C25" s="26"/>
      <c r="D25" s="208">
        <v>451950.60037996399</v>
      </c>
      <c r="E25" s="209">
        <v>1.4601851671544599</v>
      </c>
      <c r="F25" s="210"/>
      <c r="G25" s="208">
        <v>302553.35347545298</v>
      </c>
      <c r="H25" s="209">
        <v>1.8914562036749401</v>
      </c>
      <c r="I25" s="206"/>
      <c r="J25" s="208">
        <v>248460.61234171101</v>
      </c>
      <c r="K25" s="209">
        <v>2.2878168629283002</v>
      </c>
    </row>
    <row r="26" spans="2:11" ht="15" customHeight="1">
      <c r="B26" s="84" t="s">
        <v>47</v>
      </c>
      <c r="C26" s="26"/>
      <c r="D26" s="208">
        <v>174309.860239473</v>
      </c>
      <c r="E26" s="209">
        <v>1.1119728336017101</v>
      </c>
      <c r="F26" s="210"/>
      <c r="G26" s="208">
        <v>100506.31239984</v>
      </c>
      <c r="H26" s="209">
        <v>1.1893073137153201</v>
      </c>
      <c r="I26" s="206"/>
      <c r="J26" s="208">
        <v>118502.365740266</v>
      </c>
      <c r="K26" s="209">
        <v>1.84628603624109</v>
      </c>
    </row>
    <row r="27" spans="2:11" ht="30" customHeight="1">
      <c r="B27" s="110" t="s">
        <v>91</v>
      </c>
      <c r="C27" s="26"/>
      <c r="D27" s="208">
        <v>196519.771028199</v>
      </c>
      <c r="E27" s="209">
        <v>1.26304970208416</v>
      </c>
      <c r="F27" s="210"/>
      <c r="G27" s="208">
        <v>129871.66522998</v>
      </c>
      <c r="H27" s="209">
        <v>1.5209725990037799</v>
      </c>
      <c r="I27" s="206"/>
      <c r="J27" s="208">
        <v>135960.54575567701</v>
      </c>
      <c r="K27" s="209">
        <v>2.3047567288650699</v>
      </c>
    </row>
    <row r="28" spans="2:11" ht="30" customHeight="1">
      <c r="B28" s="110" t="s">
        <v>92</v>
      </c>
      <c r="C28" s="26"/>
      <c r="D28" s="208">
        <v>126308.227132719</v>
      </c>
      <c r="E28" s="209">
        <v>0.89974096307218399</v>
      </c>
      <c r="F28" s="210"/>
      <c r="G28" s="208">
        <v>100207.245470123</v>
      </c>
      <c r="H28" s="209">
        <v>1.2116032636552601</v>
      </c>
      <c r="I28" s="206"/>
      <c r="J28" s="208">
        <v>65176.271293326499</v>
      </c>
      <c r="K28" s="209">
        <v>1.18294994856345</v>
      </c>
    </row>
    <row r="29" spans="2:11" ht="15" customHeight="1">
      <c r="B29" s="84" t="s">
        <v>48</v>
      </c>
      <c r="C29" s="26"/>
      <c r="D29" s="208">
        <v>109904.32256699201</v>
      </c>
      <c r="E29" s="209">
        <v>0.80012755917637801</v>
      </c>
      <c r="F29" s="210"/>
      <c r="G29" s="208">
        <v>78674.470279845496</v>
      </c>
      <c r="H29" s="209">
        <v>0.97208741943223298</v>
      </c>
      <c r="I29" s="206"/>
      <c r="J29" s="208">
        <v>61294.416948815502</v>
      </c>
      <c r="K29" s="209">
        <v>1.13472354698102</v>
      </c>
    </row>
    <row r="30" spans="2:11" ht="6.95" customHeight="1">
      <c r="B30" s="37"/>
      <c r="C30" s="36"/>
      <c r="D30" s="206"/>
      <c r="E30" s="206"/>
      <c r="F30" s="224"/>
      <c r="G30" s="206"/>
      <c r="H30" s="206"/>
      <c r="I30" s="206"/>
      <c r="J30" s="206"/>
      <c r="K30" s="206"/>
    </row>
    <row r="31" spans="2:11" ht="15" customHeight="1">
      <c r="B31" s="179" t="s">
        <v>0</v>
      </c>
      <c r="C31" s="26"/>
      <c r="D31" s="202">
        <v>683900.42409948003</v>
      </c>
      <c r="E31" s="203">
        <v>0</v>
      </c>
      <c r="F31" s="204"/>
      <c r="G31" s="202">
        <v>471072.74953053601</v>
      </c>
      <c r="H31" s="203">
        <v>0</v>
      </c>
      <c r="I31" s="205"/>
      <c r="J31" s="202">
        <v>418244.49824495299</v>
      </c>
      <c r="K31" s="203">
        <v>0</v>
      </c>
    </row>
    <row r="32" spans="2:11" ht="6.95" customHeight="1">
      <c r="B32" s="33"/>
      <c r="C32" s="26"/>
      <c r="D32" s="208"/>
      <c r="E32" s="209"/>
      <c r="F32" s="210"/>
      <c r="G32" s="208"/>
      <c r="H32" s="209"/>
      <c r="I32" s="206"/>
      <c r="J32" s="208"/>
      <c r="K32" s="209"/>
    </row>
    <row r="33" spans="2:11" ht="15" customHeight="1">
      <c r="B33" s="84" t="s">
        <v>44</v>
      </c>
      <c r="C33" s="26"/>
      <c r="D33" s="208">
        <v>482654.36179964599</v>
      </c>
      <c r="E33" s="209">
        <v>1.46142375883765</v>
      </c>
      <c r="F33" s="210"/>
      <c r="G33" s="208">
        <v>324433.69822553202</v>
      </c>
      <c r="H33" s="209">
        <v>1.7258512921728799</v>
      </c>
      <c r="I33" s="206"/>
      <c r="J33" s="208">
        <v>307150.34391764301</v>
      </c>
      <c r="K33" s="209">
        <v>2.3751124356206899</v>
      </c>
    </row>
    <row r="34" spans="2:11" ht="15" customHeight="1">
      <c r="B34" s="85" t="s">
        <v>45</v>
      </c>
      <c r="C34" s="26"/>
      <c r="D34" s="208">
        <v>431450.49535947299</v>
      </c>
      <c r="E34" s="209">
        <v>1.41918698794099</v>
      </c>
      <c r="F34" s="210"/>
      <c r="G34" s="208">
        <v>313146.89742379898</v>
      </c>
      <c r="H34" s="209">
        <v>1.7261413377719901</v>
      </c>
      <c r="I34" s="206"/>
      <c r="J34" s="208">
        <v>242663.968697139</v>
      </c>
      <c r="K34" s="209">
        <v>2.1329865787725599</v>
      </c>
    </row>
    <row r="35" spans="2:11" ht="15" customHeight="1">
      <c r="B35" s="85" t="s">
        <v>46</v>
      </c>
      <c r="C35" s="26"/>
      <c r="D35" s="208">
        <v>560756.26788733294</v>
      </c>
      <c r="E35" s="209">
        <v>1.3891663864452599</v>
      </c>
      <c r="F35" s="210"/>
      <c r="G35" s="208">
        <v>407065.38029845798</v>
      </c>
      <c r="H35" s="209">
        <v>1.5384083422360899</v>
      </c>
      <c r="I35" s="206"/>
      <c r="J35" s="208">
        <v>327816.60669490002</v>
      </c>
      <c r="K35" s="209">
        <v>2.3709120171350002</v>
      </c>
    </row>
    <row r="36" spans="2:11" ht="15" customHeight="1">
      <c r="B36" s="84" t="s">
        <v>47</v>
      </c>
      <c r="C36" s="26"/>
      <c r="D36" s="208">
        <v>234218.192917323</v>
      </c>
      <c r="E36" s="209">
        <v>0.94538135495340403</v>
      </c>
      <c r="F36" s="210"/>
      <c r="G36" s="208">
        <v>160997.865367108</v>
      </c>
      <c r="H36" s="209">
        <v>1.1614995422484999</v>
      </c>
      <c r="I36" s="206"/>
      <c r="J36" s="208">
        <v>165865.404025097</v>
      </c>
      <c r="K36" s="209">
        <v>1.6346717745477599</v>
      </c>
    </row>
    <row r="37" spans="2:11" ht="30" customHeight="1">
      <c r="B37" s="110" t="s">
        <v>91</v>
      </c>
      <c r="C37" s="26"/>
      <c r="D37" s="208">
        <v>241757.95298223701</v>
      </c>
      <c r="E37" s="209">
        <v>0.98768724839861499</v>
      </c>
      <c r="F37" s="210"/>
      <c r="G37" s="208">
        <v>152171.62717748599</v>
      </c>
      <c r="H37" s="209">
        <v>1.1278667850384001</v>
      </c>
      <c r="I37" s="206"/>
      <c r="J37" s="208">
        <v>160471.393785547</v>
      </c>
      <c r="K37" s="209">
        <v>1.71179045991134</v>
      </c>
    </row>
    <row r="38" spans="2:11" ht="30" customHeight="1">
      <c r="B38" s="110" t="s">
        <v>92</v>
      </c>
      <c r="C38" s="26"/>
      <c r="D38" s="208">
        <v>196333.74013140501</v>
      </c>
      <c r="E38" s="209">
        <v>0.85781576991067199</v>
      </c>
      <c r="F38" s="210"/>
      <c r="G38" s="208">
        <v>138685.69767887401</v>
      </c>
      <c r="H38" s="209">
        <v>1.0045888193135499</v>
      </c>
      <c r="I38" s="206"/>
      <c r="J38" s="208">
        <v>133355.65533603801</v>
      </c>
      <c r="K38" s="209">
        <v>1.4168670447913401</v>
      </c>
    </row>
    <row r="39" spans="2:11" ht="15" customHeight="1">
      <c r="B39" s="84" t="s">
        <v>48</v>
      </c>
      <c r="C39" s="26"/>
      <c r="D39" s="208">
        <v>178273.21064810501</v>
      </c>
      <c r="E39" s="209">
        <v>0.76282026155223803</v>
      </c>
      <c r="F39" s="210"/>
      <c r="G39" s="208">
        <v>128291.171064714</v>
      </c>
      <c r="H39" s="209">
        <v>0.94340170319511396</v>
      </c>
      <c r="I39" s="206"/>
      <c r="J39" s="208">
        <v>134807.81247256199</v>
      </c>
      <c r="K39" s="209">
        <v>1.40360915842176</v>
      </c>
    </row>
    <row r="40" spans="2:11" ht="6.95" customHeight="1">
      <c r="B40" s="38"/>
      <c r="C40" s="38"/>
      <c r="D40" s="153"/>
      <c r="E40" s="42"/>
      <c r="F40" s="39"/>
      <c r="G40" s="153"/>
      <c r="H40" s="42"/>
      <c r="I40" s="42"/>
      <c r="J40" s="153"/>
      <c r="K40" s="42"/>
    </row>
    <row r="41" spans="2:11" ht="6.95" customHeight="1">
      <c r="B41" s="33"/>
      <c r="C41" s="33"/>
      <c r="E41" s="32"/>
      <c r="F41" s="32"/>
    </row>
    <row r="42" spans="2:11" ht="12" customHeight="1">
      <c r="B42" s="79" t="s">
        <v>32</v>
      </c>
      <c r="C42" s="46"/>
      <c r="E42" s="76"/>
      <c r="F42" s="76"/>
    </row>
    <row r="43" spans="2:11" ht="12" customHeight="1">
      <c r="B43" s="247" t="s">
        <v>77</v>
      </c>
      <c r="C43" s="247"/>
      <c r="D43" s="247"/>
      <c r="E43" s="247"/>
      <c r="F43" s="247"/>
      <c r="G43" s="247"/>
    </row>
    <row r="52" ht="6.95" customHeight="1"/>
  </sheetData>
  <mergeCells count="7">
    <mergeCell ref="B43:G43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22E1D956-8A7C-40E6-9AE4-825C37F089F5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752DC-C1C3-45C1-9A6D-2642E473FD06}">
  <dimension ref="B1:Q5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3" t="s">
        <v>120</v>
      </c>
      <c r="C5" s="101"/>
      <c r="D5" s="151"/>
      <c r="E5" s="102"/>
      <c r="F5" s="102"/>
      <c r="G5" s="151"/>
      <c r="H5" s="97"/>
      <c r="J5" s="155"/>
      <c r="K5" s="99" t="s">
        <v>27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101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13"/>
      <c r="C10" s="13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31" t="s">
        <v>6</v>
      </c>
      <c r="C11" s="34"/>
      <c r="D11" s="202">
        <v>940724.76979118201</v>
      </c>
      <c r="E11" s="203">
        <v>0</v>
      </c>
      <c r="F11" s="204"/>
      <c r="G11" s="202">
        <v>790274.85617909802</v>
      </c>
      <c r="H11" s="203">
        <v>0</v>
      </c>
      <c r="I11" s="205"/>
      <c r="J11" s="202">
        <v>719306.42915879702</v>
      </c>
      <c r="K11" s="203">
        <v>0</v>
      </c>
    </row>
    <row r="12" spans="2:17" ht="6.95" customHeight="1">
      <c r="B12" s="131"/>
      <c r="C12" s="34"/>
      <c r="D12" s="208"/>
      <c r="E12" s="209"/>
      <c r="F12" s="210"/>
      <c r="G12" s="208"/>
      <c r="H12" s="209"/>
      <c r="I12" s="206"/>
      <c r="J12" s="208"/>
      <c r="K12" s="209"/>
    </row>
    <row r="13" spans="2:17" ht="15" customHeight="1">
      <c r="B13" s="84" t="s">
        <v>49</v>
      </c>
      <c r="C13" s="27"/>
      <c r="D13" s="208">
        <v>277213.31367420498</v>
      </c>
      <c r="E13" s="209">
        <v>0.31609305320238601</v>
      </c>
      <c r="F13" s="210"/>
      <c r="G13" s="208">
        <v>170687.73598447599</v>
      </c>
      <c r="H13" s="209">
        <v>0.36150845450462399</v>
      </c>
      <c r="I13" s="206"/>
      <c r="J13" s="208">
        <v>214041.054343375</v>
      </c>
      <c r="K13" s="209">
        <v>0.51271111288314497</v>
      </c>
    </row>
    <row r="14" spans="2:17" ht="15" customHeight="1">
      <c r="B14" s="85" t="s">
        <v>50</v>
      </c>
      <c r="C14" s="26"/>
      <c r="D14" s="208">
        <v>936605.68734847102</v>
      </c>
      <c r="E14" s="209">
        <v>0.31609305320238601</v>
      </c>
      <c r="F14" s="210"/>
      <c r="G14" s="208">
        <v>777713.31114048103</v>
      </c>
      <c r="H14" s="209">
        <v>0.36150845450462399</v>
      </c>
      <c r="I14" s="206"/>
      <c r="J14" s="208">
        <v>691309.98063286196</v>
      </c>
      <c r="K14" s="209">
        <v>0.51271111288314497</v>
      </c>
    </row>
    <row r="15" spans="2:17" ht="6.95" customHeight="1">
      <c r="B15" s="132"/>
      <c r="C15" s="133"/>
      <c r="D15" s="217"/>
      <c r="E15" s="217"/>
      <c r="F15" s="225"/>
      <c r="G15" s="217"/>
      <c r="H15" s="217"/>
      <c r="I15" s="217"/>
      <c r="J15" s="217"/>
      <c r="K15" s="217"/>
    </row>
    <row r="16" spans="2:17" ht="15" customHeight="1">
      <c r="B16" s="180" t="s">
        <v>0</v>
      </c>
      <c r="C16" s="26"/>
      <c r="D16" s="202">
        <v>1202696.45731675</v>
      </c>
      <c r="E16" s="203">
        <v>0</v>
      </c>
      <c r="F16" s="204"/>
      <c r="G16" s="202">
        <v>732477.33212123101</v>
      </c>
      <c r="H16" s="203">
        <v>0</v>
      </c>
      <c r="I16" s="205"/>
      <c r="J16" s="202">
        <v>655788.85438650905</v>
      </c>
      <c r="K16" s="203">
        <v>0</v>
      </c>
    </row>
    <row r="17" spans="2:11" ht="6.95" customHeight="1">
      <c r="B17" s="131"/>
      <c r="C17" s="26"/>
      <c r="D17" s="208"/>
      <c r="E17" s="209"/>
      <c r="F17" s="210"/>
      <c r="G17" s="208"/>
      <c r="H17" s="209"/>
      <c r="I17" s="206"/>
      <c r="J17" s="208"/>
      <c r="K17" s="209"/>
    </row>
    <row r="18" spans="2:11" ht="15" customHeight="1">
      <c r="B18" s="84" t="s">
        <v>49</v>
      </c>
      <c r="C18" s="26"/>
      <c r="D18" s="208">
        <v>123559.398744429</v>
      </c>
      <c r="E18" s="209">
        <v>0.38086912184108701</v>
      </c>
      <c r="F18" s="210"/>
      <c r="G18" s="208">
        <v>84644.108158040894</v>
      </c>
      <c r="H18" s="209">
        <v>0.49707597738756398</v>
      </c>
      <c r="I18" s="206"/>
      <c r="J18" s="208">
        <v>91928.022122641996</v>
      </c>
      <c r="K18" s="209">
        <v>0.63193473278367296</v>
      </c>
    </row>
    <row r="19" spans="2:11" ht="15" customHeight="1">
      <c r="B19" s="85" t="s">
        <v>50</v>
      </c>
      <c r="C19" s="26"/>
      <c r="D19" s="208">
        <v>1159247.1512275899</v>
      </c>
      <c r="E19" s="209">
        <v>0.38086912184108701</v>
      </c>
      <c r="F19" s="210"/>
      <c r="G19" s="208">
        <v>713068.13567455695</v>
      </c>
      <c r="H19" s="209">
        <v>0.49707597738756398</v>
      </c>
      <c r="I19" s="206"/>
      <c r="J19" s="208">
        <v>626900.94228136505</v>
      </c>
      <c r="K19" s="209">
        <v>0.63193473278367296</v>
      </c>
    </row>
    <row r="20" spans="2:11" ht="6.95" customHeight="1">
      <c r="B20" s="134"/>
      <c r="C20" s="135"/>
      <c r="D20" s="217"/>
      <c r="E20" s="217"/>
      <c r="F20" s="225"/>
      <c r="G20" s="217"/>
      <c r="H20" s="217"/>
      <c r="I20" s="217"/>
      <c r="J20" s="217"/>
      <c r="K20" s="217"/>
    </row>
    <row r="21" spans="2:11" ht="15" customHeight="1">
      <c r="B21" s="180" t="s">
        <v>1</v>
      </c>
      <c r="C21" s="26"/>
      <c r="D21" s="202">
        <v>1215345.35573305</v>
      </c>
      <c r="E21" s="203">
        <v>0</v>
      </c>
      <c r="F21" s="204"/>
      <c r="G21" s="202">
        <v>853166.62916364695</v>
      </c>
      <c r="H21" s="203">
        <v>0</v>
      </c>
      <c r="I21" s="205"/>
      <c r="J21" s="202">
        <v>704303.09797417896</v>
      </c>
      <c r="K21" s="203">
        <v>0</v>
      </c>
    </row>
    <row r="22" spans="2:11" ht="6.95" customHeight="1">
      <c r="B22" s="131"/>
      <c r="C22" s="26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84" t="s">
        <v>49</v>
      </c>
      <c r="C23" s="26"/>
      <c r="D23" s="208">
        <v>252976.59169467501</v>
      </c>
      <c r="E23" s="209">
        <v>0.43117267528341602</v>
      </c>
      <c r="F23" s="210"/>
      <c r="G23" s="208">
        <v>152936.33668605401</v>
      </c>
      <c r="H23" s="209">
        <v>0.49243023526179602</v>
      </c>
      <c r="I23" s="206"/>
      <c r="J23" s="208">
        <v>194396.46851540401</v>
      </c>
      <c r="K23" s="209">
        <v>0.69355205356177696</v>
      </c>
    </row>
    <row r="24" spans="2:11" ht="15" customHeight="1">
      <c r="B24" s="85" t="s">
        <v>50</v>
      </c>
      <c r="C24" s="26"/>
      <c r="D24" s="208">
        <v>1172311.7980049001</v>
      </c>
      <c r="E24" s="209">
        <v>0.43117267528341602</v>
      </c>
      <c r="F24" s="210"/>
      <c r="G24" s="208">
        <v>827203.40091058798</v>
      </c>
      <c r="H24" s="209">
        <v>0.49243023526179602</v>
      </c>
      <c r="I24" s="206"/>
      <c r="J24" s="208">
        <v>668630.11431092594</v>
      </c>
      <c r="K24" s="209">
        <v>0.69355205356177696</v>
      </c>
    </row>
    <row r="25" spans="2:11" ht="6.95" customHeight="1">
      <c r="B25" s="16"/>
      <c r="C25" s="16"/>
      <c r="D25" s="153"/>
      <c r="E25" s="42"/>
      <c r="F25" s="17"/>
      <c r="G25" s="153"/>
      <c r="H25" s="42"/>
      <c r="I25" s="42"/>
      <c r="J25" s="153"/>
      <c r="K25" s="42"/>
    </row>
    <row r="26" spans="2:11" ht="6.95" customHeight="1">
      <c r="B26" s="13"/>
      <c r="C26" s="13"/>
      <c r="E26" s="59"/>
      <c r="F26" s="59"/>
    </row>
    <row r="27" spans="2:11" ht="12" customHeight="1">
      <c r="B27" s="111" t="s">
        <v>62</v>
      </c>
      <c r="C27" s="59"/>
      <c r="D27" s="157"/>
      <c r="E27" s="59"/>
      <c r="F27" s="59"/>
      <c r="G27" s="157"/>
    </row>
    <row r="28" spans="2:11" ht="12" customHeight="1">
      <c r="B28" s="247" t="s">
        <v>77</v>
      </c>
      <c r="C28" s="247"/>
      <c r="D28" s="247"/>
      <c r="E28" s="247"/>
      <c r="F28" s="247"/>
      <c r="G28" s="247"/>
    </row>
    <row r="52" ht="6.95" customHeight="1"/>
  </sheetData>
  <mergeCells count="6">
    <mergeCell ref="B28:G28"/>
    <mergeCell ref="B7:B9"/>
    <mergeCell ref="D7:E8"/>
    <mergeCell ref="G7:K7"/>
    <mergeCell ref="G8:H8"/>
    <mergeCell ref="J8:K8"/>
  </mergeCells>
  <hyperlinks>
    <hyperlink ref="K1" location="ÍNDICE!A1" tooltip="Ir a ÍNDICE" display="ÍNDICE" xr:uid="{6B789BAB-25A6-4C82-B27A-C6306FB73D0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2D72A-8529-42F5-BB97-C3D233A07509}">
  <dimension ref="B1:Q5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50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30" customHeight="1">
      <c r="B5" s="256" t="s">
        <v>125</v>
      </c>
      <c r="C5" s="256"/>
      <c r="D5" s="256"/>
      <c r="E5" s="256"/>
      <c r="F5" s="256"/>
      <c r="G5" s="256"/>
      <c r="H5" s="97"/>
      <c r="J5" s="155"/>
      <c r="K5" s="99" t="s">
        <v>28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93</v>
      </c>
      <c r="C7" s="54"/>
      <c r="D7" s="251" t="s">
        <v>108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32"/>
      <c r="C10" s="32"/>
      <c r="D10" s="192"/>
      <c r="E10" s="196"/>
      <c r="F10" s="197"/>
      <c r="G10" s="192"/>
      <c r="H10" s="196"/>
      <c r="I10" s="197"/>
      <c r="J10" s="192"/>
      <c r="K10" s="196"/>
    </row>
    <row r="11" spans="2:17" s="105" customFormat="1" ht="15" customHeight="1">
      <c r="B11" s="80" t="s">
        <v>2</v>
      </c>
      <c r="C11" s="34"/>
      <c r="D11" s="202">
        <v>940724.76979118201</v>
      </c>
      <c r="E11" s="203">
        <v>0</v>
      </c>
      <c r="F11" s="204"/>
      <c r="G11" s="202">
        <v>790274.85617909802</v>
      </c>
      <c r="H11" s="203">
        <v>0</v>
      </c>
      <c r="I11" s="205"/>
      <c r="J11" s="202">
        <v>719306.42915879702</v>
      </c>
      <c r="K11" s="203">
        <v>0</v>
      </c>
    </row>
    <row r="12" spans="2:17" ht="6.95" customHeight="1">
      <c r="B12" s="33"/>
      <c r="C12" s="34"/>
      <c r="D12" s="208"/>
      <c r="E12" s="209"/>
      <c r="F12" s="204"/>
      <c r="G12" s="208"/>
      <c r="H12" s="209"/>
      <c r="I12" s="205"/>
      <c r="J12" s="208"/>
      <c r="K12" s="209"/>
    </row>
    <row r="13" spans="2:17" s="105" customFormat="1" ht="15" customHeight="1">
      <c r="B13" s="181" t="s">
        <v>16</v>
      </c>
      <c r="C13" s="27"/>
      <c r="D13" s="202">
        <v>829251.895036606</v>
      </c>
      <c r="E13" s="203">
        <v>0.69699565413313003</v>
      </c>
      <c r="F13" s="204"/>
      <c r="G13" s="202">
        <v>589757.89992737898</v>
      </c>
      <c r="H13" s="203">
        <v>0.89130247231600901</v>
      </c>
      <c r="I13" s="205"/>
      <c r="J13" s="202">
        <v>597669.45302443695</v>
      </c>
      <c r="K13" s="203">
        <v>0.98307553023768102</v>
      </c>
    </row>
    <row r="14" spans="2:17" ht="7.15" customHeight="1">
      <c r="B14" s="81"/>
      <c r="C14" s="27"/>
      <c r="D14" s="208"/>
      <c r="E14" s="209"/>
      <c r="F14" s="210"/>
      <c r="G14" s="208"/>
      <c r="H14" s="209"/>
      <c r="I14" s="206"/>
      <c r="J14" s="208"/>
      <c r="K14" s="209"/>
    </row>
    <row r="15" spans="2:17" ht="15" customHeight="1">
      <c r="B15" s="182" t="s">
        <v>13</v>
      </c>
      <c r="C15" s="107"/>
      <c r="D15" s="208">
        <v>687752.97934220498</v>
      </c>
      <c r="E15" s="209">
        <v>0.98101498491930095</v>
      </c>
      <c r="F15" s="210"/>
      <c r="G15" s="208">
        <v>450480.25868464098</v>
      </c>
      <c r="H15" s="209">
        <v>1.3488206413559001</v>
      </c>
      <c r="I15" s="206"/>
      <c r="J15" s="208">
        <v>478645.03076780902</v>
      </c>
      <c r="K15" s="209">
        <v>1.27242790071204</v>
      </c>
    </row>
    <row r="16" spans="2:17" ht="30" customHeight="1">
      <c r="B16" s="183" t="s">
        <v>94</v>
      </c>
      <c r="C16" s="107"/>
      <c r="D16" s="208">
        <v>617703.59696118999</v>
      </c>
      <c r="E16" s="209">
        <v>0.92113143818582</v>
      </c>
      <c r="F16" s="210"/>
      <c r="G16" s="208">
        <v>432539.56007024198</v>
      </c>
      <c r="H16" s="209">
        <v>1.2295398000276501</v>
      </c>
      <c r="I16" s="206"/>
      <c r="J16" s="208">
        <v>478584.52602771099</v>
      </c>
      <c r="K16" s="209">
        <v>1.3327702741342899</v>
      </c>
    </row>
    <row r="17" spans="2:11" ht="15" customHeight="1">
      <c r="B17" s="182" t="s">
        <v>14</v>
      </c>
      <c r="C17" s="107"/>
      <c r="D17" s="208">
        <v>424634.878572608</v>
      </c>
      <c r="E17" s="209">
        <v>0.80497226282965795</v>
      </c>
      <c r="F17" s="210"/>
      <c r="G17" s="208">
        <v>288028.14728912001</v>
      </c>
      <c r="H17" s="209">
        <v>1.04196798806822</v>
      </c>
      <c r="I17" s="206"/>
      <c r="J17" s="208">
        <v>315131.87443523097</v>
      </c>
      <c r="K17" s="209">
        <v>1.1608253193103999</v>
      </c>
    </row>
    <row r="18" spans="2:11" ht="15" customHeight="1">
      <c r="B18" s="183" t="s">
        <v>15</v>
      </c>
      <c r="C18" s="107"/>
      <c r="D18" s="208">
        <v>595315.36999103101</v>
      </c>
      <c r="E18" s="209">
        <v>0.91702596717229701</v>
      </c>
      <c r="F18" s="210"/>
      <c r="G18" s="208">
        <v>403718.75603122998</v>
      </c>
      <c r="H18" s="209">
        <v>1.2217304613711799</v>
      </c>
      <c r="I18" s="206"/>
      <c r="J18" s="208">
        <v>448072.564690225</v>
      </c>
      <c r="K18" s="209">
        <v>1.3664817385094801</v>
      </c>
    </row>
    <row r="19" spans="2:11" ht="7.15" customHeight="1">
      <c r="B19" s="82"/>
      <c r="C19" s="26"/>
      <c r="D19" s="226"/>
      <c r="E19" s="226"/>
      <c r="F19" s="226"/>
      <c r="G19" s="226"/>
      <c r="H19" s="226"/>
      <c r="I19" s="206"/>
      <c r="J19" s="226"/>
      <c r="K19" s="226"/>
    </row>
    <row r="20" spans="2:11" s="105" customFormat="1" ht="15" customHeight="1">
      <c r="B20" s="181" t="s">
        <v>17</v>
      </c>
      <c r="C20" s="26"/>
      <c r="D20" s="202">
        <v>708256.38324129896</v>
      </c>
      <c r="E20" s="203">
        <v>0.69699565413313003</v>
      </c>
      <c r="F20" s="204"/>
      <c r="G20" s="202">
        <v>555911.41997027595</v>
      </c>
      <c r="H20" s="203">
        <v>0.89130247231600901</v>
      </c>
      <c r="I20" s="205"/>
      <c r="J20" s="202">
        <v>478280.54071388702</v>
      </c>
      <c r="K20" s="203">
        <v>0.98307553023768102</v>
      </c>
    </row>
    <row r="21" spans="2:11" ht="6.95" customHeight="1">
      <c r="B21" s="6"/>
      <c r="C21" s="26"/>
      <c r="D21" s="206"/>
      <c r="E21" s="206"/>
      <c r="F21" s="227"/>
      <c r="G21" s="206"/>
      <c r="H21" s="206"/>
      <c r="I21" s="206"/>
      <c r="J21" s="206"/>
      <c r="K21" s="206"/>
    </row>
    <row r="22" spans="2:11" s="105" customFormat="1" ht="15" customHeight="1">
      <c r="B22" s="184" t="s">
        <v>0</v>
      </c>
      <c r="C22" s="26"/>
      <c r="D22" s="202">
        <v>1202696.45731675</v>
      </c>
      <c r="E22" s="203">
        <v>0</v>
      </c>
      <c r="F22" s="204"/>
      <c r="G22" s="202">
        <v>732477.33212123101</v>
      </c>
      <c r="H22" s="203">
        <v>0</v>
      </c>
      <c r="I22" s="205"/>
      <c r="J22" s="202">
        <v>655788.85438650905</v>
      </c>
      <c r="K22" s="203">
        <v>0</v>
      </c>
    </row>
    <row r="23" spans="2:11" ht="6.95" customHeight="1">
      <c r="B23" s="136"/>
      <c r="C23" s="26"/>
      <c r="D23" s="208"/>
      <c r="E23" s="209"/>
      <c r="F23" s="204"/>
      <c r="G23" s="208"/>
      <c r="H23" s="209"/>
      <c r="I23" s="205"/>
      <c r="J23" s="208"/>
      <c r="K23" s="209"/>
    </row>
    <row r="24" spans="2:11" s="105" customFormat="1" ht="15" customHeight="1">
      <c r="B24" s="181" t="s">
        <v>16</v>
      </c>
      <c r="C24" s="27"/>
      <c r="D24" s="202">
        <v>807494.10082495899</v>
      </c>
      <c r="E24" s="203">
        <v>1.2930280086513299</v>
      </c>
      <c r="F24" s="204"/>
      <c r="G24" s="202">
        <v>470325.34409539402</v>
      </c>
      <c r="H24" s="203">
        <v>1.5164880972414601</v>
      </c>
      <c r="I24" s="205"/>
      <c r="J24" s="202">
        <v>476854.714902637</v>
      </c>
      <c r="K24" s="203">
        <v>1.82698392918349</v>
      </c>
    </row>
    <row r="25" spans="2:11" ht="7.15" customHeight="1">
      <c r="B25" s="81"/>
      <c r="C25" s="27"/>
      <c r="D25" s="208"/>
      <c r="E25" s="209"/>
      <c r="F25" s="210"/>
      <c r="G25" s="208"/>
      <c r="H25" s="209"/>
      <c r="I25" s="206"/>
      <c r="J25" s="208"/>
      <c r="K25" s="209"/>
    </row>
    <row r="26" spans="2:11" ht="15" customHeight="1">
      <c r="B26" s="182" t="s">
        <v>13</v>
      </c>
      <c r="C26" s="107"/>
      <c r="D26" s="208">
        <v>606506.61545377702</v>
      </c>
      <c r="E26" s="209">
        <v>1.98564640264696</v>
      </c>
      <c r="F26" s="210"/>
      <c r="G26" s="208">
        <v>327454.95645332203</v>
      </c>
      <c r="H26" s="209">
        <v>2.48144854301913</v>
      </c>
      <c r="I26" s="206"/>
      <c r="J26" s="208">
        <v>372362.60922564799</v>
      </c>
      <c r="K26" s="209">
        <v>2.3338512060664902</v>
      </c>
    </row>
    <row r="27" spans="2:11" ht="30" customHeight="1">
      <c r="B27" s="183" t="s">
        <v>94</v>
      </c>
      <c r="C27" s="107"/>
      <c r="D27" s="208">
        <v>481199.497208165</v>
      </c>
      <c r="E27" s="209">
        <v>1.6161753985333001</v>
      </c>
      <c r="F27" s="210"/>
      <c r="G27" s="208">
        <v>328596.77620976599</v>
      </c>
      <c r="H27" s="209">
        <v>2.01940444500375</v>
      </c>
      <c r="I27" s="206"/>
      <c r="J27" s="208">
        <v>289619.32941098599</v>
      </c>
      <c r="K27" s="209">
        <v>2.4745094170896902</v>
      </c>
    </row>
    <row r="28" spans="2:11" ht="15" customHeight="1">
      <c r="B28" s="182" t="s">
        <v>14</v>
      </c>
      <c r="C28" s="107"/>
      <c r="D28" s="208">
        <v>296677.718133708</v>
      </c>
      <c r="E28" s="209">
        <v>1.5489372286690899</v>
      </c>
      <c r="F28" s="210"/>
      <c r="G28" s="208">
        <v>200213.258713947</v>
      </c>
      <c r="H28" s="209">
        <v>1.92722292214181</v>
      </c>
      <c r="I28" s="206"/>
      <c r="J28" s="208">
        <v>218110.462503052</v>
      </c>
      <c r="K28" s="209">
        <v>2.2966736063614901</v>
      </c>
    </row>
    <row r="29" spans="2:11" ht="15" customHeight="1">
      <c r="B29" s="183" t="s">
        <v>15</v>
      </c>
      <c r="C29" s="107"/>
      <c r="D29" s="208">
        <v>495436.02443711698</v>
      </c>
      <c r="E29" s="209">
        <v>1.55274655165264</v>
      </c>
      <c r="F29" s="210"/>
      <c r="G29" s="208">
        <v>307974.89019839698</v>
      </c>
      <c r="H29" s="209">
        <v>1.9632423405772601</v>
      </c>
      <c r="I29" s="206"/>
      <c r="J29" s="208">
        <v>323379.49357237603</v>
      </c>
      <c r="K29" s="209">
        <v>2.4659152278417098</v>
      </c>
    </row>
    <row r="30" spans="2:11" ht="6.95" customHeight="1">
      <c r="B30" s="82"/>
      <c r="C30" s="107"/>
      <c r="D30" s="226"/>
      <c r="E30" s="226"/>
      <c r="F30" s="226"/>
      <c r="G30" s="226"/>
      <c r="H30" s="226"/>
      <c r="I30" s="206"/>
      <c r="J30" s="226"/>
      <c r="K30" s="226"/>
    </row>
    <row r="31" spans="2:11" s="105" customFormat="1" ht="15" customHeight="1">
      <c r="B31" s="181" t="s">
        <v>17</v>
      </c>
      <c r="C31" s="26"/>
      <c r="D31" s="202">
        <v>624371.89846500696</v>
      </c>
      <c r="E31" s="203">
        <v>1.2930280086513299</v>
      </c>
      <c r="F31" s="204"/>
      <c r="G31" s="202">
        <v>413819.54140829801</v>
      </c>
      <c r="H31" s="203">
        <v>1.5164880972414601</v>
      </c>
      <c r="I31" s="205"/>
      <c r="J31" s="202">
        <v>350034.157216975</v>
      </c>
      <c r="K31" s="203">
        <v>1.82698392918349</v>
      </c>
    </row>
    <row r="32" spans="2:11" ht="6.95" customHeight="1">
      <c r="B32" s="137"/>
      <c r="C32" s="26"/>
      <c r="D32" s="206"/>
      <c r="E32" s="206"/>
      <c r="F32" s="228"/>
      <c r="G32" s="206"/>
      <c r="H32" s="206"/>
      <c r="I32" s="206"/>
      <c r="J32" s="206"/>
      <c r="K32" s="206"/>
    </row>
    <row r="33" spans="2:11" s="105" customFormat="1" ht="15" customHeight="1">
      <c r="B33" s="184" t="s">
        <v>1</v>
      </c>
      <c r="C33" s="26"/>
      <c r="D33" s="202">
        <v>1215345.35573305</v>
      </c>
      <c r="E33" s="203">
        <v>0</v>
      </c>
      <c r="F33" s="204"/>
      <c r="G33" s="202">
        <v>853166.62916364695</v>
      </c>
      <c r="H33" s="203">
        <v>0</v>
      </c>
      <c r="I33" s="205"/>
      <c r="J33" s="202">
        <v>704303.09797417896</v>
      </c>
      <c r="K33" s="203">
        <v>0</v>
      </c>
    </row>
    <row r="34" spans="2:11" ht="6.95" customHeight="1">
      <c r="B34" s="136"/>
      <c r="C34" s="26"/>
      <c r="D34" s="208"/>
      <c r="E34" s="209"/>
      <c r="F34" s="204"/>
      <c r="G34" s="208"/>
      <c r="H34" s="209"/>
      <c r="I34" s="205"/>
      <c r="J34" s="208"/>
      <c r="K34" s="209"/>
    </row>
    <row r="35" spans="2:11" s="105" customFormat="1" ht="15" customHeight="1">
      <c r="B35" s="181" t="s">
        <v>16</v>
      </c>
      <c r="C35" s="27"/>
      <c r="D35" s="202">
        <v>866269.13727747404</v>
      </c>
      <c r="E35" s="203">
        <v>0.82870943959377297</v>
      </c>
      <c r="F35" s="204"/>
      <c r="G35" s="202">
        <v>560224.414335432</v>
      </c>
      <c r="H35" s="203">
        <v>1.1034841833600399</v>
      </c>
      <c r="I35" s="205"/>
      <c r="J35" s="202">
        <v>551073.49246955698</v>
      </c>
      <c r="K35" s="203">
        <v>1.1515709231238</v>
      </c>
    </row>
    <row r="36" spans="2:11" ht="7.15" customHeight="1">
      <c r="B36" s="81"/>
      <c r="C36" s="27"/>
      <c r="D36" s="208"/>
      <c r="E36" s="209"/>
      <c r="F36" s="210"/>
      <c r="G36" s="208"/>
      <c r="H36" s="209"/>
      <c r="I36" s="206"/>
      <c r="J36" s="208"/>
      <c r="K36" s="209"/>
    </row>
    <row r="37" spans="2:11" ht="15" customHeight="1">
      <c r="B37" s="182" t="s">
        <v>13</v>
      </c>
      <c r="C37" s="107"/>
      <c r="D37" s="208">
        <v>570434.76873101597</v>
      </c>
      <c r="E37" s="209">
        <v>1.0619945377630999</v>
      </c>
      <c r="F37" s="210"/>
      <c r="G37" s="208">
        <v>373963.98284986801</v>
      </c>
      <c r="H37" s="209">
        <v>1.5812178150524101</v>
      </c>
      <c r="I37" s="206"/>
      <c r="J37" s="208">
        <v>395021.37666126998</v>
      </c>
      <c r="K37" s="209">
        <v>1.5047506342511401</v>
      </c>
    </row>
    <row r="38" spans="2:11" ht="30" customHeight="1">
      <c r="B38" s="183" t="s">
        <v>94</v>
      </c>
      <c r="C38" s="107"/>
      <c r="D38" s="208">
        <v>615957.62917026202</v>
      </c>
      <c r="E38" s="209">
        <v>1.1034498016429599</v>
      </c>
      <c r="F38" s="210"/>
      <c r="G38" s="208">
        <v>380199.41649053601</v>
      </c>
      <c r="H38" s="209">
        <v>1.5217971713156</v>
      </c>
      <c r="I38" s="206"/>
      <c r="J38" s="208">
        <v>441169.74096418102</v>
      </c>
      <c r="K38" s="209">
        <v>1.4908113806101599</v>
      </c>
    </row>
    <row r="39" spans="2:11" ht="15" customHeight="1">
      <c r="B39" s="182" t="s">
        <v>14</v>
      </c>
      <c r="C39" s="107"/>
      <c r="D39" s="208">
        <v>378226.90711938898</v>
      </c>
      <c r="E39" s="209">
        <v>0.95773610861681602</v>
      </c>
      <c r="F39" s="210"/>
      <c r="G39" s="208">
        <v>253395.11519235701</v>
      </c>
      <c r="H39" s="209">
        <v>1.2817911391785499</v>
      </c>
      <c r="I39" s="206"/>
      <c r="J39" s="208">
        <v>246095.34450222901</v>
      </c>
      <c r="K39" s="209">
        <v>1.3627949891291999</v>
      </c>
    </row>
    <row r="40" spans="2:11" ht="15" customHeight="1">
      <c r="B40" s="183" t="s">
        <v>15</v>
      </c>
      <c r="C40" s="107"/>
      <c r="D40" s="208">
        <v>502668.01452152402</v>
      </c>
      <c r="E40" s="209">
        <v>1.0852022430600201</v>
      </c>
      <c r="F40" s="210"/>
      <c r="G40" s="208">
        <v>332630.785045848</v>
      </c>
      <c r="H40" s="209">
        <v>1.5244545940479901</v>
      </c>
      <c r="I40" s="206"/>
      <c r="J40" s="208">
        <v>357472.02128916403</v>
      </c>
      <c r="K40" s="209">
        <v>1.5758045751290799</v>
      </c>
    </row>
    <row r="41" spans="2:11" ht="7.15" customHeight="1">
      <c r="B41" s="82"/>
      <c r="C41" s="26"/>
      <c r="D41" s="226"/>
      <c r="E41" s="226"/>
      <c r="F41" s="226"/>
      <c r="G41" s="226"/>
      <c r="H41" s="226"/>
      <c r="I41" s="206"/>
      <c r="J41" s="226"/>
      <c r="K41" s="226"/>
    </row>
    <row r="42" spans="2:11" s="105" customFormat="1" ht="15" customHeight="1">
      <c r="B42" s="181" t="s">
        <v>17</v>
      </c>
      <c r="C42" s="26"/>
      <c r="D42" s="202">
        <v>676968.03290184005</v>
      </c>
      <c r="E42" s="203">
        <v>0.82870943959377297</v>
      </c>
      <c r="F42" s="204"/>
      <c r="G42" s="202">
        <v>521858.29044357903</v>
      </c>
      <c r="H42" s="203">
        <v>1.1034841833600399</v>
      </c>
      <c r="I42" s="205"/>
      <c r="J42" s="202">
        <v>392626.41585449601</v>
      </c>
      <c r="K42" s="203">
        <v>1.1515709231238</v>
      </c>
    </row>
    <row r="43" spans="2:11" ht="6.95" customHeight="1">
      <c r="B43" s="38"/>
      <c r="C43" s="38"/>
      <c r="D43" s="153"/>
      <c r="E43" s="42"/>
      <c r="F43" s="39"/>
      <c r="G43" s="153"/>
      <c r="H43" s="42"/>
      <c r="I43" s="42"/>
      <c r="J43" s="153"/>
      <c r="K43" s="42"/>
    </row>
    <row r="44" spans="2:11" ht="6.95" customHeight="1">
      <c r="B44" s="77"/>
      <c r="C44" s="77"/>
      <c r="D44" s="156"/>
      <c r="E44" s="78"/>
      <c r="F44" s="78"/>
      <c r="G44" s="156"/>
      <c r="H44" s="62"/>
      <c r="I44" s="62"/>
      <c r="J44" s="156"/>
      <c r="K44" s="62"/>
    </row>
    <row r="45" spans="2:11" ht="12" customHeight="1">
      <c r="B45" s="108" t="s">
        <v>64</v>
      </c>
      <c r="C45" s="46"/>
      <c r="E45" s="76"/>
      <c r="F45" s="76"/>
    </row>
    <row r="46" spans="2:11" ht="12" customHeight="1">
      <c r="B46" s="108" t="s">
        <v>33</v>
      </c>
      <c r="C46" s="40"/>
      <c r="E46" s="41"/>
      <c r="F46" s="41"/>
    </row>
    <row r="47" spans="2:11" ht="12" customHeight="1">
      <c r="B47" s="247" t="s">
        <v>77</v>
      </c>
      <c r="C47" s="247"/>
      <c r="D47" s="247"/>
      <c r="E47" s="247"/>
      <c r="F47" s="247"/>
      <c r="G47" s="247"/>
    </row>
    <row r="52" ht="6.95" customHeight="1"/>
  </sheetData>
  <mergeCells count="7">
    <mergeCell ref="B47:G47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F2F24390-8B64-4849-A19E-56171B4E1AEA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F02B-A303-40AF-A805-E35D3E4A9257}">
  <dimension ref="B1:Q5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30" customHeight="1">
      <c r="B5" s="256" t="s">
        <v>126</v>
      </c>
      <c r="C5" s="256"/>
      <c r="D5" s="256"/>
      <c r="E5" s="256"/>
      <c r="F5" s="256"/>
      <c r="G5" s="256"/>
      <c r="H5" s="97"/>
      <c r="J5" s="155"/>
      <c r="K5" s="99" t="s">
        <v>19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102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32"/>
      <c r="C10" s="32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80" t="s">
        <v>2</v>
      </c>
      <c r="C11" s="34"/>
      <c r="D11" s="202">
        <v>940724.76979118201</v>
      </c>
      <c r="E11" s="203">
        <v>0</v>
      </c>
      <c r="F11" s="204"/>
      <c r="G11" s="202">
        <v>790274.85617909802</v>
      </c>
      <c r="H11" s="203">
        <v>0</v>
      </c>
      <c r="I11" s="205"/>
      <c r="J11" s="202">
        <v>719306.42915879702</v>
      </c>
      <c r="K11" s="203">
        <v>0</v>
      </c>
    </row>
    <row r="12" spans="2:17" ht="6.95" customHeight="1">
      <c r="B12" s="33"/>
      <c r="C12" s="34"/>
      <c r="D12" s="208"/>
      <c r="E12" s="209"/>
      <c r="F12" s="210"/>
      <c r="G12" s="208"/>
      <c r="H12" s="209"/>
      <c r="I12" s="206"/>
      <c r="J12" s="208"/>
      <c r="K12" s="209"/>
    </row>
    <row r="13" spans="2:17" ht="15" customHeight="1">
      <c r="B13" s="84" t="s">
        <v>51</v>
      </c>
      <c r="C13" s="27"/>
      <c r="D13" s="208">
        <v>642134.09442373703</v>
      </c>
      <c r="E13" s="209">
        <v>0.67442258163644397</v>
      </c>
      <c r="F13" s="210"/>
      <c r="G13" s="208">
        <v>446692.38743185002</v>
      </c>
      <c r="H13" s="209">
        <v>0.87834676990878802</v>
      </c>
      <c r="I13" s="206"/>
      <c r="J13" s="208">
        <v>417542.07755723601</v>
      </c>
      <c r="K13" s="209">
        <v>0.93553925383988501</v>
      </c>
    </row>
    <row r="14" spans="2:17" ht="15" customHeight="1">
      <c r="B14" s="84" t="s">
        <v>52</v>
      </c>
      <c r="C14" s="26"/>
      <c r="D14" s="208">
        <v>559533.92063413595</v>
      </c>
      <c r="E14" s="209">
        <v>0.60792930664420497</v>
      </c>
      <c r="F14" s="210"/>
      <c r="G14" s="208">
        <v>375895.47866050398</v>
      </c>
      <c r="H14" s="209">
        <v>0.72117466891410398</v>
      </c>
      <c r="I14" s="206"/>
      <c r="J14" s="208">
        <v>394173.651391258</v>
      </c>
      <c r="K14" s="209">
        <v>0.88391505837292195</v>
      </c>
    </row>
    <row r="15" spans="2:17" ht="15" customHeight="1">
      <c r="B15" s="84" t="s">
        <v>53</v>
      </c>
      <c r="C15" s="26"/>
      <c r="D15" s="208">
        <v>552915.27041895001</v>
      </c>
      <c r="E15" s="209">
        <v>0.59167849088254698</v>
      </c>
      <c r="F15" s="210"/>
      <c r="G15" s="208">
        <v>416313.41299059801</v>
      </c>
      <c r="H15" s="209">
        <v>0.776438978401363</v>
      </c>
      <c r="I15" s="206"/>
      <c r="J15" s="208">
        <v>410365.03917422699</v>
      </c>
      <c r="K15" s="209">
        <v>0.87221152296433102</v>
      </c>
    </row>
    <row r="16" spans="2:17" ht="15" customHeight="1">
      <c r="B16" s="84" t="s">
        <v>54</v>
      </c>
      <c r="C16" s="26"/>
      <c r="D16" s="208">
        <v>378885.73366780201</v>
      </c>
      <c r="E16" s="209">
        <v>0.42227391650053803</v>
      </c>
      <c r="F16" s="210"/>
      <c r="G16" s="208">
        <v>247109.368019922</v>
      </c>
      <c r="H16" s="209">
        <v>0.49481477874701901</v>
      </c>
      <c r="I16" s="206"/>
      <c r="J16" s="208">
        <v>260840.14933233499</v>
      </c>
      <c r="K16" s="209">
        <v>0.64144179178890204</v>
      </c>
    </row>
    <row r="17" spans="2:11" ht="15" customHeight="1">
      <c r="B17" s="84" t="s">
        <v>55</v>
      </c>
      <c r="C17" s="26"/>
      <c r="D17" s="208">
        <v>392095.36345651298</v>
      </c>
      <c r="E17" s="209">
        <v>0.42878534676491398</v>
      </c>
      <c r="F17" s="210"/>
      <c r="G17" s="208">
        <v>254635.137295653</v>
      </c>
      <c r="H17" s="209">
        <v>0.51779967565496099</v>
      </c>
      <c r="I17" s="206"/>
      <c r="J17" s="208">
        <v>276535.04940832901</v>
      </c>
      <c r="K17" s="209">
        <v>0.65888856666534701</v>
      </c>
    </row>
    <row r="18" spans="2:11" ht="15" customHeight="1">
      <c r="B18" s="84" t="s">
        <v>65</v>
      </c>
      <c r="C18" s="26"/>
      <c r="D18" s="208">
        <v>219853.331520596</v>
      </c>
      <c r="E18" s="209">
        <v>0.248723853155495</v>
      </c>
      <c r="F18" s="210"/>
      <c r="G18" s="208">
        <v>175379.76439327901</v>
      </c>
      <c r="H18" s="209">
        <v>0.36659568070709098</v>
      </c>
      <c r="I18" s="206"/>
      <c r="J18" s="208">
        <v>131673.686441667</v>
      </c>
      <c r="K18" s="209">
        <v>0.32554287291810102</v>
      </c>
    </row>
    <row r="19" spans="2:11" ht="6.95" customHeight="1">
      <c r="B19" s="35"/>
      <c r="C19" s="36"/>
      <c r="D19" s="217"/>
      <c r="E19" s="217"/>
      <c r="F19" s="229"/>
      <c r="G19" s="217"/>
      <c r="H19" s="217"/>
      <c r="I19" s="217"/>
      <c r="J19" s="217"/>
      <c r="K19" s="217"/>
    </row>
    <row r="20" spans="2:11" ht="15" customHeight="1">
      <c r="B20" s="185" t="s">
        <v>0</v>
      </c>
      <c r="C20" s="26"/>
      <c r="D20" s="202">
        <v>1202696.45731675</v>
      </c>
      <c r="E20" s="203">
        <v>0</v>
      </c>
      <c r="F20" s="204"/>
      <c r="G20" s="202">
        <v>732477.33212123101</v>
      </c>
      <c r="H20" s="203">
        <v>0</v>
      </c>
      <c r="I20" s="205"/>
      <c r="J20" s="202">
        <v>655788.85438650905</v>
      </c>
      <c r="K20" s="203">
        <v>0</v>
      </c>
    </row>
    <row r="21" spans="2:11" ht="6.95" customHeight="1">
      <c r="B21" s="138"/>
      <c r="C21" s="26"/>
      <c r="D21" s="208"/>
      <c r="E21" s="209"/>
      <c r="F21" s="210"/>
      <c r="G21" s="208"/>
      <c r="H21" s="209"/>
      <c r="I21" s="206"/>
      <c r="J21" s="208"/>
      <c r="K21" s="209"/>
    </row>
    <row r="22" spans="2:11" ht="15" customHeight="1">
      <c r="B22" s="84" t="s">
        <v>51</v>
      </c>
      <c r="C22" s="27"/>
      <c r="D22" s="208">
        <v>510487.36902854301</v>
      </c>
      <c r="E22" s="209">
        <v>1.29419612050124</v>
      </c>
      <c r="F22" s="210"/>
      <c r="G22" s="208">
        <v>329284.05200430303</v>
      </c>
      <c r="H22" s="209">
        <v>1.5286786421523799</v>
      </c>
      <c r="I22" s="206"/>
      <c r="J22" s="208">
        <v>292190.275268686</v>
      </c>
      <c r="K22" s="209">
        <v>1.83476208893166</v>
      </c>
    </row>
    <row r="23" spans="2:11" ht="15" customHeight="1">
      <c r="B23" s="84" t="s">
        <v>52</v>
      </c>
      <c r="C23" s="26"/>
      <c r="D23" s="208">
        <v>408628.00689366402</v>
      </c>
      <c r="E23" s="209">
        <v>1.10631750608769</v>
      </c>
      <c r="F23" s="210"/>
      <c r="G23" s="208">
        <v>247573.80933076199</v>
      </c>
      <c r="H23" s="209">
        <v>1.23035324511675</v>
      </c>
      <c r="I23" s="206"/>
      <c r="J23" s="208">
        <v>270206.79688976402</v>
      </c>
      <c r="K23" s="209">
        <v>1.6265781095982601</v>
      </c>
    </row>
    <row r="24" spans="2:11" ht="15" customHeight="1">
      <c r="B24" s="84" t="s">
        <v>53</v>
      </c>
      <c r="C24" s="26"/>
      <c r="D24" s="208">
        <v>446204.09707587102</v>
      </c>
      <c r="E24" s="209">
        <v>1.06935702403681</v>
      </c>
      <c r="F24" s="210"/>
      <c r="G24" s="208">
        <v>311252.18496796099</v>
      </c>
      <c r="H24" s="209">
        <v>1.4424398838905199</v>
      </c>
      <c r="I24" s="206"/>
      <c r="J24" s="208">
        <v>259994.13117896099</v>
      </c>
      <c r="K24" s="209">
        <v>1.4847199135210201</v>
      </c>
    </row>
    <row r="25" spans="2:11" ht="15" customHeight="1">
      <c r="B25" s="84" t="s">
        <v>54</v>
      </c>
      <c r="C25" s="26"/>
      <c r="D25" s="208">
        <v>229411.29966547401</v>
      </c>
      <c r="E25" s="209">
        <v>0.65431950393897398</v>
      </c>
      <c r="F25" s="210"/>
      <c r="G25" s="208">
        <v>114961.995201083</v>
      </c>
      <c r="H25" s="209">
        <v>0.59170755543877296</v>
      </c>
      <c r="I25" s="206"/>
      <c r="J25" s="208">
        <v>170032.41466541</v>
      </c>
      <c r="K25" s="209">
        <v>1.1492480021318601</v>
      </c>
    </row>
    <row r="26" spans="2:11" ht="15" customHeight="1">
      <c r="B26" s="84" t="s">
        <v>55</v>
      </c>
      <c r="C26" s="26"/>
      <c r="D26" s="208">
        <v>271392.22037131898</v>
      </c>
      <c r="E26" s="209">
        <v>0.80326171955808601</v>
      </c>
      <c r="F26" s="210"/>
      <c r="G26" s="208">
        <v>161623.57214720099</v>
      </c>
      <c r="H26" s="209">
        <v>0.90552869140856695</v>
      </c>
      <c r="I26" s="206"/>
      <c r="J26" s="208">
        <v>190525.147234178</v>
      </c>
      <c r="K26" s="209">
        <v>1.2832603936548701</v>
      </c>
    </row>
    <row r="27" spans="2:11" ht="15" customHeight="1">
      <c r="B27" s="84" t="s">
        <v>65</v>
      </c>
      <c r="C27" s="26"/>
      <c r="D27" s="208">
        <v>152087.64733640599</v>
      </c>
      <c r="E27" s="209">
        <v>0.469542871080045</v>
      </c>
      <c r="F27" s="210"/>
      <c r="G27" s="208">
        <v>105787.612924933</v>
      </c>
      <c r="H27" s="209">
        <v>0.61694439768446996</v>
      </c>
      <c r="I27" s="206"/>
      <c r="J27" s="208">
        <v>92354.524479819898</v>
      </c>
      <c r="K27" s="209">
        <v>0.64685804072863795</v>
      </c>
    </row>
    <row r="28" spans="2:11" ht="6.95" customHeight="1">
      <c r="B28" s="138"/>
      <c r="C28" s="26"/>
      <c r="D28" s="217"/>
      <c r="E28" s="217"/>
      <c r="F28" s="230"/>
      <c r="G28" s="217"/>
      <c r="H28" s="217"/>
      <c r="I28" s="217"/>
      <c r="J28" s="217"/>
      <c r="K28" s="217"/>
    </row>
    <row r="29" spans="2:11" ht="15" customHeight="1">
      <c r="B29" s="185" t="s">
        <v>1</v>
      </c>
      <c r="C29" s="26"/>
      <c r="D29" s="202">
        <v>1215345.35573305</v>
      </c>
      <c r="E29" s="203">
        <v>0</v>
      </c>
      <c r="F29" s="204"/>
      <c r="G29" s="202">
        <v>853166.62916364695</v>
      </c>
      <c r="H29" s="203">
        <v>0</v>
      </c>
      <c r="I29" s="205"/>
      <c r="J29" s="202">
        <v>704303.09797417896</v>
      </c>
      <c r="K29" s="203">
        <v>0</v>
      </c>
    </row>
    <row r="30" spans="2:11" ht="6.95" customHeight="1">
      <c r="B30" s="138"/>
      <c r="C30" s="26"/>
      <c r="D30" s="208"/>
      <c r="E30" s="209"/>
      <c r="F30" s="210"/>
      <c r="G30" s="208"/>
      <c r="H30" s="209"/>
      <c r="I30" s="206"/>
      <c r="J30" s="208"/>
      <c r="K30" s="209"/>
    </row>
    <row r="31" spans="2:11" ht="15" customHeight="1">
      <c r="B31" s="84" t="s">
        <v>51</v>
      </c>
      <c r="C31" s="27"/>
      <c r="D31" s="208">
        <v>549020.51406994602</v>
      </c>
      <c r="E31" s="209">
        <v>0.79408304700488097</v>
      </c>
      <c r="F31" s="210"/>
      <c r="G31" s="208">
        <v>378559.14438211703</v>
      </c>
      <c r="H31" s="209">
        <v>1.08455396131099</v>
      </c>
      <c r="I31" s="206"/>
      <c r="J31" s="208">
        <v>339015.89045144501</v>
      </c>
      <c r="K31" s="209">
        <v>1.0804181256085399</v>
      </c>
    </row>
    <row r="32" spans="2:11" ht="15" customHeight="1">
      <c r="B32" s="84" t="s">
        <v>52</v>
      </c>
      <c r="C32" s="26"/>
      <c r="D32" s="208">
        <v>486469.26183013502</v>
      </c>
      <c r="E32" s="209">
        <v>0.73681834807345004</v>
      </c>
      <c r="F32" s="210"/>
      <c r="G32" s="208">
        <v>318800.72612438397</v>
      </c>
      <c r="H32" s="209">
        <v>0.88913718036574296</v>
      </c>
      <c r="I32" s="206"/>
      <c r="J32" s="208">
        <v>329576.48155077</v>
      </c>
      <c r="K32" s="209">
        <v>1.0896200468295201</v>
      </c>
    </row>
    <row r="33" spans="2:11" ht="15" customHeight="1">
      <c r="B33" s="84" t="s">
        <v>53</v>
      </c>
      <c r="C33" s="26"/>
      <c r="D33" s="208">
        <v>555029.11812112597</v>
      </c>
      <c r="E33" s="209">
        <v>0.74236021719805301</v>
      </c>
      <c r="F33" s="210"/>
      <c r="G33" s="208">
        <v>385634.04301654402</v>
      </c>
      <c r="H33" s="209">
        <v>0.96959660962593996</v>
      </c>
      <c r="I33" s="206"/>
      <c r="J33" s="208">
        <v>369188.168976655</v>
      </c>
      <c r="K33" s="209">
        <v>1.0767840381658</v>
      </c>
    </row>
    <row r="34" spans="2:11" ht="15" customHeight="1">
      <c r="B34" s="84" t="s">
        <v>54</v>
      </c>
      <c r="C34" s="26"/>
      <c r="D34" s="208">
        <v>329255.44755363301</v>
      </c>
      <c r="E34" s="209">
        <v>0.54772364456671696</v>
      </c>
      <c r="F34" s="210"/>
      <c r="G34" s="208">
        <v>229330.14133299899</v>
      </c>
      <c r="H34" s="209">
        <v>0.69063679390344501</v>
      </c>
      <c r="I34" s="206"/>
      <c r="J34" s="208">
        <v>211164.210645482</v>
      </c>
      <c r="K34" s="209">
        <v>0.78498563771810703</v>
      </c>
    </row>
    <row r="35" spans="2:11" ht="15" customHeight="1">
      <c r="B35" s="84" t="s">
        <v>55</v>
      </c>
      <c r="C35" s="26"/>
      <c r="D35" s="208">
        <v>313501.80938969098</v>
      </c>
      <c r="E35" s="209">
        <v>0.498485898045954</v>
      </c>
      <c r="F35" s="210"/>
      <c r="G35" s="208">
        <v>207392.96228881</v>
      </c>
      <c r="H35" s="209">
        <v>0.61865190569732897</v>
      </c>
      <c r="I35" s="206"/>
      <c r="J35" s="208">
        <v>208747.18840129799</v>
      </c>
      <c r="K35" s="209">
        <v>0.74663351513284903</v>
      </c>
    </row>
    <row r="36" spans="2:11" ht="15" customHeight="1">
      <c r="B36" s="84" t="s">
        <v>65</v>
      </c>
      <c r="C36" s="26"/>
      <c r="D36" s="208">
        <v>170774.22747722</v>
      </c>
      <c r="E36" s="209">
        <v>0.29136402824434599</v>
      </c>
      <c r="F36" s="210"/>
      <c r="G36" s="208">
        <v>142932.43664913499</v>
      </c>
      <c r="H36" s="209">
        <v>0.45482990569734499</v>
      </c>
      <c r="I36" s="206"/>
      <c r="J36" s="208">
        <v>95815.611466336501</v>
      </c>
      <c r="K36" s="209">
        <v>0.356252326915038</v>
      </c>
    </row>
    <row r="37" spans="2:11" ht="6.95" customHeight="1">
      <c r="B37" s="38"/>
      <c r="C37" s="38"/>
      <c r="D37" s="153"/>
      <c r="E37" s="42"/>
      <c r="F37" s="39"/>
      <c r="G37" s="153"/>
      <c r="H37" s="42"/>
      <c r="I37" s="42"/>
      <c r="J37" s="153"/>
      <c r="K37" s="42"/>
    </row>
    <row r="38" spans="2:11" ht="6.95" customHeight="1">
      <c r="B38" s="33"/>
      <c r="C38" s="33"/>
      <c r="E38" s="32"/>
      <c r="F38" s="32"/>
    </row>
    <row r="39" spans="2:11" ht="12" customHeight="1">
      <c r="B39" s="247" t="s">
        <v>77</v>
      </c>
      <c r="C39" s="247"/>
      <c r="D39" s="247"/>
      <c r="E39" s="247"/>
      <c r="F39" s="247"/>
      <c r="G39" s="247"/>
    </row>
    <row r="52" ht="6.95" customHeight="1"/>
  </sheetData>
  <mergeCells count="7">
    <mergeCell ref="B39:G39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4E62A34D-3901-4177-8480-75B7787A69E2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B5081-C07B-49E3-A38B-2CDA491DD903}">
  <dimension ref="B1:Q61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30" customHeight="1">
      <c r="B5" s="256" t="s">
        <v>128</v>
      </c>
      <c r="C5" s="256"/>
      <c r="D5" s="256"/>
      <c r="E5" s="256"/>
      <c r="F5" s="256"/>
      <c r="G5" s="256"/>
      <c r="H5" s="97"/>
      <c r="J5" s="155"/>
      <c r="K5" s="99" t="s">
        <v>72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20.100000000000001" customHeight="1">
      <c r="B7" s="248" t="s">
        <v>127</v>
      </c>
      <c r="C7" s="54"/>
      <c r="D7" s="251" t="s">
        <v>108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20.100000000000001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32"/>
      <c r="C10" s="32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80" t="s">
        <v>2</v>
      </c>
      <c r="C11" s="34"/>
      <c r="D11" s="202">
        <v>940724.76979118201</v>
      </c>
      <c r="E11" s="203">
        <v>0</v>
      </c>
      <c r="F11" s="204"/>
      <c r="G11" s="202">
        <v>790274.85617909802</v>
      </c>
      <c r="H11" s="203">
        <v>0</v>
      </c>
      <c r="I11" s="205"/>
      <c r="J11" s="202">
        <v>719306.42915879702</v>
      </c>
      <c r="K11" s="203">
        <v>0</v>
      </c>
    </row>
    <row r="12" spans="2:17" ht="6.95" customHeight="1">
      <c r="B12" s="33"/>
      <c r="C12" s="34"/>
      <c r="D12" s="208"/>
      <c r="E12" s="209"/>
      <c r="F12" s="204"/>
      <c r="G12" s="208"/>
      <c r="H12" s="209"/>
      <c r="I12" s="205"/>
      <c r="J12" s="208"/>
      <c r="K12" s="209"/>
    </row>
    <row r="13" spans="2:17" ht="15" customHeight="1">
      <c r="B13" s="181" t="s">
        <v>75</v>
      </c>
      <c r="C13" s="27"/>
      <c r="D13" s="202">
        <v>466961.86051499197</v>
      </c>
      <c r="E13" s="203">
        <v>0.52404232662769101</v>
      </c>
      <c r="F13" s="204"/>
      <c r="G13" s="202">
        <v>298808.47233465902</v>
      </c>
      <c r="H13" s="203">
        <v>0.61267564167172295</v>
      </c>
      <c r="I13" s="205"/>
      <c r="J13" s="202">
        <v>289775.758922045</v>
      </c>
      <c r="K13" s="203">
        <v>0.70051344769642099</v>
      </c>
    </row>
    <row r="14" spans="2:17" ht="6.95" customHeight="1">
      <c r="B14" s="81"/>
      <c r="C14" s="27"/>
      <c r="D14" s="208"/>
      <c r="E14" s="209"/>
      <c r="F14" s="210"/>
      <c r="G14" s="208"/>
      <c r="H14" s="209"/>
      <c r="I14" s="206"/>
      <c r="J14" s="208"/>
      <c r="K14" s="209"/>
    </row>
    <row r="15" spans="2:17" ht="30" customHeight="1">
      <c r="B15" s="200" t="s">
        <v>132</v>
      </c>
      <c r="C15" s="27"/>
      <c r="D15" s="208">
        <v>66618.084824039295</v>
      </c>
      <c r="E15" s="209">
        <v>0.67807362421734196</v>
      </c>
      <c r="F15" s="210"/>
      <c r="G15" s="208">
        <v>37474.495975054997</v>
      </c>
      <c r="H15" s="209">
        <v>0.70463411840249901</v>
      </c>
      <c r="I15" s="206"/>
      <c r="J15" s="208">
        <v>52061.219278021999</v>
      </c>
      <c r="K15" s="209">
        <v>1.1388649017639301</v>
      </c>
    </row>
    <row r="16" spans="2:17" ht="30" customHeight="1">
      <c r="B16" s="200" t="s">
        <v>133</v>
      </c>
      <c r="C16" s="27"/>
      <c r="D16" s="208">
        <v>179791.39006605899</v>
      </c>
      <c r="E16" s="209">
        <v>1.58965704820294</v>
      </c>
      <c r="F16" s="210"/>
      <c r="G16" s="208">
        <v>112513.906531261</v>
      </c>
      <c r="H16" s="209">
        <v>1.91713124346477</v>
      </c>
      <c r="I16" s="206"/>
      <c r="J16" s="208">
        <v>101000.52400567</v>
      </c>
      <c r="K16" s="209">
        <v>1.9762742430483</v>
      </c>
    </row>
    <row r="17" spans="2:11" ht="15" customHeight="1">
      <c r="B17" s="200" t="s">
        <v>44</v>
      </c>
      <c r="C17" s="26"/>
      <c r="D17" s="208">
        <v>167864.79157978101</v>
      </c>
      <c r="E17" s="209">
        <v>1.4966545834774201</v>
      </c>
      <c r="F17" s="210"/>
      <c r="G17" s="208">
        <v>121436.997045172</v>
      </c>
      <c r="H17" s="209">
        <v>2.0153968652432299</v>
      </c>
      <c r="I17" s="206"/>
      <c r="J17" s="208">
        <v>118820.816721069</v>
      </c>
      <c r="K17" s="209">
        <v>2.2676823062122802</v>
      </c>
    </row>
    <row r="18" spans="2:11" ht="15" customHeight="1">
      <c r="B18" s="200" t="s">
        <v>45</v>
      </c>
      <c r="C18" s="26"/>
      <c r="D18" s="208">
        <v>318546.03395453503</v>
      </c>
      <c r="E18" s="209">
        <v>2.3406384390248198</v>
      </c>
      <c r="F18" s="210"/>
      <c r="G18" s="208">
        <v>219289.136808688</v>
      </c>
      <c r="H18" s="209">
        <v>2.8845018552635699</v>
      </c>
      <c r="I18" s="206"/>
      <c r="J18" s="208">
        <v>174759.42137693</v>
      </c>
      <c r="K18" s="209">
        <v>2.9883335344365198</v>
      </c>
    </row>
    <row r="19" spans="2:11" ht="15" customHeight="1">
      <c r="B19" s="200" t="s">
        <v>47</v>
      </c>
      <c r="C19" s="26"/>
      <c r="D19" s="208">
        <v>120929.260775891</v>
      </c>
      <c r="E19" s="209">
        <v>1.1426123868765501</v>
      </c>
      <c r="F19" s="210"/>
      <c r="G19" s="208">
        <v>52754.601362481</v>
      </c>
      <c r="H19" s="209">
        <v>1.00163542045363</v>
      </c>
      <c r="I19" s="206"/>
      <c r="J19" s="208">
        <v>109573.68662424599</v>
      </c>
      <c r="K19" s="209">
        <v>2.1679834954431199</v>
      </c>
    </row>
    <row r="20" spans="2:11" ht="15" customHeight="1">
      <c r="B20" s="201" t="s">
        <v>134</v>
      </c>
      <c r="C20" s="26"/>
      <c r="D20" s="216">
        <v>97451.258398605205</v>
      </c>
      <c r="E20" s="216">
        <v>0.96827020354237703</v>
      </c>
      <c r="F20" s="216"/>
      <c r="G20" s="216">
        <v>87748.177620058996</v>
      </c>
      <c r="H20" s="216">
        <v>1.5894726614847701</v>
      </c>
      <c r="I20" s="217"/>
      <c r="J20" s="216">
        <v>42088.911798865702</v>
      </c>
      <c r="K20" s="216">
        <v>0.91016290730738902</v>
      </c>
    </row>
    <row r="21" spans="2:11" ht="15" customHeight="1">
      <c r="B21" s="178" t="s">
        <v>129</v>
      </c>
      <c r="C21" s="26"/>
      <c r="D21" s="216">
        <v>145080.095385736</v>
      </c>
      <c r="E21" s="216">
        <v>1.3441569990927</v>
      </c>
      <c r="F21" s="216"/>
      <c r="G21" s="216">
        <v>103367.60071208001</v>
      </c>
      <c r="H21" s="216">
        <v>1.8281487960782501</v>
      </c>
      <c r="I21" s="217"/>
      <c r="J21" s="216">
        <v>89359.605964238595</v>
      </c>
      <c r="K21" s="216">
        <v>1.848072569603</v>
      </c>
    </row>
    <row r="22" spans="2:11" ht="15" customHeight="1">
      <c r="B22" s="178" t="s">
        <v>69</v>
      </c>
      <c r="C22" s="26"/>
      <c r="D22" s="216">
        <v>112137.17633535599</v>
      </c>
      <c r="E22" s="216">
        <v>1.10105743967855</v>
      </c>
      <c r="F22" s="216"/>
      <c r="G22" s="216">
        <v>56901.050382806403</v>
      </c>
      <c r="H22" s="216">
        <v>1.06619499053872</v>
      </c>
      <c r="I22" s="217"/>
      <c r="J22" s="216">
        <v>97778.276569305701</v>
      </c>
      <c r="K22" s="216">
        <v>2.06220876125187</v>
      </c>
    </row>
    <row r="23" spans="2:11" ht="6.95" customHeight="1">
      <c r="B23" s="199"/>
      <c r="C23" s="26"/>
      <c r="D23" s="216"/>
      <c r="E23" s="216"/>
      <c r="F23" s="216"/>
      <c r="G23" s="216"/>
      <c r="H23" s="216"/>
      <c r="I23" s="217"/>
      <c r="J23" s="216"/>
      <c r="K23" s="216"/>
    </row>
    <row r="24" spans="2:11" ht="15" customHeight="1">
      <c r="B24" s="181" t="s">
        <v>76</v>
      </c>
      <c r="C24" s="26"/>
      <c r="D24" s="202">
        <v>947039.97767123103</v>
      </c>
      <c r="E24" s="203">
        <v>0.52404232662769101</v>
      </c>
      <c r="F24" s="204"/>
      <c r="G24" s="202">
        <v>755673.89996056899</v>
      </c>
      <c r="H24" s="203">
        <v>0.61267564167172295</v>
      </c>
      <c r="I24" s="205"/>
      <c r="J24" s="202">
        <v>706547.77844231902</v>
      </c>
      <c r="K24" s="203">
        <v>0.70051344769642099</v>
      </c>
    </row>
    <row r="25" spans="2:11" ht="6.95" customHeight="1">
      <c r="B25" s="35"/>
      <c r="C25" s="36"/>
      <c r="D25" s="217"/>
      <c r="E25" s="217"/>
      <c r="F25" s="229"/>
      <c r="G25" s="217"/>
      <c r="H25" s="217"/>
      <c r="I25" s="217"/>
      <c r="J25" s="217"/>
      <c r="K25" s="217"/>
    </row>
    <row r="26" spans="2:11" ht="15" customHeight="1">
      <c r="B26" s="185" t="s">
        <v>0</v>
      </c>
      <c r="C26" s="26"/>
      <c r="D26" s="202">
        <v>1202696.45731675</v>
      </c>
      <c r="E26" s="203">
        <v>0</v>
      </c>
      <c r="F26" s="204"/>
      <c r="G26" s="202">
        <v>732477.33212123101</v>
      </c>
      <c r="H26" s="203">
        <v>0</v>
      </c>
      <c r="I26" s="205"/>
      <c r="J26" s="202">
        <v>655788.85438650905</v>
      </c>
      <c r="K26" s="203">
        <v>0</v>
      </c>
    </row>
    <row r="27" spans="2:11" ht="6.95" customHeight="1">
      <c r="B27" s="138"/>
      <c r="C27" s="26"/>
      <c r="D27" s="208"/>
      <c r="E27" s="209"/>
      <c r="F27" s="204"/>
      <c r="G27" s="208"/>
      <c r="H27" s="209"/>
      <c r="I27" s="205"/>
      <c r="J27" s="208"/>
      <c r="K27" s="209"/>
    </row>
    <row r="28" spans="2:11" ht="15" customHeight="1">
      <c r="B28" s="181" t="s">
        <v>75</v>
      </c>
      <c r="C28" s="27"/>
      <c r="D28" s="202">
        <v>419307.86612302001</v>
      </c>
      <c r="E28" s="203">
        <v>1.2852889277019499</v>
      </c>
      <c r="F28" s="204"/>
      <c r="G28" s="202">
        <v>242807.90507591801</v>
      </c>
      <c r="H28" s="203">
        <v>1.3510583856332801</v>
      </c>
      <c r="I28" s="205"/>
      <c r="J28" s="202">
        <v>250297.33195247399</v>
      </c>
      <c r="K28" s="203">
        <v>1.7286038838070401</v>
      </c>
    </row>
    <row r="29" spans="2:11" ht="6.95" customHeight="1">
      <c r="B29" s="81"/>
      <c r="C29" s="27"/>
      <c r="D29" s="208"/>
      <c r="E29" s="209"/>
      <c r="F29" s="210"/>
      <c r="G29" s="208"/>
      <c r="H29" s="209"/>
      <c r="I29" s="206"/>
      <c r="J29" s="208"/>
      <c r="K29" s="209"/>
    </row>
    <row r="30" spans="2:11" ht="30" customHeight="1">
      <c r="B30" s="200" t="s">
        <v>132</v>
      </c>
      <c r="C30" s="27"/>
      <c r="D30" s="208">
        <v>44140.753918572802</v>
      </c>
      <c r="E30" s="209">
        <v>0.71800510266467199</v>
      </c>
      <c r="F30" s="210"/>
      <c r="G30" s="208">
        <v>23601.0941271798</v>
      </c>
      <c r="H30" s="209">
        <v>0.72811369623664501</v>
      </c>
      <c r="I30" s="206"/>
      <c r="J30" s="208">
        <v>37059.087360592101</v>
      </c>
      <c r="K30" s="209">
        <v>1.2791422145198901</v>
      </c>
    </row>
    <row r="31" spans="2:11" ht="30" customHeight="1">
      <c r="B31" s="200" t="s">
        <v>133</v>
      </c>
      <c r="C31" s="27"/>
      <c r="D31" s="208">
        <v>162644.00985402701</v>
      </c>
      <c r="E31" s="209">
        <v>2.2712994398903001</v>
      </c>
      <c r="F31" s="210"/>
      <c r="G31" s="208">
        <v>104060.918555522</v>
      </c>
      <c r="H31" s="209">
        <v>2.8218833771192302</v>
      </c>
      <c r="I31" s="206"/>
      <c r="J31" s="208">
        <v>82818.959891756604</v>
      </c>
      <c r="K31" s="209">
        <v>2.5078532796484101</v>
      </c>
    </row>
    <row r="32" spans="2:11" ht="15" customHeight="1">
      <c r="B32" s="200" t="s">
        <v>44</v>
      </c>
      <c r="C32" s="26"/>
      <c r="D32" s="208">
        <v>134010.47753418901</v>
      </c>
      <c r="E32" s="209">
        <v>1.85846409195711</v>
      </c>
      <c r="F32" s="210"/>
      <c r="G32" s="208">
        <v>94359.8037312667</v>
      </c>
      <c r="H32" s="209">
        <v>2.5409252091905801</v>
      </c>
      <c r="I32" s="206"/>
      <c r="J32" s="208">
        <v>95517.506060557105</v>
      </c>
      <c r="K32" s="209">
        <v>2.8283468653106199</v>
      </c>
    </row>
    <row r="33" spans="2:11" ht="15" customHeight="1">
      <c r="B33" s="200" t="s">
        <v>45</v>
      </c>
      <c r="C33" s="26"/>
      <c r="D33" s="208">
        <v>272600.62053231499</v>
      </c>
      <c r="E33" s="209">
        <v>3.2015037626145602</v>
      </c>
      <c r="F33" s="210"/>
      <c r="G33" s="208">
        <v>171507.396387963</v>
      </c>
      <c r="H33" s="209">
        <v>3.7961786559125601</v>
      </c>
      <c r="I33" s="206"/>
      <c r="J33" s="208">
        <v>138728.75058133501</v>
      </c>
      <c r="K33" s="209">
        <v>3.8029614462543799</v>
      </c>
    </row>
    <row r="34" spans="2:11" ht="15" customHeight="1">
      <c r="B34" s="200" t="s">
        <v>47</v>
      </c>
      <c r="C34" s="26"/>
      <c r="D34" s="208">
        <v>107123.83622865099</v>
      </c>
      <c r="E34" s="209">
        <v>1.5968468711399699</v>
      </c>
      <c r="F34" s="210"/>
      <c r="G34" s="208">
        <v>42781.4617622433</v>
      </c>
      <c r="H34" s="209">
        <v>1.3642964146901899</v>
      </c>
      <c r="I34" s="206"/>
      <c r="J34" s="208">
        <v>97733.697399763696</v>
      </c>
      <c r="K34" s="209">
        <v>2.9537919610535499</v>
      </c>
    </row>
    <row r="35" spans="2:11" ht="15" customHeight="1">
      <c r="B35" s="201" t="s">
        <v>134</v>
      </c>
      <c r="C35" s="26"/>
      <c r="D35" s="208">
        <v>85696.486098192996</v>
      </c>
      <c r="E35" s="209">
        <v>1.39103640407431</v>
      </c>
      <c r="F35" s="210"/>
      <c r="G35" s="208">
        <v>79919.293134456006</v>
      </c>
      <c r="H35" s="209">
        <v>2.3886714771373501</v>
      </c>
      <c r="I35" s="206"/>
      <c r="J35" s="208">
        <v>30298.714088434499</v>
      </c>
      <c r="K35" s="209">
        <v>1.04636907917616</v>
      </c>
    </row>
    <row r="36" spans="2:11" ht="15" customHeight="1">
      <c r="B36" s="201" t="s">
        <v>135</v>
      </c>
      <c r="C36" s="26"/>
      <c r="D36" s="208">
        <v>115009.812869406</v>
      </c>
      <c r="E36" s="209">
        <v>1.6728901085372201</v>
      </c>
      <c r="F36" s="210"/>
      <c r="G36" s="208">
        <v>72662.769840831199</v>
      </c>
      <c r="H36" s="209">
        <v>2.12844416022741</v>
      </c>
      <c r="I36" s="206"/>
      <c r="J36" s="208">
        <v>75896.559870279103</v>
      </c>
      <c r="K36" s="209">
        <v>2.4491006514623299</v>
      </c>
    </row>
    <row r="37" spans="2:11" ht="15" customHeight="1">
      <c r="B37" s="178" t="s">
        <v>69</v>
      </c>
      <c r="C37" s="26"/>
      <c r="D37" s="208">
        <v>103370.87632695799</v>
      </c>
      <c r="E37" s="209">
        <v>1.63939322224206</v>
      </c>
      <c r="F37" s="210"/>
      <c r="G37" s="208">
        <v>50085.350529537704</v>
      </c>
      <c r="H37" s="209">
        <v>1.5550051969608201</v>
      </c>
      <c r="I37" s="206"/>
      <c r="J37" s="208">
        <v>91654.625207896606</v>
      </c>
      <c r="K37" s="209">
        <v>3.0537357173213402</v>
      </c>
    </row>
    <row r="38" spans="2:11" ht="6.95" customHeight="1">
      <c r="B38" s="82"/>
      <c r="C38" s="26"/>
      <c r="D38" s="216"/>
      <c r="E38" s="216"/>
      <c r="F38" s="216"/>
      <c r="G38" s="216"/>
      <c r="H38" s="216"/>
      <c r="I38" s="217"/>
      <c r="J38" s="216"/>
      <c r="K38" s="216"/>
    </row>
    <row r="39" spans="2:11" ht="15" customHeight="1">
      <c r="B39" s="181" t="s">
        <v>76</v>
      </c>
      <c r="C39" s="26"/>
      <c r="D39" s="202">
        <v>1090648.96200115</v>
      </c>
      <c r="E39" s="203">
        <v>1.2852889277019499</v>
      </c>
      <c r="F39" s="204"/>
      <c r="G39" s="202">
        <v>662190.06489006896</v>
      </c>
      <c r="H39" s="203">
        <v>1.3510583856332801</v>
      </c>
      <c r="I39" s="205"/>
      <c r="J39" s="202">
        <v>603737.34913184994</v>
      </c>
      <c r="K39" s="203">
        <v>1.7286038838070401</v>
      </c>
    </row>
    <row r="40" spans="2:11" ht="6.95" customHeight="1">
      <c r="B40" s="138"/>
      <c r="C40" s="26"/>
      <c r="D40" s="217"/>
      <c r="E40" s="217"/>
      <c r="F40" s="230"/>
      <c r="G40" s="217"/>
      <c r="H40" s="217"/>
      <c r="I40" s="217"/>
      <c r="J40" s="217"/>
      <c r="K40" s="217"/>
    </row>
    <row r="41" spans="2:11" ht="15" customHeight="1">
      <c r="B41" s="138" t="s">
        <v>1</v>
      </c>
      <c r="C41" s="26"/>
      <c r="D41" s="202">
        <v>1215345.35573305</v>
      </c>
      <c r="E41" s="203">
        <v>0</v>
      </c>
      <c r="F41" s="204"/>
      <c r="G41" s="202">
        <v>853166.62916364695</v>
      </c>
      <c r="H41" s="203">
        <v>0</v>
      </c>
      <c r="I41" s="205"/>
      <c r="J41" s="202">
        <v>704303.09797417896</v>
      </c>
      <c r="K41" s="203">
        <v>0</v>
      </c>
    </row>
    <row r="42" spans="2:11" ht="6.75" customHeight="1">
      <c r="B42" s="138"/>
      <c r="C42" s="26"/>
      <c r="D42" s="208"/>
      <c r="E42" s="209"/>
      <c r="F42" s="204"/>
      <c r="G42" s="208"/>
      <c r="H42" s="209"/>
      <c r="I42" s="205"/>
      <c r="J42" s="208"/>
      <c r="K42" s="209"/>
    </row>
    <row r="43" spans="2:11" ht="15" customHeight="1">
      <c r="B43" s="181" t="s">
        <v>75</v>
      </c>
      <c r="C43" s="27"/>
      <c r="D43" s="202">
        <v>252547.46977677901</v>
      </c>
      <c r="E43" s="203">
        <v>0.41366024691679798</v>
      </c>
      <c r="F43" s="204"/>
      <c r="G43" s="202">
        <v>195049.392002896</v>
      </c>
      <c r="H43" s="203">
        <v>0.606406524232036</v>
      </c>
      <c r="I43" s="205"/>
      <c r="J43" s="202">
        <v>157739.06034515999</v>
      </c>
      <c r="K43" s="203">
        <v>0.55980448753957102</v>
      </c>
    </row>
    <row r="44" spans="2:11" ht="6.95" customHeight="1">
      <c r="B44" s="81"/>
      <c r="C44" s="27"/>
      <c r="D44" s="208"/>
      <c r="E44" s="209"/>
      <c r="F44" s="210"/>
      <c r="G44" s="208"/>
      <c r="H44" s="209"/>
      <c r="I44" s="206"/>
      <c r="J44" s="208"/>
      <c r="K44" s="209"/>
    </row>
    <row r="45" spans="2:11" ht="30" customHeight="1">
      <c r="B45" s="200" t="s">
        <v>132</v>
      </c>
      <c r="C45" s="27"/>
      <c r="D45" s="208">
        <v>49895.521533729698</v>
      </c>
      <c r="E45" s="209">
        <v>1.3024961917879101</v>
      </c>
      <c r="F45" s="210"/>
      <c r="G45" s="208">
        <v>29108.868143306699</v>
      </c>
      <c r="H45" s="209">
        <v>1.41178899744001</v>
      </c>
      <c r="I45" s="206"/>
      <c r="J45" s="208">
        <v>36564.936711476497</v>
      </c>
      <c r="K45" s="209">
        <v>2.1080076685529501</v>
      </c>
    </row>
    <row r="46" spans="2:11" ht="30" customHeight="1">
      <c r="B46" s="200" t="s">
        <v>133</v>
      </c>
      <c r="C46" s="27"/>
      <c r="D46" s="208">
        <v>76759.104994059104</v>
      </c>
      <c r="E46" s="209">
        <v>1.97680000740763</v>
      </c>
      <c r="F46" s="210"/>
      <c r="G46" s="208">
        <v>42786.731498284498</v>
      </c>
      <c r="H46" s="209">
        <v>2.12796963792269</v>
      </c>
      <c r="I46" s="206"/>
      <c r="J46" s="208">
        <v>57811.121178087596</v>
      </c>
      <c r="K46" s="209">
        <v>3.2159139397334102</v>
      </c>
    </row>
    <row r="47" spans="2:11" ht="15" customHeight="1">
      <c r="B47" s="200" t="s">
        <v>44</v>
      </c>
      <c r="C47" s="26"/>
      <c r="D47" s="208">
        <v>105703.941644491</v>
      </c>
      <c r="E47" s="209">
        <v>2.48388975561461</v>
      </c>
      <c r="F47" s="210"/>
      <c r="G47" s="208">
        <v>76925.078553610598</v>
      </c>
      <c r="H47" s="209">
        <v>3.2394800854222598</v>
      </c>
      <c r="I47" s="206"/>
      <c r="J47" s="208">
        <v>73208.627673928204</v>
      </c>
      <c r="K47" s="209">
        <v>3.8884076784174102</v>
      </c>
    </row>
    <row r="48" spans="2:11" ht="15" customHeight="1">
      <c r="B48" s="200" t="s">
        <v>45</v>
      </c>
      <c r="C48" s="26"/>
      <c r="D48" s="208">
        <v>185331.217779178</v>
      </c>
      <c r="E48" s="209">
        <v>3.3344563331543098</v>
      </c>
      <c r="F48" s="210"/>
      <c r="G48" s="208">
        <v>147462.02316868099</v>
      </c>
      <c r="H48" s="209">
        <v>4.4267843170788197</v>
      </c>
      <c r="I48" s="206"/>
      <c r="J48" s="208">
        <v>111295.599587927</v>
      </c>
      <c r="K48" s="209">
        <v>4.7733870893064099</v>
      </c>
    </row>
    <row r="49" spans="2:11" ht="15" customHeight="1">
      <c r="B49" s="200" t="s">
        <v>47</v>
      </c>
      <c r="C49" s="26"/>
      <c r="D49" s="208">
        <v>58223.086092436497</v>
      </c>
      <c r="E49" s="209">
        <v>1.49522041765066</v>
      </c>
      <c r="F49" s="210"/>
      <c r="G49" s="208">
        <v>30867.3694117267</v>
      </c>
      <c r="H49" s="209">
        <v>1.4438889609332</v>
      </c>
      <c r="I49" s="206"/>
      <c r="J49" s="208">
        <v>49543.084209604902</v>
      </c>
      <c r="K49" s="209">
        <v>2.82863386516672</v>
      </c>
    </row>
    <row r="50" spans="2:11" ht="15" customHeight="1">
      <c r="B50" s="201" t="s">
        <v>134</v>
      </c>
      <c r="C50" s="26"/>
      <c r="D50" s="208">
        <v>46400.332177004602</v>
      </c>
      <c r="E50" s="209">
        <v>1.1901562437783799</v>
      </c>
      <c r="F50" s="210"/>
      <c r="G50" s="208">
        <v>36232.306754783502</v>
      </c>
      <c r="H50" s="209">
        <v>1.6689465926525</v>
      </c>
      <c r="I50" s="206"/>
      <c r="J50" s="208">
        <v>29214.113387197001</v>
      </c>
      <c r="K50" s="209">
        <v>1.70751332482392</v>
      </c>
    </row>
    <row r="51" spans="2:11" ht="15" customHeight="1">
      <c r="B51" s="201" t="s">
        <v>135</v>
      </c>
      <c r="C51" s="26"/>
      <c r="D51" s="208">
        <v>90988.097002913695</v>
      </c>
      <c r="E51" s="209">
        <v>2.2634853238630002</v>
      </c>
      <c r="F51" s="210"/>
      <c r="G51" s="208">
        <v>75797.980474616998</v>
      </c>
      <c r="H51" s="209">
        <v>3.3241084546103901</v>
      </c>
      <c r="I51" s="206"/>
      <c r="J51" s="208">
        <v>47889.284691614099</v>
      </c>
      <c r="K51" s="209">
        <v>2.7685252960273199</v>
      </c>
    </row>
    <row r="52" spans="2:11">
      <c r="B52" s="201" t="s">
        <v>69</v>
      </c>
      <c r="C52" s="26"/>
      <c r="D52" s="208">
        <v>43465.023224008903</v>
      </c>
      <c r="E52" s="209">
        <v>1.12843252276617</v>
      </c>
      <c r="F52" s="210"/>
      <c r="G52" s="208">
        <v>27003.4663885954</v>
      </c>
      <c r="H52" s="209">
        <v>1.2785831249667099</v>
      </c>
      <c r="I52" s="206"/>
      <c r="J52" s="208">
        <v>34059.081709048398</v>
      </c>
      <c r="K52" s="209">
        <v>1.9845031395931401</v>
      </c>
    </row>
    <row r="53" spans="2:11" ht="6.95" customHeight="1">
      <c r="B53" s="82"/>
      <c r="C53" s="26"/>
      <c r="D53" s="216"/>
      <c r="E53" s="216"/>
      <c r="F53" s="216"/>
      <c r="G53" s="216"/>
      <c r="H53" s="216"/>
      <c r="I53" s="217"/>
      <c r="J53" s="216"/>
      <c r="K53" s="216"/>
    </row>
    <row r="54" spans="2:11" ht="15" customHeight="1">
      <c r="B54" s="181" t="s">
        <v>76</v>
      </c>
      <c r="C54" s="26"/>
      <c r="D54" s="202">
        <v>1145195.0323600001</v>
      </c>
      <c r="E54" s="203">
        <v>0.41366024691679798</v>
      </c>
      <c r="F54" s="204"/>
      <c r="G54" s="202">
        <v>805348.15411875502</v>
      </c>
      <c r="H54" s="203">
        <v>0.606406524232036</v>
      </c>
      <c r="I54" s="205"/>
      <c r="J54" s="202">
        <v>668051.26331678801</v>
      </c>
      <c r="K54" s="203">
        <v>0.55980448753957102</v>
      </c>
    </row>
    <row r="55" spans="2:11" ht="6.95" customHeight="1">
      <c r="B55" s="38"/>
      <c r="C55" s="38"/>
      <c r="D55" s="153"/>
      <c r="E55" s="42"/>
      <c r="F55" s="39"/>
      <c r="G55" s="153"/>
      <c r="H55" s="42"/>
      <c r="I55" s="42"/>
      <c r="J55" s="153"/>
      <c r="K55" s="42"/>
    </row>
    <row r="56" spans="2:11" ht="6.95" customHeight="1">
      <c r="B56" s="33"/>
      <c r="C56" s="33"/>
      <c r="E56" s="32"/>
      <c r="F56" s="32"/>
    </row>
    <row r="57" spans="2:11" ht="12" customHeight="1">
      <c r="B57" s="108" t="s">
        <v>70</v>
      </c>
      <c r="C57" s="33"/>
      <c r="E57" s="32"/>
      <c r="F57" s="32"/>
    </row>
    <row r="58" spans="2:11" ht="12" customHeight="1">
      <c r="B58" s="108" t="s">
        <v>71</v>
      </c>
      <c r="C58" s="33"/>
      <c r="E58" s="32"/>
      <c r="F58" s="32"/>
    </row>
    <row r="59" spans="2:11" ht="12" customHeight="1">
      <c r="B59" s="108" t="s">
        <v>131</v>
      </c>
      <c r="C59" s="108"/>
      <c r="D59" s="108"/>
      <c r="E59" s="108"/>
      <c r="F59" s="108"/>
      <c r="G59" s="108"/>
      <c r="H59" s="108"/>
      <c r="I59" s="108"/>
      <c r="J59" s="108"/>
      <c r="K59" s="108"/>
    </row>
    <row r="60" spans="2:11" ht="12" customHeight="1">
      <c r="B60" s="247" t="s">
        <v>77</v>
      </c>
      <c r="C60" s="247"/>
      <c r="D60" s="247"/>
      <c r="E60" s="247"/>
      <c r="F60" s="247"/>
      <c r="G60" s="247"/>
    </row>
    <row r="61" spans="2:11">
      <c r="B61" s="59"/>
      <c r="C61" s="40"/>
      <c r="E61" s="41"/>
      <c r="F61" s="41"/>
    </row>
  </sheetData>
  <mergeCells count="7">
    <mergeCell ref="B60:G60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BD178A5C-754D-4B7A-B4DA-A80DF73A27EB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ÍNDICE</vt:lpstr>
      <vt:lpstr>Cuadro 4.1</vt:lpstr>
      <vt:lpstr>Cuadro 4.2</vt:lpstr>
      <vt:lpstr>Cuadro 4.3</vt:lpstr>
      <vt:lpstr>Cuadro 4.4</vt:lpstr>
      <vt:lpstr>Cuadro 4.5</vt:lpstr>
      <vt:lpstr>Cuadro 4.6</vt:lpstr>
      <vt:lpstr>Cuadro 4.7</vt:lpstr>
      <vt:lpstr>Cuadro 4.8</vt:lpstr>
      <vt:lpstr>Cuadro 4.9</vt:lpstr>
      <vt:lpstr>Cuadro 4.10</vt:lpstr>
      <vt:lpstr>Cuadro 4.11</vt:lpstr>
      <vt:lpstr>Cuadro 4.12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2021-06-16T18:51:48Z</dcterms:created>
  <dcterms:modified xsi:type="dcterms:W3CDTF">2025-03-11T17:23:54Z</dcterms:modified>
</cp:coreProperties>
</file>