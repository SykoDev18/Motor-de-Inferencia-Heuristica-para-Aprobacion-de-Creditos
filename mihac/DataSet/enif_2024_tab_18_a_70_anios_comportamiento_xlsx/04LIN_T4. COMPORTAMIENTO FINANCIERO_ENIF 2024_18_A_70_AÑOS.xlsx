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4\"/>
    </mc:Choice>
  </mc:AlternateContent>
  <xr:revisionPtr revIDLastSave="0" documentId="13_ncr:1_{B9DDD717-C989-4DDB-9C2F-C520F4C8BE74}" xr6:coauthVersionLast="47" xr6:coauthVersionMax="47" xr10:uidLastSave="{00000000-0000-0000-0000-000000000000}"/>
  <bookViews>
    <workbookView xWindow="-120" yWindow="-120" windowWidth="29040" windowHeight="15840" tabRatio="882" xr2:uid="{00000000-000D-0000-FFFF-FFFF00000000}"/>
  </bookViews>
  <sheets>
    <sheet name="ÍNDICE" sheetId="29" r:id="rId1"/>
    <sheet name="Cuadro 4.1" sheetId="35" r:id="rId2"/>
    <sheet name="Cuadro 4.2" sheetId="16" r:id="rId3"/>
    <sheet name="Cuadro 4.3" sheetId="34" r:id="rId4"/>
    <sheet name="Cuadro 4.4" sheetId="33" r:id="rId5"/>
    <sheet name="Cuadro 4.5" sheetId="32" r:id="rId6"/>
    <sheet name="Cuadro 4.6" sheetId="40" r:id="rId7"/>
    <sheet name="Cuadro 4.7" sheetId="39" r:id="rId8"/>
    <sheet name="Cuadro 4.8" sheetId="38" r:id="rId9"/>
    <sheet name="Cuadro 4.9" sheetId="37" r:id="rId10"/>
    <sheet name="Cuadro 4.10" sheetId="31" r:id="rId11"/>
    <sheet name="Cuadro 4.11" sheetId="36" r:id="rId12"/>
    <sheet name="Cuadro 4.12" sheetId="30" r:id="rId13"/>
  </sheets>
  <externalReferences>
    <externalReference r:id="rId14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>#REF!</definedName>
    <definedName name="Cuadro_2.1" localSheetId="10">#REF!</definedName>
    <definedName name="Cuadro_2.1" localSheetId="11">#REF!</definedName>
    <definedName name="Cuadro_2.1" localSheetId="12">#REF!</definedName>
    <definedName name="Cuadro_2.1" localSheetId="2">#REF!</definedName>
    <definedName name="Cuadro_2.1" localSheetId="3">#REF!</definedName>
    <definedName name="Cuadro_2.1" localSheetId="4">#REF!</definedName>
    <definedName name="Cuadro_2.1" localSheetId="5">#REF!</definedName>
    <definedName name="Cuadro_2.1" localSheetId="6">#REF!</definedName>
    <definedName name="Cuadro_2.1" localSheetId="7">#REF!</definedName>
    <definedName name="Cuadro_2.1" localSheetId="8">#REF!</definedName>
    <definedName name="Cuadro_2.1" localSheetId="9">#REF!</definedName>
    <definedName name="Cuadro_2.1">#REF!</definedName>
    <definedName name="Cuadro_2.2" localSheetId="10">#REF!</definedName>
    <definedName name="Cuadro_2.2" localSheetId="11">#REF!</definedName>
    <definedName name="Cuadro_2.2" localSheetId="12">#REF!</definedName>
    <definedName name="Cuadro_2.2" localSheetId="3">#REF!</definedName>
    <definedName name="Cuadro_2.2" localSheetId="4">#REF!</definedName>
    <definedName name="Cuadro_2.2" localSheetId="5">#REF!</definedName>
    <definedName name="Cuadro_2.2" localSheetId="6">#REF!</definedName>
    <definedName name="Cuadro_2.2" localSheetId="7">#REF!</definedName>
    <definedName name="Cuadro_2.2" localSheetId="8">#REF!</definedName>
    <definedName name="Cuadro_2.2" localSheetId="9">#REF!</definedName>
    <definedName name="Cuadro_2.2">#REF!</definedName>
    <definedName name="Cuadro_2.3">#REF!</definedName>
    <definedName name="DESTINO">#REF!</definedName>
    <definedName name="índice">#REF!</definedName>
    <definedName name="Ir_a_inicio">'[1]Cuadro 1'!#REF!</definedName>
    <definedName name="Libro1">'[1]Cuadro 1'!#REF!</definedName>
    <definedName name="No">#REF!</definedName>
    <definedName name="paso">#REF!</definedName>
    <definedName name="prueba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29" l="1"/>
</calcChain>
</file>

<file path=xl/sharedStrings.xml><?xml version="1.0" encoding="utf-8"?>
<sst xmlns="http://schemas.openxmlformats.org/spreadsheetml/2006/main" count="620" uniqueCount="139">
  <si>
    <t>1 a 14 999 habitantes</t>
  </si>
  <si>
    <t xml:space="preserve">15 000 y más habitantes </t>
  </si>
  <si>
    <t>Estados Unidos Mexicanos</t>
  </si>
  <si>
    <t>Hace anotaciones de los gastos</t>
  </si>
  <si>
    <t>Lleva un registro de los recibos o deudas pendientes para pagarlos</t>
  </si>
  <si>
    <t>Hombres</t>
  </si>
  <si>
    <t xml:space="preserve">Estados Unidos Mexicanos </t>
  </si>
  <si>
    <t>Paga sus cuentas a tiempo</t>
  </si>
  <si>
    <t>Le sobra dinero a fin de mes</t>
  </si>
  <si>
    <t>Población de 18 a 70 años por tamaño de localidad y condición de riesgo financiero según sexo</t>
  </si>
  <si>
    <t>Si alguien le ofrece la posibilidad de ganar dinero fácilmente, también puede perderlo fácilmente</t>
  </si>
  <si>
    <t>Tamaño de localidad y condición de suficiencia para cubrir gastos mensuales en el último año</t>
  </si>
  <si>
    <t>El dinero está para gastarse</t>
  </si>
  <si>
    <t>Con sus ahorros</t>
  </si>
  <si>
    <t>Vendiendo o empeñando algún bien</t>
  </si>
  <si>
    <t>Con el préstamo de familiares o amistades</t>
  </si>
  <si>
    <t xml:space="preserve">Sí podría aprovechar la oportunidad de comprar un bien </t>
  </si>
  <si>
    <t xml:space="preserve">No podría aprovechar la oportunidad de comprar un bien </t>
  </si>
  <si>
    <t>Cuadro 4.1</t>
  </si>
  <si>
    <t>Cuadro 4.11</t>
  </si>
  <si>
    <t>Cuadro 4.2</t>
  </si>
  <si>
    <t>Cuadro 4.3</t>
  </si>
  <si>
    <t>Cuadro 4.4</t>
  </si>
  <si>
    <t>Cuadro 4.5</t>
  </si>
  <si>
    <t>Cuadro 4.6</t>
  </si>
  <si>
    <t>Cuadro 4.7</t>
  </si>
  <si>
    <t>Cuadro 4.8</t>
  </si>
  <si>
    <t>Cuadro 4.9</t>
  </si>
  <si>
    <t>Cuadro 4.10</t>
  </si>
  <si>
    <t>Lleva un presupuesto o un registro de sus ingresos o gastos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</si>
  <si>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</si>
  <si>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</si>
  <si>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</si>
  <si>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los gastos puede ser mayor al total porque una persona pudo haber declarado más de un medio.</t>
    </r>
  </si>
  <si>
    <t>Sí (verdadero)</t>
  </si>
  <si>
    <t>No (falso)</t>
  </si>
  <si>
    <t xml:space="preserve">De acuerdo </t>
  </si>
  <si>
    <t>Ni de acuerdo ni en desacuerdo</t>
  </si>
  <si>
    <t xml:space="preserve">En desacuerdo </t>
  </si>
  <si>
    <t>Siempre</t>
  </si>
  <si>
    <t>Algunas veces</t>
  </si>
  <si>
    <t xml:space="preserve">Nunca </t>
  </si>
  <si>
    <t xml:space="preserve">Sí pudo cubrir sus gastos mensuales en el último año </t>
  </si>
  <si>
    <t xml:space="preserve">No pudo cubrir sus gastos mensuales en el último año </t>
  </si>
  <si>
    <t>Pidió prestado a familiares o personas conocidas</t>
  </si>
  <si>
    <t>Utilizó el dinero que tenía ahorrado</t>
  </si>
  <si>
    <t>Redujo sus gastos</t>
  </si>
  <si>
    <t>Vendió o empeñó algún bien</t>
  </si>
  <si>
    <t>Se atrasó en el pago de algún crédito o préstamo</t>
  </si>
  <si>
    <r>
      <t>Sí se ha capacitado tomando cursos</t>
    </r>
    <r>
      <rPr>
        <vertAlign val="superscript"/>
        <sz val="8"/>
        <rFont val="Arial"/>
        <family val="2"/>
      </rPr>
      <t>1</t>
    </r>
  </si>
  <si>
    <r>
      <t>No se ha capacitado tomando cursos</t>
    </r>
    <r>
      <rPr>
        <vertAlign val="superscript"/>
        <sz val="8"/>
        <rFont val="Arial"/>
        <family val="2"/>
      </rPr>
      <t>1</t>
    </r>
  </si>
  <si>
    <t>Menos de una semana/ No tiene ahorros</t>
  </si>
  <si>
    <t>Al menos una semana, pero menos de un mes</t>
  </si>
  <si>
    <t>Al menos un mes, pero menos de tres meses</t>
  </si>
  <si>
    <t>Al menos tres meses, pero menos de seis meses</t>
  </si>
  <si>
    <t>Seis meses o más</t>
  </si>
  <si>
    <t>TABULADOS BÁSICOS</t>
  </si>
  <si>
    <t>Nivel de confianza del 90%</t>
  </si>
  <si>
    <t>Tema</t>
  </si>
  <si>
    <t>ID Cuadro</t>
  </si>
  <si>
    <t>Título</t>
  </si>
  <si>
    <r>
      <t xml:space="preserve">Tema 4. 
</t>
    </r>
    <r>
      <rPr>
        <sz val="11"/>
        <color theme="10"/>
        <rFont val="Arial"/>
        <family val="2"/>
      </rPr>
      <t>Comportamiento financiero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</si>
  <si>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Comprende cursos sobre cómo ahorrar, cómo hacer un presupuesto o sobre el uso responsable del crédito. </t>
    </r>
  </si>
  <si>
    <t xml:space="preserve">Es mejor ahorrar el dinero en dos o más formas o lugares, que en uno solo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</si>
  <si>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la compra de una casa, un terreno o abrir un negocio.</t>
    </r>
  </si>
  <si>
    <t>No sabe o no responde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</si>
  <si>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forma de controlar los gastos puede ser mayor al total porque una persona pudo responder más de una forma.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</si>
  <si>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a las personas que declararon llevar un presupuesto y aquellas que dijeron no llevarlo, pero que reconocieron realizar alguna forma de controlar su presupuesto o el de su hogar. </t>
    </r>
  </si>
  <si>
    <r>
      <t>Sí lleva registro de sus gastos o los del hogar</t>
    </r>
    <r>
      <rPr>
        <b/>
        <vertAlign val="superscript"/>
        <sz val="8"/>
        <rFont val="Arial"/>
        <family val="2"/>
      </rPr>
      <t>2</t>
    </r>
  </si>
  <si>
    <t>No sabe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</si>
  <si>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como afectaciones las provocadas por inundación, desbordamiento de ríos, sequías, sísmos, huracanes, explosiones, entre otros (desastres naturales u ocasionados por las personas).</t>
    </r>
  </si>
  <si>
    <r>
      <rPr>
        <vertAlign val="superscript"/>
        <sz val="8"/>
        <color rgb="FF000000"/>
        <rFont val="Arial"/>
        <family val="2"/>
      </rPr>
      <t>2</t>
    </r>
    <r>
      <rPr>
        <sz val="8"/>
        <color indexed="8"/>
        <rFont val="Arial"/>
        <family val="2"/>
      </rPr>
      <t xml:space="preserve"> La suma por medio utilizado para cubrir las afectaciones puede ser mayor al total porque una persona pudo haber declarado más de un medio.</t>
    </r>
  </si>
  <si>
    <t>Cuadro 4.12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</si>
  <si>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a las personas que declararon no llevar un presupuesto y no realizar alguna forma de controlar su presupuesto o ni el de su hogar. </t>
    </r>
  </si>
  <si>
    <r>
      <t>No lleva registro de sus gastos ni los del hogar</t>
    </r>
    <r>
      <rPr>
        <b/>
        <vertAlign val="superscript"/>
        <sz val="8"/>
        <rFont val="Arial"/>
        <family val="2"/>
      </rPr>
      <t>3</t>
    </r>
  </si>
  <si>
    <t xml:space="preserve">Sí tuvo alguna afectación económica-ambiental </t>
  </si>
  <si>
    <t xml:space="preserve">No  tuvo alguna afectación económica-ambiental 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</si>
  <si>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</si>
  <si>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Mantiene separado el dinero para pagos o deudas, del dinero 
del gasto diario</t>
  </si>
  <si>
    <t xml:space="preserve">Tiene pagos domiciliados, aplicación de celular o una herramienta 
de administración de dinero </t>
  </si>
  <si>
    <t>Tamaño de localidad, condición de registro y forma 
de controlar sus gastos o los del hogar</t>
  </si>
  <si>
    <t xml:space="preserve">Considera cuidadosamente si puede pagar 
algo antes de comprarlo </t>
  </si>
  <si>
    <t>Tamaño de localidad, comportamiento 
y frecuencia del comportamiento</t>
  </si>
  <si>
    <t>Prefiere gastar dinero que ahorrarlo 
para el futuro</t>
  </si>
  <si>
    <t>Se pone metas económicas a largo plazo 
y se esfuerza por alcanzarlas</t>
  </si>
  <si>
    <t>El manejo de sus ingresos y gastos 
controla su vida</t>
  </si>
  <si>
    <t>La inflación significa que aumenta 
el precio de las cosas</t>
  </si>
  <si>
    <t xml:space="preserve">Es mejor ahorrar el dinero en dos o más 
formas o lugares, que en uno solo </t>
  </si>
  <si>
    <t>Tamaño de localidad, comportamiento 
financiero y grado de acuerdo</t>
  </si>
  <si>
    <t xml:space="preserve">Se siente tranquila(o) de que el dinero 
que recibe sea suficiente </t>
  </si>
  <si>
    <t>Tamaño de localidad y medio utilizado 
para cubrir el sobregasto</t>
  </si>
  <si>
    <t>Solicitó un adelanto salarial, trabajó horas 
extras o hizo trabajo temporal</t>
  </si>
  <si>
    <t>Utilizó su tarjeta de crédito o solicitó un crédito 
en un banco o institución financiera</t>
  </si>
  <si>
    <t>Tamaño de localidad, condición para aprovechar 
la oportunidad de comprar un bien y medio 
que usaría para comprarlo</t>
  </si>
  <si>
    <t>Solicitando un crédito a un banco o institución 
financiera / usando su tarjeta de crédito</t>
  </si>
  <si>
    <t>Tamaño de localidad y condición de riesgo financiero</t>
  </si>
  <si>
    <t xml:space="preserve">Tamaño de localidad y condición de diversificación </t>
  </si>
  <si>
    <t>Suele pensar en el presente sin 
preocuparse por el futuro</t>
  </si>
  <si>
    <t>Le alcanza bien el dinero para cubrir 
sus gastos</t>
  </si>
  <si>
    <t>Mantiene una revisión detallada 
del manejo de su dinero</t>
  </si>
  <si>
    <t>Dada su situación económica, siente 
que tendrá las cosas que desea</t>
  </si>
  <si>
    <t>Tamaño de localidad y condición 
de capacitación financiera</t>
  </si>
  <si>
    <t>Tamaño de localidad y tiempo en que podría 
cubrir sus gastos con sus ahorros si 
dejara de percibir ingresos</t>
  </si>
  <si>
    <t>Encuesta Nacional de Inclusión Financiera (ENIF) 2024</t>
  </si>
  <si>
    <t>Población de 18 a 70 años</t>
  </si>
  <si>
    <t xml:space="preserve">Sexo </t>
  </si>
  <si>
    <t xml:space="preserve">Mujeres </t>
  </si>
  <si>
    <t xml:space="preserve">Absolutos </t>
  </si>
  <si>
    <r>
      <t>Población de 18 a 70 años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</si>
  <si>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</t>
    </r>
    <r>
      <rPr>
        <b/>
        <vertAlign val="superscript"/>
        <sz val="8"/>
        <color theme="1"/>
        <rFont val="Arial"/>
        <family val="2"/>
      </rPr>
      <t>1</t>
    </r>
  </si>
  <si>
    <t>Población de 18 a 70 años por tamaño de localidad, condición de registro y forma 
de controlar sus gastos o los del hogar según sexo</t>
  </si>
  <si>
    <t>Población de 18 a 70 años por tamaño de localidad, condición de registro y forma de controlar sus gastos o los del hogar según sexo</t>
  </si>
  <si>
    <t>Población de 18 a 70 años por tamaño de localidad, comportamiento y frecuencia del comportamiento según sexo</t>
  </si>
  <si>
    <t>Población de 18 a 70 años por tamaño de localidad y condición del significado de inflación según sexo</t>
  </si>
  <si>
    <t xml:space="preserve">Tamaño de localidad y condición
del significado de inflación </t>
  </si>
  <si>
    <t>Población de 18 a 70 años por tamaño de localidad y condición de diversificación del ahorro según sexo</t>
  </si>
  <si>
    <t>Población de 18 a 70 años por tamaño de localidad, comportamiento financiero y grado de acuerdo según sexo</t>
  </si>
  <si>
    <t>Población de 18 a 70 años por tamaño de localidad y condición de suficiencia para cubrir 
gastos mensuales en el último año según sexo</t>
  </si>
  <si>
    <t>Población de 18 a 70 años por tamaño de localidad y condición de suficiencia para cubrir gastos mensuales en el último año según sexo</t>
  </si>
  <si>
    <t>Población de 18 a 70 años que en el último año no pudo cubrir sus gastos mensuales por tamaño de localidad y medio utilizado para cubrir el sobregasto según sexo</t>
  </si>
  <si>
    <t>Población de 18 a 70 años por tamaño de localidad y condición de capacitación financiera según sexo</t>
  </si>
  <si>
    <t>Población de 18 a 70 años por tamaño de localidad, condición para aprovechar la oportunidad de comprar un bien y medio que usaría para comprarlo según sexo</t>
  </si>
  <si>
    <t>Población de 18 a 70 años por tamaño de localidad, condición de afectación económica - ambiental y medio para afrontar la afectación según sexo</t>
  </si>
  <si>
    <t>Población de 18 a 70 años por tamaño de localidad y tiempo en que podría cubrir sus gastos con sus ahorros si dejara de percibir algún ingreso según sexo</t>
  </si>
  <si>
    <t>Población de 18 a 70 años que en el último año no pudo cubrir sus gastos mensuales por tamaño de localidad 
y medio utilizado para cubrir el sobregasto según sexo</t>
  </si>
  <si>
    <r>
      <t>Población de 18 a 70 años por tamaño de localidad, condición para aprovechar la oportunidad de comprar 
un bien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y medio que usaría para comprarlo según sexo</t>
    </r>
  </si>
  <si>
    <t>Población de 18 a 70 años por tamaño de localidad y tiempo en que podría cubrir sus gastos con sus ahorros 
si dejara de percibir algún ingreso según sexo</t>
  </si>
  <si>
    <t>Tamaño de localidad, condición de afectación económica-ambiental y medio para 
afrontar la afectación</t>
  </si>
  <si>
    <r>
      <t>Población de 18 a 70 años por tamaño de localidad, condición de afectación económica-ambiental</t>
    </r>
    <r>
      <rPr>
        <b/>
        <vertAlign val="superscript"/>
        <sz val="9"/>
        <color theme="1"/>
        <rFont val="Arial "/>
      </rPr>
      <t>1</t>
    </r>
    <r>
      <rPr>
        <b/>
        <sz val="9"/>
        <color theme="1"/>
        <rFont val="Arial "/>
      </rPr>
      <t xml:space="preserve"> 
y medio para afrontar la afectación según sexo</t>
    </r>
  </si>
  <si>
    <r>
      <t>Otro medio</t>
    </r>
    <r>
      <rPr>
        <vertAlign val="superscript"/>
        <sz val="8"/>
        <color theme="1"/>
        <rFont val="Arial"/>
        <family val="2"/>
      </rPr>
      <t>3</t>
    </r>
  </si>
  <si>
    <r>
      <t>Población de 18 a 70 años que en el último año no pudo cubrir sus gastos mensuales</t>
    </r>
    <r>
      <rPr>
        <b/>
        <vertAlign val="superscript"/>
        <sz val="8"/>
        <color theme="1"/>
        <rFont val="Arial"/>
        <family val="2"/>
      </rPr>
      <t>1</t>
    </r>
  </si>
  <si>
    <r>
      <rPr>
        <vertAlign val="superscript"/>
        <sz val="8"/>
        <color rgb="FF000000"/>
        <rFont val="Arial"/>
        <family val="2"/>
      </rPr>
      <t>3</t>
    </r>
    <r>
      <rPr>
        <sz val="8"/>
        <color indexed="8"/>
        <rFont val="Arial"/>
        <family val="2"/>
      </rPr>
      <t xml:space="preserve"> Incluye las opciones: "tuvo adelanto salarial, trabajó horas extras o un trabajo temporal", entre otros medios.</t>
    </r>
  </si>
  <si>
    <t>Usó tarjeta de crédito, crédito en un banco o institución financiera, o seguro o microseguro</t>
  </si>
  <si>
    <t xml:space="preserve">Obtuvo un apoyo económico o en especie del gobierno </t>
  </si>
  <si>
    <t>No ha resuelto la afectación</t>
  </si>
  <si>
    <r>
      <t>Otro medio</t>
    </r>
    <r>
      <rPr>
        <vertAlign val="superscript"/>
        <sz val="8"/>
        <rFont val="Arial"/>
        <family val="2"/>
      </rPr>
      <t>3</t>
    </r>
  </si>
  <si>
    <t>Límite inferior.</t>
  </si>
  <si>
    <t>Marzo 2025</t>
  </si>
  <si>
    <t>INEGI. Encuesta Nacional de Inclusión Financiera (ENIF) 2024. Tabulados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</si>
</sst>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###\ ###\ ##0"/>
    <numFmt numFmtId="166" formatCode="##,###,###,###,##0"/>
    <numFmt numFmtId="167" formatCode="_-* #,##0_-;\-* #,##0_-;_-* &quot;-&quot;??_-;_-@_-"/>
    <numFmt numFmtId="168" formatCode="#\ ###\ ###\ ###\ ###\ ##0"/>
    <numFmt numFmtId="169" formatCode="#\ ###\ ##0"/>
    <numFmt numFmtId="170" formatCode="#,##0.000"/>
    <numFmt numFmtId="171" formatCode="###\ ###\ ##0.0"/>
    <numFmt numFmtId="172" formatCode="###,###,###,##0"/>
    <numFmt numFmtId="173" formatCode="###\ ###\ ##0.00"/>
    <numFmt numFmtId="174" formatCode="###,###,###,###,##0.0;[Red]\-###,###,###,###,##0.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indexed="8"/>
      <name val="Arial"/>
      <family val="2"/>
    </font>
    <font>
      <sz val="7"/>
      <color indexed="8"/>
      <name val="Arial"/>
      <family val="2"/>
    </font>
    <font>
      <sz val="7"/>
      <color theme="1"/>
      <name val="Arial"/>
      <family val="2"/>
    </font>
    <font>
      <vertAlign val="superscript"/>
      <sz val="8"/>
      <name val="Arial"/>
      <family val="2"/>
    </font>
    <font>
      <sz val="9"/>
      <color rgb="FF003399"/>
      <name val="Arial"/>
      <family val="2"/>
    </font>
    <font>
      <u/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vertAlign val="superscript"/>
      <sz val="8"/>
      <color rgb="FF000000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rgb="FF00339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 "/>
    </font>
    <font>
      <sz val="9"/>
      <name val="Arial "/>
    </font>
    <font>
      <sz val="9"/>
      <color theme="1"/>
      <name val="Arial "/>
    </font>
    <font>
      <b/>
      <sz val="9"/>
      <color indexed="8"/>
      <name val="Arial "/>
    </font>
    <font>
      <b/>
      <vertAlign val="superscript"/>
      <sz val="9"/>
      <color theme="1"/>
      <name val="Arial "/>
    </font>
    <font>
      <b/>
      <sz val="9"/>
      <name val="Arial "/>
    </font>
    <font>
      <b/>
      <sz val="11"/>
      <color rgb="FFFF0000"/>
      <name val="Calibri"/>
      <family val="2"/>
      <scheme val="minor"/>
    </font>
    <font>
      <b/>
      <vertAlign val="superscript"/>
      <sz val="8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indexed="9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auto="1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337AB7"/>
      </left>
      <right/>
      <top style="thin">
        <color rgb="FF337AB7"/>
      </top>
      <bottom style="medium">
        <color rgb="FF337AB7"/>
      </bottom>
      <diagonal/>
    </border>
    <border>
      <left/>
      <right/>
      <top style="thin">
        <color rgb="FF337AB7"/>
      </top>
      <bottom style="medium">
        <color rgb="FF337AB7"/>
      </bottom>
      <diagonal/>
    </border>
    <border>
      <left/>
      <right style="medium">
        <color rgb="FF0070C0"/>
      </right>
      <top style="thin">
        <color rgb="FF337AB7"/>
      </top>
      <bottom style="medium">
        <color rgb="FF337AB7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rgb="FF0070C0"/>
      </right>
      <top/>
      <bottom style="medium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0" fillId="0" borderId="0"/>
    <xf numFmtId="0" fontId="1" fillId="0" borderId="0"/>
    <xf numFmtId="0" fontId="1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25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</cellStyleXfs>
  <cellXfs count="258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166" fontId="4" fillId="3" borderId="0" xfId="0" applyNumberFormat="1" applyFont="1" applyFill="1"/>
    <xf numFmtId="0" fontId="5" fillId="0" borderId="0" xfId="0" applyFont="1"/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7" fillId="2" borderId="0" xfId="0" applyFont="1" applyFill="1" applyAlignment="1">
      <alignment horizontal="left" vertical="center" wrapText="1" indent="1"/>
    </xf>
    <xf numFmtId="166" fontId="5" fillId="3" borderId="0" xfId="0" applyNumberFormat="1" applyFont="1" applyFill="1"/>
    <xf numFmtId="0" fontId="4" fillId="2" borderId="2" xfId="0" applyFont="1" applyFill="1" applyBorder="1" applyAlignment="1">
      <alignment horizontal="left"/>
    </xf>
    <xf numFmtId="0" fontId="8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left"/>
    </xf>
    <xf numFmtId="0" fontId="6" fillId="2" borderId="0" xfId="3" applyFont="1" applyFill="1" applyAlignment="1">
      <alignment horizontal="left"/>
    </xf>
    <xf numFmtId="168" fontId="12" fillId="4" borderId="0" xfId="2" applyNumberFormat="1" applyFont="1" applyFill="1" applyBorder="1" applyAlignment="1">
      <alignment horizontal="right" vertical="center"/>
    </xf>
    <xf numFmtId="168" fontId="12" fillId="4" borderId="3" xfId="2" applyNumberFormat="1" applyFont="1" applyFill="1" applyBorder="1" applyAlignment="1" applyProtection="1">
      <alignment horizontal="right" vertical="center" wrapText="1" readingOrder="1"/>
      <protection locked="0"/>
    </xf>
    <xf numFmtId="0" fontId="6" fillId="2" borderId="2" xfId="3" applyFont="1" applyFill="1" applyBorder="1" applyAlignment="1">
      <alignment horizontal="left"/>
    </xf>
    <xf numFmtId="0" fontId="3" fillId="0" borderId="2" xfId="3" applyFont="1" applyBorder="1"/>
    <xf numFmtId="167" fontId="6" fillId="2" borderId="0" xfId="6" applyNumberFormat="1" applyFont="1" applyFill="1" applyBorder="1" applyAlignment="1">
      <alignment horizontal="left" vertical="center"/>
    </xf>
    <xf numFmtId="168" fontId="12" fillId="0" borderId="0" xfId="2" applyNumberFormat="1" applyFont="1" applyFill="1" applyBorder="1" applyAlignment="1">
      <alignment horizontal="right" vertical="center"/>
    </xf>
    <xf numFmtId="168" fontId="12" fillId="0" borderId="3" xfId="2" applyNumberFormat="1" applyFont="1" applyFill="1" applyBorder="1" applyAlignment="1" applyProtection="1">
      <alignment horizontal="right" vertical="center" wrapText="1" readingOrder="1"/>
      <protection locked="0"/>
    </xf>
    <xf numFmtId="167" fontId="3" fillId="2" borderId="0" xfId="6" applyNumberFormat="1" applyFont="1" applyFill="1" applyAlignment="1">
      <alignment horizontal="left" wrapText="1" indent="1"/>
    </xf>
    <xf numFmtId="167" fontId="6" fillId="0" borderId="0" xfId="6" applyNumberFormat="1" applyFont="1" applyFill="1" applyAlignment="1">
      <alignment horizontal="left" wrapText="1" indent="1"/>
    </xf>
    <xf numFmtId="167" fontId="6" fillId="2" borderId="0" xfId="6" applyNumberFormat="1" applyFont="1" applyFill="1" applyBorder="1" applyAlignment="1">
      <alignment horizontal="left"/>
    </xf>
    <xf numFmtId="167" fontId="6" fillId="0" borderId="0" xfId="6" applyNumberFormat="1" applyFont="1" applyFill="1" applyBorder="1" applyAlignment="1">
      <alignment horizontal="left"/>
    </xf>
    <xf numFmtId="165" fontId="6" fillId="0" borderId="0" xfId="3" applyNumberFormat="1" applyFont="1" applyAlignment="1">
      <alignment horizontal="right" vertical="center"/>
    </xf>
    <xf numFmtId="169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9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1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65" fontId="6" fillId="2" borderId="0" xfId="6" applyNumberFormat="1" applyFont="1" applyFill="1" applyBorder="1" applyAlignment="1">
      <alignment horizontal="left"/>
    </xf>
    <xf numFmtId="165" fontId="3" fillId="2" borderId="0" xfId="6" applyNumberFormat="1" applyFont="1" applyFill="1" applyAlignment="1">
      <alignment horizontal="left" wrapText="1" indent="1"/>
    </xf>
    <xf numFmtId="0" fontId="4" fillId="2" borderId="0" xfId="3" applyFont="1" applyFill="1" applyAlignment="1">
      <alignment horizontal="left"/>
    </xf>
    <xf numFmtId="0" fontId="4" fillId="0" borderId="0" xfId="3" applyFont="1" applyAlignment="1">
      <alignment horizontal="left"/>
    </xf>
    <xf numFmtId="169" fontId="6" fillId="0" borderId="0" xfId="3" applyNumberFormat="1" applyFont="1" applyAlignment="1">
      <alignment horizontal="right" vertical="center"/>
    </xf>
    <xf numFmtId="0" fontId="5" fillId="0" borderId="0" xfId="3" applyFont="1" applyAlignment="1">
      <alignment horizontal="left"/>
    </xf>
    <xf numFmtId="169" fontId="5" fillId="0" borderId="0" xfId="3" applyNumberFormat="1" applyFont="1"/>
    <xf numFmtId="0" fontId="5" fillId="0" borderId="0" xfId="3" applyFont="1" applyAlignment="1">
      <alignment horizontal="left" indent="2"/>
    </xf>
    <xf numFmtId="0" fontId="4" fillId="0" borderId="2" xfId="3" applyFont="1" applyBorder="1" applyAlignment="1">
      <alignment horizontal="left"/>
    </xf>
    <xf numFmtId="0" fontId="4" fillId="2" borderId="2" xfId="3" applyFont="1" applyFill="1" applyBorder="1" applyAlignment="1">
      <alignment horizontal="left"/>
    </xf>
    <xf numFmtId="0" fontId="16" fillId="2" borderId="0" xfId="3" applyFont="1" applyFill="1" applyAlignment="1">
      <alignment horizontal="left"/>
    </xf>
    <xf numFmtId="0" fontId="15" fillId="2" borderId="0" xfId="3" applyFont="1" applyFill="1" applyAlignment="1">
      <alignment vertical="center"/>
    </xf>
    <xf numFmtId="0" fontId="0" fillId="0" borderId="2" xfId="0" applyBorder="1"/>
    <xf numFmtId="0" fontId="2" fillId="2" borderId="0" xfId="0" applyFont="1" applyFill="1"/>
    <xf numFmtId="166" fontId="6" fillId="2" borderId="0" xfId="0" applyNumberFormat="1" applyFont="1" applyFill="1"/>
    <xf numFmtId="0" fontId="3" fillId="2" borderId="2" xfId="0" applyFont="1" applyFill="1" applyBorder="1"/>
    <xf numFmtId="0" fontId="15" fillId="0" borderId="0" xfId="3" applyFont="1"/>
    <xf numFmtId="0" fontId="18" fillId="0" borderId="0" xfId="0" applyFont="1"/>
    <xf numFmtId="170" fontId="18" fillId="0" borderId="0" xfId="0" applyNumberFormat="1" applyFont="1" applyAlignment="1">
      <alignment horizontal="left" vertical="center"/>
    </xf>
    <xf numFmtId="0" fontId="19" fillId="0" borderId="0" xfId="2" applyFont="1" applyFill="1" applyAlignment="1">
      <alignment horizontal="right" vertical="center"/>
    </xf>
    <xf numFmtId="0" fontId="20" fillId="0" borderId="0" xfId="0" applyFont="1"/>
    <xf numFmtId="170" fontId="18" fillId="0" borderId="0" xfId="0" applyNumberFormat="1" applyFont="1" applyAlignment="1">
      <alignment vertical="top"/>
    </xf>
    <xf numFmtId="0" fontId="21" fillId="0" borderId="0" xfId="0" applyFont="1"/>
    <xf numFmtId="0" fontId="20" fillId="0" borderId="0" xfId="0" applyFont="1" applyAlignment="1">
      <alignment vertical="top"/>
    </xf>
    <xf numFmtId="0" fontId="14" fillId="2" borderId="4" xfId="0" applyFont="1" applyFill="1" applyBorder="1" applyAlignment="1" applyProtection="1">
      <alignment vertical="center" wrapText="1" readingOrder="1"/>
      <protection locked="0"/>
    </xf>
    <xf numFmtId="0" fontId="23" fillId="2" borderId="0" xfId="8" applyFont="1" applyFill="1" applyAlignment="1">
      <alignment horizontal="right" vertical="center"/>
    </xf>
    <xf numFmtId="0" fontId="6" fillId="2" borderId="0" xfId="8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24" fillId="2" borderId="0" xfId="8" applyFont="1" applyFill="1" applyAlignment="1">
      <alignment horizontal="right" vertical="center"/>
    </xf>
    <xf numFmtId="0" fontId="3" fillId="0" borderId="0" xfId="3" applyFont="1"/>
    <xf numFmtId="0" fontId="4" fillId="2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right"/>
    </xf>
    <xf numFmtId="0" fontId="0" fillId="0" borderId="1" xfId="0" applyBorder="1"/>
    <xf numFmtId="0" fontId="7" fillId="2" borderId="2" xfId="0" applyFont="1" applyFill="1" applyBorder="1" applyAlignment="1">
      <alignment horizontal="center" vertical="center" wrapText="1"/>
    </xf>
    <xf numFmtId="0" fontId="26" fillId="0" borderId="0" xfId="0" applyFont="1"/>
    <xf numFmtId="0" fontId="3" fillId="0" borderId="0" xfId="0" applyFont="1"/>
    <xf numFmtId="0" fontId="6" fillId="2" borderId="0" xfId="0" applyFont="1" applyFill="1" applyAlignment="1">
      <alignment horizontal="left"/>
    </xf>
    <xf numFmtId="0" fontId="3" fillId="2" borderId="0" xfId="0" applyFont="1" applyFill="1"/>
    <xf numFmtId="0" fontId="2" fillId="2" borderId="2" xfId="0" applyFont="1" applyFill="1" applyBorder="1"/>
    <xf numFmtId="168" fontId="12" fillId="4" borderId="0" xfId="2" applyNumberFormat="1" applyFont="1" applyFill="1" applyBorder="1" applyAlignment="1" applyProtection="1">
      <alignment horizontal="right" vertical="center" wrapText="1" readingOrder="1"/>
      <protection locked="0"/>
    </xf>
    <xf numFmtId="168" fontId="12" fillId="0" borderId="0" xfId="2" applyNumberFormat="1" applyFont="1" applyFill="1" applyBorder="1" applyAlignment="1" applyProtection="1">
      <alignment horizontal="right" vertical="center" wrapText="1" readingOrder="1"/>
      <protection locked="0"/>
    </xf>
    <xf numFmtId="0" fontId="0" fillId="0" borderId="0" xfId="0" applyAlignment="1">
      <alignment vertical="center"/>
    </xf>
    <xf numFmtId="167" fontId="6" fillId="0" borderId="0" xfId="6" applyNumberFormat="1" applyFont="1" applyFill="1" applyAlignment="1">
      <alignment horizontal="left" vertical="center" wrapText="1"/>
    </xf>
    <xf numFmtId="169" fontId="14" fillId="2" borderId="0" xfId="0" applyNumberFormat="1" applyFont="1" applyFill="1" applyAlignment="1" applyProtection="1">
      <alignment horizontal="right" vertical="center" wrapText="1" readingOrder="1"/>
      <protection locked="0"/>
    </xf>
    <xf numFmtId="0" fontId="0" fillId="0" borderId="0" xfId="0" applyAlignment="1">
      <alignment horizontal="left" vertical="center" indent="1"/>
    </xf>
    <xf numFmtId="169" fontId="14" fillId="2" borderId="3" xfId="0" applyNumberFormat="1" applyFont="1" applyFill="1" applyBorder="1" applyAlignment="1" applyProtection="1">
      <alignment horizontal="left" vertical="center" wrapText="1" indent="1" readingOrder="1"/>
      <protection locked="0"/>
    </xf>
    <xf numFmtId="0" fontId="16" fillId="0" borderId="0" xfId="3" applyFont="1" applyAlignment="1">
      <alignment wrapText="1"/>
    </xf>
    <xf numFmtId="0" fontId="4" fillId="0" borderId="1" xfId="3" applyFont="1" applyBorder="1" applyAlignment="1">
      <alignment horizontal="left"/>
    </xf>
    <xf numFmtId="0" fontId="4" fillId="2" borderId="1" xfId="3" applyFont="1" applyFill="1" applyBorder="1" applyAlignment="1">
      <alignment horizontal="left"/>
    </xf>
    <xf numFmtId="0" fontId="8" fillId="0" borderId="0" xfId="3" applyFont="1"/>
    <xf numFmtId="0" fontId="4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2"/>
    </xf>
    <xf numFmtId="167" fontId="3" fillId="2" borderId="0" xfId="6" applyNumberFormat="1" applyFont="1" applyFill="1" applyAlignment="1">
      <alignment horizontal="left" vertical="center" wrapText="1" indent="2"/>
    </xf>
    <xf numFmtId="0" fontId="5" fillId="0" borderId="0" xfId="3" applyFont="1" applyAlignment="1">
      <alignment horizontal="left" vertical="center" indent="2"/>
    </xf>
    <xf numFmtId="0" fontId="3" fillId="0" borderId="0" xfId="3" applyFont="1" applyAlignment="1">
      <alignment horizontal="left" vertical="center" indent="2"/>
    </xf>
    <xf numFmtId="0" fontId="23" fillId="0" borderId="0" xfId="11" applyFont="1"/>
    <xf numFmtId="0" fontId="32" fillId="0" borderId="0" xfId="11" applyFont="1" applyAlignment="1">
      <alignment horizontal="center" vertical="center"/>
    </xf>
    <xf numFmtId="0" fontId="32" fillId="0" borderId="0" xfId="11" applyFont="1" applyAlignment="1">
      <alignment vertical="center"/>
    </xf>
    <xf numFmtId="0" fontId="33" fillId="0" borderId="0" xfId="11" applyFont="1" applyAlignment="1">
      <alignment vertical="center"/>
    </xf>
    <xf numFmtId="0" fontId="21" fillId="0" borderId="0" xfId="11" applyFont="1"/>
    <xf numFmtId="0" fontId="35" fillId="0" borderId="0" xfId="11" applyFont="1"/>
    <xf numFmtId="17" fontId="34" fillId="0" borderId="0" xfId="11" quotePrefix="1" applyNumberFormat="1" applyFont="1"/>
    <xf numFmtId="17" fontId="29" fillId="0" borderId="0" xfId="11" quotePrefix="1" applyNumberFormat="1" applyFont="1"/>
    <xf numFmtId="0" fontId="33" fillId="7" borderId="5" xfId="11" applyFont="1" applyFill="1" applyBorder="1" applyAlignment="1">
      <alignment horizontal="center" vertical="center"/>
    </xf>
    <xf numFmtId="171" fontId="4" fillId="0" borderId="0" xfId="0" applyNumberFormat="1" applyFont="1" applyAlignment="1">
      <alignment horizontal="right" vertical="center" wrapText="1"/>
    </xf>
    <xf numFmtId="0" fontId="38" fillId="0" borderId="9" xfId="2" applyFont="1" applyBorder="1" applyAlignment="1" applyProtection="1">
      <alignment horizontal="center" vertical="center"/>
    </xf>
    <xf numFmtId="0" fontId="41" fillId="0" borderId="0" xfId="0" applyFont="1"/>
    <xf numFmtId="0" fontId="42" fillId="0" borderId="0" xfId="0" applyFont="1"/>
    <xf numFmtId="0" fontId="41" fillId="0" borderId="0" xfId="0" applyFont="1" applyAlignment="1">
      <alignment horizontal="right"/>
    </xf>
    <xf numFmtId="0" fontId="42" fillId="0" borderId="0" xfId="0" applyFont="1" applyAlignment="1">
      <alignment vertical="top"/>
    </xf>
    <xf numFmtId="0" fontId="43" fillId="2" borderId="0" xfId="0" applyFont="1" applyFill="1" applyAlignment="1" applyProtection="1">
      <alignment vertical="top" readingOrder="1"/>
      <protection locked="0"/>
    </xf>
    <xf numFmtId="0" fontId="43" fillId="0" borderId="0" xfId="0" applyFont="1" applyAlignment="1">
      <alignment vertical="top"/>
    </xf>
    <xf numFmtId="0" fontId="45" fillId="2" borderId="0" xfId="3" applyFont="1" applyFill="1" applyAlignment="1">
      <alignment horizontal="left" vertical="center"/>
    </xf>
    <xf numFmtId="0" fontId="45" fillId="2" borderId="0" xfId="0" applyFont="1" applyFill="1" applyAlignment="1">
      <alignment horizontal="left" vertical="center"/>
    </xf>
    <xf numFmtId="0" fontId="39" fillId="0" borderId="0" xfId="0" applyFont="1"/>
    <xf numFmtId="0" fontId="4" fillId="0" borderId="0" xfId="0" applyFont="1"/>
    <xf numFmtId="169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8" fillId="0" borderId="0" xfId="3" applyFont="1" applyAlignment="1">
      <alignment horizontal="left" vertical="center"/>
    </xf>
    <xf numFmtId="166" fontId="3" fillId="2" borderId="0" xfId="0" applyNumberFormat="1" applyFont="1" applyFill="1"/>
    <xf numFmtId="0" fontId="5" fillId="0" borderId="0" xfId="3" applyFont="1" applyAlignment="1">
      <alignment horizontal="left" vertical="center" wrapText="1" indent="2"/>
    </xf>
    <xf numFmtId="0" fontId="3" fillId="2" borderId="0" xfId="0" applyFont="1" applyFill="1" applyAlignment="1">
      <alignment horizontal="left" vertical="center" readingOrder="1"/>
    </xf>
    <xf numFmtId="0" fontId="33" fillId="7" borderId="6" xfId="11" applyFont="1" applyFill="1" applyBorder="1" applyAlignment="1">
      <alignment horizontal="center" vertical="center"/>
    </xf>
    <xf numFmtId="167" fontId="6" fillId="2" borderId="0" xfId="13" applyNumberFormat="1" applyFont="1" applyFill="1" applyBorder="1" applyAlignment="1">
      <alignment horizontal="left" vertical="center"/>
    </xf>
    <xf numFmtId="167" fontId="3" fillId="2" borderId="0" xfId="13" applyNumberFormat="1" applyFont="1" applyFill="1" applyAlignment="1">
      <alignment horizontal="left" vertical="center" wrapText="1" indent="1"/>
    </xf>
    <xf numFmtId="167" fontId="3" fillId="2" borderId="0" xfId="13" applyNumberFormat="1" applyFont="1" applyFill="1" applyBorder="1" applyAlignment="1">
      <alignment horizontal="left" vertical="center" indent="3"/>
    </xf>
    <xf numFmtId="167" fontId="3" fillId="2" borderId="0" xfId="13" applyNumberFormat="1" applyFont="1" applyFill="1" applyAlignment="1">
      <alignment horizontal="left" wrapText="1" indent="3"/>
    </xf>
    <xf numFmtId="167" fontId="6" fillId="2" borderId="0" xfId="13" applyNumberFormat="1" applyFont="1" applyFill="1" applyBorder="1"/>
    <xf numFmtId="167" fontId="3" fillId="2" borderId="0" xfId="13" applyNumberFormat="1" applyFont="1" applyFill="1" applyAlignment="1">
      <alignment horizontal="left" wrapText="1" indent="1"/>
    </xf>
    <xf numFmtId="167" fontId="3" fillId="2" borderId="0" xfId="13" applyNumberFormat="1" applyFont="1" applyFill="1" applyBorder="1"/>
    <xf numFmtId="167" fontId="6" fillId="2" borderId="0" xfId="13" applyNumberFormat="1" applyFont="1" applyFill="1" applyBorder="1" applyAlignment="1">
      <alignment horizontal="left"/>
    </xf>
    <xf numFmtId="167" fontId="6" fillId="2" borderId="0" xfId="13" applyNumberFormat="1" applyFont="1" applyFill="1" applyAlignment="1">
      <alignment horizontal="right"/>
    </xf>
    <xf numFmtId="167" fontId="6" fillId="2" borderId="0" xfId="14" applyNumberFormat="1" applyFont="1" applyFill="1" applyBorder="1" applyAlignment="1">
      <alignment horizontal="left" vertical="center"/>
    </xf>
    <xf numFmtId="167" fontId="6" fillId="2" borderId="0" xfId="14" applyNumberFormat="1" applyFont="1" applyFill="1" applyBorder="1" applyAlignment="1">
      <alignment horizontal="left"/>
    </xf>
    <xf numFmtId="167" fontId="3" fillId="2" borderId="0" xfId="15" applyNumberFormat="1" applyFont="1" applyFill="1" applyAlignment="1">
      <alignment horizontal="left" wrapText="1" indent="1"/>
    </xf>
    <xf numFmtId="167" fontId="6" fillId="2" borderId="0" xfId="17" applyNumberFormat="1" applyFont="1" applyFill="1" applyBorder="1" applyAlignment="1">
      <alignment horizontal="left" vertical="center"/>
    </xf>
    <xf numFmtId="167" fontId="6" fillId="2" borderId="0" xfId="17" applyNumberFormat="1" applyFont="1" applyFill="1" applyBorder="1"/>
    <xf numFmtId="167" fontId="3" fillId="2" borderId="0" xfId="17" applyNumberFormat="1" applyFont="1" applyFill="1" applyAlignment="1">
      <alignment horizontal="left" wrapText="1" indent="1"/>
    </xf>
    <xf numFmtId="167" fontId="3" fillId="2" borderId="0" xfId="17" applyNumberFormat="1" applyFont="1" applyFill="1" applyBorder="1"/>
    <xf numFmtId="167" fontId="6" fillId="2" borderId="0" xfId="17" applyNumberFormat="1" applyFont="1" applyFill="1" applyBorder="1" applyAlignment="1">
      <alignment horizontal="left"/>
    </xf>
    <xf numFmtId="167" fontId="6" fillId="2" borderId="0" xfId="17" applyNumberFormat="1" applyFont="1" applyFill="1" applyAlignment="1">
      <alignment horizontal="right"/>
    </xf>
    <xf numFmtId="167" fontId="6" fillId="2" borderId="0" xfId="18" applyNumberFormat="1" applyFont="1" applyFill="1" applyBorder="1" applyAlignment="1">
      <alignment horizontal="left" vertical="center"/>
    </xf>
    <xf numFmtId="167" fontId="6" fillId="2" borderId="0" xfId="18" applyNumberFormat="1" applyFont="1" applyFill="1" applyBorder="1" applyAlignment="1">
      <alignment horizontal="left"/>
    </xf>
    <xf numFmtId="169" fontId="6" fillId="2" borderId="0" xfId="18" applyNumberFormat="1" applyFont="1" applyFill="1" applyBorder="1" applyAlignment="1">
      <alignment horizontal="left"/>
    </xf>
    <xf numFmtId="167" fontId="3" fillId="2" borderId="0" xfId="18" applyNumberFormat="1" applyFont="1" applyFill="1" applyAlignment="1">
      <alignment horizontal="left" wrapText="1" indent="1"/>
    </xf>
    <xf numFmtId="169" fontId="3" fillId="2" borderId="0" xfId="18" applyNumberFormat="1" applyFont="1" applyFill="1" applyAlignment="1">
      <alignment horizontal="left" wrapText="1" indent="1"/>
    </xf>
    <xf numFmtId="167" fontId="6" fillId="2" borderId="0" xfId="19" applyNumberFormat="1" applyFont="1" applyFill="1" applyBorder="1" applyAlignment="1">
      <alignment horizontal="left" vertical="center"/>
    </xf>
    <xf numFmtId="167" fontId="6" fillId="2" borderId="0" xfId="19" applyNumberFormat="1" applyFont="1" applyFill="1" applyBorder="1" applyAlignment="1">
      <alignment horizontal="left"/>
    </xf>
    <xf numFmtId="167" fontId="6" fillId="2" borderId="0" xfId="2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7" fontId="6" fillId="2" borderId="0" xfId="6" applyNumberFormat="1" applyFont="1" applyFill="1" applyAlignment="1">
      <alignment horizontal="left" vertical="center" wrapText="1" indent="1"/>
    </xf>
    <xf numFmtId="0" fontId="46" fillId="2" borderId="0" xfId="0" applyFont="1" applyFill="1"/>
    <xf numFmtId="0" fontId="3" fillId="0" borderId="0" xfId="21" applyFont="1"/>
    <xf numFmtId="167" fontId="6" fillId="0" borderId="0" xfId="1" applyNumberFormat="1" applyFont="1" applyFill="1" applyBorder="1" applyAlignment="1">
      <alignment horizontal="left" vertical="center"/>
    </xf>
    <xf numFmtId="167" fontId="6" fillId="0" borderId="0" xfId="1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indent="1"/>
    </xf>
    <xf numFmtId="0" fontId="3" fillId="0" borderId="0" xfId="0" applyFont="1" applyAlignment="1">
      <alignment horizontal="left" wrapText="1" indent="2"/>
    </xf>
    <xf numFmtId="0" fontId="21" fillId="0" borderId="0" xfId="0" applyFont="1" applyAlignment="1">
      <alignment horizontal="right"/>
    </xf>
    <xf numFmtId="172" fontId="18" fillId="0" borderId="0" xfId="0" applyNumberFormat="1" applyFont="1" applyAlignment="1">
      <alignment vertical="top"/>
    </xf>
    <xf numFmtId="172" fontId="20" fillId="0" borderId="0" xfId="0" applyNumberFormat="1" applyFont="1" applyAlignment="1">
      <alignment vertical="top"/>
    </xf>
    <xf numFmtId="172" fontId="40" fillId="0" borderId="0" xfId="0" applyNumberFormat="1" applyFont="1" applyAlignment="1">
      <alignment horizontal="left" vertical="center"/>
    </xf>
    <xf numFmtId="172" fontId="0" fillId="0" borderId="0" xfId="0" applyNumberFormat="1"/>
    <xf numFmtId="172" fontId="0" fillId="0" borderId="2" xfId="0" applyNumberFormat="1" applyBorder="1"/>
    <xf numFmtId="172" fontId="20" fillId="0" borderId="0" xfId="0" applyNumberFormat="1" applyFont="1"/>
    <xf numFmtId="172" fontId="42" fillId="0" borderId="0" xfId="0" applyNumberFormat="1" applyFont="1"/>
    <xf numFmtId="172" fontId="0" fillId="0" borderId="1" xfId="0" applyNumberFormat="1" applyBorder="1"/>
    <xf numFmtId="172" fontId="5" fillId="0" borderId="0" xfId="0" applyNumberFormat="1" applyFont="1"/>
    <xf numFmtId="172" fontId="2" fillId="2" borderId="0" xfId="0" applyNumberFormat="1" applyFont="1" applyFill="1"/>
    <xf numFmtId="172" fontId="9" fillId="2" borderId="2" xfId="0" applyNumberFormat="1" applyFont="1" applyFill="1" applyBorder="1"/>
    <xf numFmtId="172" fontId="9" fillId="2" borderId="0" xfId="0" applyNumberFormat="1" applyFont="1" applyFill="1"/>
    <xf numFmtId="172" fontId="2" fillId="2" borderId="2" xfId="0" applyNumberFormat="1" applyFont="1" applyFill="1" applyBorder="1"/>
    <xf numFmtId="172" fontId="42" fillId="0" borderId="0" xfId="0" applyNumberFormat="1" applyFont="1" applyAlignment="1">
      <alignment vertical="top"/>
    </xf>
    <xf numFmtId="172" fontId="7" fillId="2" borderId="0" xfId="0" applyNumberFormat="1" applyFont="1" applyFill="1" applyAlignment="1">
      <alignment horizontal="center" vertical="center" wrapText="1"/>
    </xf>
    <xf numFmtId="172" fontId="26" fillId="0" borderId="0" xfId="0" applyNumberFormat="1" applyFont="1"/>
    <xf numFmtId="172" fontId="7" fillId="2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indent="2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wrapText="1" indent="3"/>
    </xf>
    <xf numFmtId="167" fontId="6" fillId="0" borderId="0" xfId="1" applyNumberFormat="1" applyFont="1" applyFill="1" applyBorder="1" applyAlignment="1">
      <alignment horizontal="left" vertical="center" indent="1"/>
    </xf>
    <xf numFmtId="167" fontId="6" fillId="2" borderId="0" xfId="13" applyNumberFormat="1" applyFont="1" applyFill="1" applyAlignment="1">
      <alignment horizontal="left" vertical="center" wrapText="1" indent="2"/>
    </xf>
    <xf numFmtId="0" fontId="6" fillId="2" borderId="0" xfId="25" applyFont="1" applyFill="1" applyAlignment="1">
      <alignment horizontal="left" vertical="center" wrapText="1" indent="3"/>
    </xf>
    <xf numFmtId="167" fontId="6" fillId="2" borderId="0" xfId="13" applyNumberFormat="1" applyFont="1" applyFill="1" applyBorder="1" applyAlignment="1">
      <alignment horizontal="left" vertical="center" indent="1"/>
    </xf>
    <xf numFmtId="167" fontId="6" fillId="2" borderId="0" xfId="14" applyNumberFormat="1" applyFont="1" applyFill="1" applyBorder="1" applyAlignment="1">
      <alignment horizontal="left" vertical="center" indent="1"/>
    </xf>
    <xf numFmtId="167" fontId="6" fillId="2" borderId="0" xfId="6" applyNumberFormat="1" applyFont="1" applyFill="1" applyBorder="1" applyAlignment="1">
      <alignment horizontal="left" vertical="center" indent="1"/>
    </xf>
    <xf numFmtId="167" fontId="6" fillId="2" borderId="0" xfId="5" applyNumberFormat="1" applyFont="1" applyFill="1" applyBorder="1" applyAlignment="1">
      <alignment horizontal="left" vertical="center" indent="1"/>
    </xf>
    <xf numFmtId="167" fontId="3" fillId="2" borderId="2" xfId="13" applyNumberFormat="1" applyFont="1" applyFill="1" applyBorder="1" applyAlignment="1">
      <alignment horizontal="left" vertical="center" indent="3"/>
    </xf>
    <xf numFmtId="167" fontId="6" fillId="2" borderId="0" xfId="17" applyNumberFormat="1" applyFont="1" applyFill="1" applyBorder="1" applyAlignment="1">
      <alignment horizontal="left" vertical="center" indent="1"/>
    </xf>
    <xf numFmtId="0" fontId="5" fillId="0" borderId="0" xfId="3" applyFont="1" applyAlignment="1">
      <alignment horizontal="left" vertical="center" wrapText="1" indent="3"/>
    </xf>
    <xf numFmtId="0" fontId="4" fillId="0" borderId="0" xfId="3" applyFont="1" applyAlignment="1">
      <alignment horizontal="left" vertical="center" indent="1"/>
    </xf>
    <xf numFmtId="167" fontId="6" fillId="2" borderId="0" xfId="18" applyNumberFormat="1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5" fillId="0" borderId="0" xfId="0" applyFont="1" applyAlignment="1">
      <alignment horizontal="left" vertical="center" indent="3"/>
    </xf>
    <xf numFmtId="0" fontId="5" fillId="0" borderId="0" xfId="0" applyFont="1" applyAlignment="1">
      <alignment horizontal="left" vertical="center" wrapText="1" indent="3"/>
    </xf>
    <xf numFmtId="167" fontId="6" fillId="2" borderId="0" xfId="19" applyNumberFormat="1" applyFont="1" applyFill="1" applyBorder="1" applyAlignment="1">
      <alignment horizontal="left" vertical="center" indent="1"/>
    </xf>
    <xf numFmtId="167" fontId="6" fillId="2" borderId="0" xfId="20" applyNumberFormat="1" applyFont="1" applyFill="1" applyBorder="1" applyAlignment="1">
      <alignment horizontal="left" vertical="center" indent="1"/>
    </xf>
    <xf numFmtId="0" fontId="31" fillId="0" borderId="0" xfId="11" applyFont="1" applyAlignment="1">
      <alignment horizontal="center" vertical="center"/>
    </xf>
    <xf numFmtId="0" fontId="23" fillId="0" borderId="0" xfId="26" applyFont="1"/>
    <xf numFmtId="0" fontId="34" fillId="0" borderId="0" xfId="26" applyFont="1"/>
    <xf numFmtId="0" fontId="1" fillId="0" borderId="0" xfId="26"/>
    <xf numFmtId="0" fontId="38" fillId="0" borderId="19" xfId="2" applyFont="1" applyBorder="1" applyAlignment="1" applyProtection="1">
      <alignment horizontal="center"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173" fontId="4" fillId="0" borderId="17" xfId="0" applyNumberFormat="1" applyFont="1" applyBorder="1" applyAlignment="1">
      <alignment horizontal="right" vertical="center" wrapText="1"/>
    </xf>
    <xf numFmtId="0" fontId="26" fillId="0" borderId="2" xfId="0" applyFont="1" applyBorder="1" applyAlignment="1">
      <alignment horizontal="right"/>
    </xf>
    <xf numFmtId="173" fontId="4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/>
    </xf>
    <xf numFmtId="0" fontId="8" fillId="2" borderId="0" xfId="0" applyFont="1" applyFill="1" applyAlignment="1">
      <alignment horizontal="right" vertical="center"/>
    </xf>
    <xf numFmtId="0" fontId="9" fillId="0" borderId="0" xfId="3" applyFont="1" applyAlignment="1">
      <alignment horizontal="left" vertical="center" wrapText="1" indent="2"/>
    </xf>
    <xf numFmtId="0" fontId="3" fillId="2" borderId="0" xfId="3" applyFont="1" applyFill="1" applyAlignment="1">
      <alignment horizontal="left" vertical="center" wrapText="1" indent="3"/>
    </xf>
    <xf numFmtId="0" fontId="3" fillId="0" borderId="0" xfId="3" applyFont="1" applyAlignment="1">
      <alignment horizontal="left" vertical="center" wrapText="1" indent="3"/>
    </xf>
    <xf numFmtId="174" fontId="12" fillId="0" borderId="0" xfId="24" applyNumberFormat="1" applyFont="1" applyFill="1" applyAlignment="1">
      <alignment horizontal="right" vertical="center" readingOrder="1"/>
    </xf>
    <xf numFmtId="174" fontId="14" fillId="0" borderId="0" xfId="24" applyNumberFormat="1" applyFont="1" applyFill="1" applyAlignment="1" applyProtection="1">
      <alignment horizontal="right" vertical="center"/>
    </xf>
    <xf numFmtId="174" fontId="12" fillId="2" borderId="0" xfId="2" applyNumberFormat="1" applyFont="1" applyFill="1" applyAlignment="1">
      <alignment horizontal="right" vertical="center" readingOrder="1"/>
    </xf>
    <xf numFmtId="174" fontId="39" fillId="0" borderId="0" xfId="0" applyNumberFormat="1" applyFont="1"/>
    <xf numFmtId="174" fontId="0" fillId="0" borderId="0" xfId="0" applyNumberFormat="1"/>
    <xf numFmtId="174" fontId="6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74" fontId="13" fillId="0" borderId="0" xfId="24" applyNumberFormat="1" applyFont="1" applyFill="1" applyAlignment="1">
      <alignment horizontal="right" vertical="center" readingOrder="1"/>
    </xf>
    <xf numFmtId="174" fontId="8" fillId="0" borderId="0" xfId="24" applyNumberFormat="1" applyFont="1" applyFill="1" applyAlignment="1" applyProtection="1">
      <alignment horizontal="right" vertical="center"/>
    </xf>
    <xf numFmtId="174" fontId="13" fillId="2" borderId="0" xfId="2" applyNumberFormat="1" applyFont="1" applyFill="1" applyAlignment="1">
      <alignment horizontal="right" vertical="center" readingOrder="1"/>
    </xf>
    <xf numFmtId="174" fontId="5" fillId="0" borderId="0" xfId="0" applyNumberFormat="1" applyFont="1"/>
    <xf numFmtId="174" fontId="7" fillId="2" borderId="0" xfId="0" applyNumberFormat="1" applyFont="1" applyFill="1" applyAlignment="1">
      <alignment horizontal="center" vertical="center" wrapText="1"/>
    </xf>
    <xf numFmtId="174" fontId="2" fillId="2" borderId="0" xfId="0" applyNumberFormat="1" applyFont="1" applyFill="1"/>
    <xf numFmtId="174" fontId="3" fillId="2" borderId="0" xfId="13" applyNumberFormat="1" applyFont="1" applyFill="1" applyBorder="1"/>
    <xf numFmtId="174" fontId="3" fillId="2" borderId="0" xfId="13" applyNumberFormat="1" applyFont="1" applyFill="1" applyAlignment="1">
      <alignment horizontal="right"/>
    </xf>
    <xf numFmtId="174" fontId="3" fillId="2" borderId="0" xfId="3" applyNumberFormat="1" applyFont="1" applyFill="1" applyAlignment="1">
      <alignment horizontal="right" vertical="center"/>
    </xf>
    <xf numFmtId="174" fontId="0" fillId="2" borderId="0" xfId="0" applyNumberFormat="1" applyFill="1"/>
    <xf numFmtId="174" fontId="6" fillId="0" borderId="0" xfId="14" applyNumberFormat="1" applyFont="1"/>
    <xf numFmtId="174" fontId="6" fillId="2" borderId="0" xfId="6" applyNumberFormat="1" applyFont="1" applyFill="1"/>
    <xf numFmtId="174" fontId="3" fillId="0" borderId="0" xfId="6" applyNumberFormat="1" applyFont="1"/>
    <xf numFmtId="174" fontId="3" fillId="2" borderId="0" xfId="17" applyNumberFormat="1" applyFont="1" applyFill="1" applyBorder="1"/>
    <xf numFmtId="174" fontId="13" fillId="2" borderId="3" xfId="2" applyNumberFormat="1" applyFont="1" applyFill="1" applyBorder="1" applyAlignment="1" applyProtection="1">
      <alignment horizontal="right" vertical="center" wrapText="1" readingOrder="1"/>
      <protection locked="0"/>
    </xf>
    <xf numFmtId="174" fontId="3" fillId="2" borderId="0" xfId="17" applyNumberFormat="1" applyFont="1" applyFill="1" applyAlignment="1">
      <alignment horizontal="right"/>
    </xf>
    <xf numFmtId="174" fontId="5" fillId="0" borderId="0" xfId="3" applyNumberFormat="1" applyFont="1"/>
    <xf numFmtId="174" fontId="3" fillId="2" borderId="0" xfId="18" applyNumberFormat="1" applyFont="1" applyFill="1"/>
    <xf numFmtId="174" fontId="3" fillId="0" borderId="0" xfId="3" applyNumberFormat="1" applyFont="1" applyAlignment="1">
      <alignment horizontal="right" vertical="center"/>
    </xf>
    <xf numFmtId="174" fontId="14" fillId="0" borderId="3" xfId="0" applyNumberFormat="1" applyFont="1" applyBorder="1" applyAlignment="1" applyProtection="1">
      <alignment horizontal="right" vertical="center" wrapText="1" readingOrder="1"/>
      <protection locked="0"/>
    </xf>
    <xf numFmtId="174" fontId="8" fillId="0" borderId="3" xfId="0" applyNumberFormat="1" applyFont="1" applyBorder="1" applyAlignment="1" applyProtection="1">
      <alignment horizontal="right" vertical="center" wrapText="1" readingOrder="1"/>
      <protection locked="0"/>
    </xf>
    <xf numFmtId="174" fontId="5" fillId="2" borderId="0" xfId="3" applyNumberFormat="1" applyFont="1" applyFill="1"/>
    <xf numFmtId="174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0" fontId="23" fillId="0" borderId="10" xfId="11" applyFont="1" applyBorder="1" applyAlignment="1">
      <alignment horizontal="left" vertical="center" wrapText="1" indent="1"/>
    </xf>
    <xf numFmtId="0" fontId="23" fillId="0" borderId="11" xfId="11" applyFont="1" applyBorder="1" applyAlignment="1">
      <alignment horizontal="left" vertical="center" wrapText="1" indent="1"/>
    </xf>
    <xf numFmtId="0" fontId="23" fillId="0" borderId="12" xfId="11" applyFont="1" applyBorder="1" applyAlignment="1">
      <alignment horizontal="left" vertical="center" wrapText="1" indent="1"/>
    </xf>
    <xf numFmtId="0" fontId="23" fillId="0" borderId="14" xfId="11" applyFont="1" applyBorder="1" applyAlignment="1">
      <alignment horizontal="left" vertical="center" wrapText="1" indent="1"/>
    </xf>
    <xf numFmtId="0" fontId="23" fillId="0" borderId="15" xfId="11" applyFont="1" applyBorder="1" applyAlignment="1">
      <alignment horizontal="left" vertical="center" wrapText="1" indent="1"/>
    </xf>
    <xf numFmtId="0" fontId="23" fillId="0" borderId="16" xfId="11" applyFont="1" applyBorder="1" applyAlignment="1">
      <alignment horizontal="left" vertical="center" wrapText="1" indent="1"/>
    </xf>
    <xf numFmtId="0" fontId="36" fillId="0" borderId="8" xfId="12" applyFont="1" applyFill="1" applyBorder="1" applyAlignment="1">
      <alignment horizontal="center" vertical="center" wrapText="1"/>
    </xf>
    <xf numFmtId="0" fontId="36" fillId="0" borderId="13" xfId="12" applyFont="1" applyFill="1" applyBorder="1" applyAlignment="1">
      <alignment horizontal="center" vertical="center" wrapText="1"/>
    </xf>
    <xf numFmtId="0" fontId="36" fillId="0" borderId="18" xfId="12" applyFont="1" applyFill="1" applyBorder="1" applyAlignment="1">
      <alignment horizontal="center" vertical="center" wrapText="1"/>
    </xf>
    <xf numFmtId="0" fontId="33" fillId="7" borderId="6" xfId="11" applyFont="1" applyFill="1" applyBorder="1" applyAlignment="1">
      <alignment horizontal="center" vertical="center"/>
    </xf>
    <xf numFmtId="0" fontId="33" fillId="7" borderId="7" xfId="11" applyFont="1" applyFill="1" applyBorder="1" applyAlignment="1">
      <alignment horizontal="center" vertical="center"/>
    </xf>
    <xf numFmtId="0" fontId="30" fillId="0" borderId="0" xfId="26" applyFont="1" applyAlignment="1">
      <alignment horizontal="center" vertical="center"/>
    </xf>
    <xf numFmtId="0" fontId="31" fillId="0" borderId="0" xfId="26" applyFont="1" applyAlignment="1">
      <alignment horizontal="center" vertical="center"/>
    </xf>
    <xf numFmtId="0" fontId="48" fillId="6" borderId="0" xfId="27" applyFont="1" applyFill="1" applyAlignment="1">
      <alignment horizontal="center" vertical="center"/>
    </xf>
    <xf numFmtId="0" fontId="34" fillId="0" borderId="0" xfId="27" applyFont="1" applyAlignment="1">
      <alignment horizontal="center" vertical="center"/>
    </xf>
    <xf numFmtId="0" fontId="34" fillId="0" borderId="0" xfId="11" applyFont="1" applyAlignment="1">
      <alignment horizontal="right"/>
    </xf>
    <xf numFmtId="0" fontId="8" fillId="0" borderId="0" xfId="0" applyFont="1" applyAlignment="1">
      <alignment horizontal="left" vertical="center" wrapText="1"/>
    </xf>
    <xf numFmtId="0" fontId="14" fillId="2" borderId="4" xfId="0" applyFont="1" applyFill="1" applyBorder="1" applyAlignment="1" applyProtection="1">
      <alignment horizontal="left" vertical="center" wrapText="1" readingOrder="1"/>
      <protection locked="0"/>
    </xf>
    <xf numFmtId="0" fontId="14" fillId="2" borderId="0" xfId="0" applyFont="1" applyFill="1" applyAlignment="1" applyProtection="1">
      <alignment horizontal="left" vertical="center" wrapText="1" readingOrder="1"/>
      <protection locked="0"/>
    </xf>
    <xf numFmtId="0" fontId="14" fillId="2" borderId="2" xfId="0" applyFont="1" applyFill="1" applyBorder="1" applyAlignment="1" applyProtection="1">
      <alignment horizontal="left" vertical="center" wrapText="1" readingOrder="1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5" fillId="2" borderId="0" xfId="3" applyFont="1" applyFill="1" applyAlignment="1">
      <alignment horizontal="left" vertical="center" wrapText="1"/>
    </xf>
    <xf numFmtId="0" fontId="22" fillId="2" borderId="0" xfId="3" applyFont="1" applyFill="1" applyAlignment="1">
      <alignment horizontal="left" vertical="center" wrapText="1"/>
    </xf>
    <xf numFmtId="0" fontId="40" fillId="2" borderId="0" xfId="3" applyFont="1" applyFill="1" applyAlignment="1">
      <alignment horizontal="left" vertical="center" wrapText="1"/>
    </xf>
    <xf numFmtId="0" fontId="51" fillId="8" borderId="0" xfId="0" applyFont="1" applyFill="1" applyAlignment="1">
      <alignment vertical="center"/>
    </xf>
  </cellXfs>
  <cellStyles count="28">
    <cellStyle name="Hipervínculo" xfId="2" builtinId="8"/>
    <cellStyle name="Hipervínculo 2" xfId="12" xr:uid="{00000000-0005-0000-0000-000001000000}"/>
    <cellStyle name="Hipervínculo 2 4" xfId="24" xr:uid="{2AA4CA1E-6D3C-4169-89A4-AAF735BE646A}"/>
    <cellStyle name="Millares" xfId="1" builtinId="3"/>
    <cellStyle name="Millares 2" xfId="5" xr:uid="{00000000-0005-0000-0000-000003000000}"/>
    <cellStyle name="Millares 2 2" xfId="6" xr:uid="{00000000-0005-0000-0000-000004000000}"/>
    <cellStyle name="Millares 2 3" xfId="14" xr:uid="{ACF87AE9-0DC9-45E7-9F21-6759153721D6}"/>
    <cellStyle name="Millares 2 4" xfId="15" xr:uid="{3CD3E506-3650-4527-A028-F50C86D11C97}"/>
    <cellStyle name="Millares 2 5" xfId="16" xr:uid="{30D520DE-CC8B-4B60-B0EF-403670AE9456}"/>
    <cellStyle name="Millares 2 6" xfId="18" xr:uid="{EB691596-B33D-4B12-ABED-2ABC125131C8}"/>
    <cellStyle name="Millares 3" xfId="13" xr:uid="{64329396-F061-4EDA-B02C-57A122B5DFAB}"/>
    <cellStyle name="Millares 4" xfId="17" xr:uid="{70E03682-FA8C-42AB-8184-3068C4FDE97D}"/>
    <cellStyle name="Millares 5" xfId="19" xr:uid="{35962744-2A76-42FE-8362-67C43E2E723A}"/>
    <cellStyle name="Millares 6" xfId="20" xr:uid="{3BD12F8F-D2FF-4CB3-964A-23186F0686FD}"/>
    <cellStyle name="Normal" xfId="0" builtinId="0"/>
    <cellStyle name="Normal 10 2" xfId="21" xr:uid="{09A52CFF-95C9-4063-AA7A-C4A4EF7A3C22}"/>
    <cellStyle name="Normal 10 3 2" xfId="7" xr:uid="{00000000-0005-0000-0000-000006000000}"/>
    <cellStyle name="Normal 2 2 2" xfId="10" xr:uid="{00000000-0005-0000-0000-000007000000}"/>
    <cellStyle name="Normal 3" xfId="22" xr:uid="{E4606500-A39E-4D7D-8F7E-268EDBC091C9}"/>
    <cellStyle name="Normal 3 2 5" xfId="8" xr:uid="{00000000-0005-0000-0000-000008000000}"/>
    <cellStyle name="Normal 4" xfId="3" xr:uid="{00000000-0005-0000-0000-000009000000}"/>
    <cellStyle name="Normal 6" xfId="9" xr:uid="{00000000-0005-0000-0000-00000A000000}"/>
    <cellStyle name="Normal 6 2" xfId="27" xr:uid="{B84CE1F7-6BD2-45B5-A321-C27F0D6B299E}"/>
    <cellStyle name="Normal 6 2 2" xfId="26" xr:uid="{A8612AB0-A9FF-4367-BD7B-320B04C73F87}"/>
    <cellStyle name="Normal 7 2 2" xfId="11" xr:uid="{00000000-0005-0000-0000-00000B000000}"/>
    <cellStyle name="Normal 9" xfId="4" xr:uid="{00000000-0005-0000-0000-00000C000000}"/>
    <cellStyle name="Normal 9 2" xfId="25" xr:uid="{77DBE07C-CDC4-46C1-B2AB-A7DB86A8C990}"/>
    <cellStyle name="Normal 9 3" xfId="23" xr:uid="{323D5120-FE22-44C7-AB71-179813E83126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7CAFB649-F3DE-49A8-8AF6-969983C6A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3424-F676-40E8-A10F-8ADE9954A0B3}">
  <dimension ref="A1:T22"/>
  <sheetViews>
    <sheetView showGridLines="0" tabSelected="1" workbookViewId="0"/>
  </sheetViews>
  <sheetFormatPr baseColWidth="10" defaultColWidth="11.42578125" defaultRowHeight="14.25"/>
  <cols>
    <col min="1" max="1" width="1.7109375" style="86" customWidth="1"/>
    <col min="2" max="2" width="20.28515625" style="86" customWidth="1"/>
    <col min="3" max="3" width="17.42578125" style="86" customWidth="1"/>
    <col min="4" max="14" width="11.42578125" style="86"/>
    <col min="15" max="15" width="1.5703125" style="86" customWidth="1"/>
    <col min="16" max="16384" width="11.42578125" style="86"/>
  </cols>
  <sheetData>
    <row r="1" spans="1:20" s="189" customFormat="1" ht="20.100000000000001" customHeight="1">
      <c r="A1" s="187"/>
      <c r="B1" s="188"/>
      <c r="C1" s="188"/>
    </row>
    <row r="2" spans="1:20" s="189" customFormat="1" ht="20.100000000000001" customHeight="1">
      <c r="B2" s="242" t="s">
        <v>103</v>
      </c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</row>
    <row r="3" spans="1:20" s="189" customFormat="1" ht="20.100000000000001" customHeight="1">
      <c r="B3" s="243" t="s">
        <v>56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</row>
    <row r="4" spans="1:20" ht="6.95" customHeight="1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</row>
    <row r="5" spans="1:20" ht="20.100000000000001" customHeight="1">
      <c r="A5" s="244" t="s">
        <v>136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88"/>
    </row>
    <row r="6" spans="1:20" ht="6.95" customHeight="1">
      <c r="A6" s="87"/>
      <c r="B6" s="88" t="s">
        <v>57</v>
      </c>
      <c r="C6" s="89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7"/>
      <c r="T6" s="90"/>
    </row>
    <row r="7" spans="1:20" ht="20.100000000000001" customHeight="1">
      <c r="A7" s="87"/>
      <c r="B7" s="245" t="s">
        <v>57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87"/>
    </row>
    <row r="8" spans="1:20" ht="20.100000000000001" customHeight="1">
      <c r="A8" s="91"/>
      <c r="B8" s="92" t="s">
        <v>137</v>
      </c>
      <c r="C8" s="93"/>
      <c r="D8" s="91"/>
      <c r="E8" s="91"/>
      <c r="F8" s="91"/>
      <c r="G8" s="91"/>
      <c r="H8" s="91"/>
      <c r="I8" s="91"/>
      <c r="J8" s="91"/>
      <c r="K8" s="91"/>
      <c r="L8" s="91"/>
      <c r="M8" s="246" t="str">
        <f>CONCATENATE("Total de tabulados: ", COUNTIF(C11:C23,"&lt;&gt;"))</f>
        <v>Total de tabulados: 12</v>
      </c>
      <c r="N8" s="246"/>
      <c r="O8" s="91"/>
    </row>
    <row r="9" spans="1:20" ht="6.95" customHeight="1" thickBot="1"/>
    <row r="10" spans="1:20" ht="18.75" customHeight="1" thickBot="1">
      <c r="B10" s="94" t="s">
        <v>58</v>
      </c>
      <c r="C10" s="112" t="s">
        <v>59</v>
      </c>
      <c r="D10" s="240" t="s">
        <v>60</v>
      </c>
      <c r="E10" s="240"/>
      <c r="F10" s="240"/>
      <c r="G10" s="240"/>
      <c r="H10" s="240"/>
      <c r="I10" s="240"/>
      <c r="J10" s="240"/>
      <c r="K10" s="240"/>
      <c r="L10" s="240"/>
      <c r="M10" s="240"/>
      <c r="N10" s="241"/>
    </row>
    <row r="11" spans="1:20" ht="39.950000000000003" customHeight="1">
      <c r="B11" s="237" t="s">
        <v>61</v>
      </c>
      <c r="C11" s="96" t="s">
        <v>18</v>
      </c>
      <c r="D11" s="231" t="s">
        <v>111</v>
      </c>
      <c r="E11" s="232"/>
      <c r="F11" s="232"/>
      <c r="G11" s="232"/>
      <c r="H11" s="232"/>
      <c r="I11" s="232"/>
      <c r="J11" s="232"/>
      <c r="K11" s="232"/>
      <c r="L11" s="232"/>
      <c r="M11" s="232"/>
      <c r="N11" s="233"/>
      <c r="O11" s="95"/>
      <c r="P11" s="95"/>
      <c r="Q11" s="95"/>
      <c r="R11" s="95"/>
      <c r="S11" s="95"/>
      <c r="T11" s="95"/>
    </row>
    <row r="12" spans="1:20" ht="39.950000000000003" customHeight="1">
      <c r="B12" s="238"/>
      <c r="C12" s="96" t="s">
        <v>20</v>
      </c>
      <c r="D12" s="231" t="s">
        <v>112</v>
      </c>
      <c r="E12" s="232"/>
      <c r="F12" s="232"/>
      <c r="G12" s="232"/>
      <c r="H12" s="232"/>
      <c r="I12" s="232"/>
      <c r="J12" s="232"/>
      <c r="K12" s="232"/>
      <c r="L12" s="232"/>
      <c r="M12" s="232"/>
      <c r="N12" s="233"/>
      <c r="O12" s="95"/>
      <c r="P12" s="95"/>
      <c r="Q12" s="95"/>
      <c r="R12" s="95"/>
      <c r="S12" s="95"/>
      <c r="T12" s="95"/>
    </row>
    <row r="13" spans="1:20" ht="39.950000000000003" customHeight="1">
      <c r="B13" s="238"/>
      <c r="C13" s="96" t="s">
        <v>21</v>
      </c>
      <c r="D13" s="231" t="s">
        <v>113</v>
      </c>
      <c r="E13" s="232"/>
      <c r="F13" s="232"/>
      <c r="G13" s="232"/>
      <c r="H13" s="232"/>
      <c r="I13" s="232"/>
      <c r="J13" s="232"/>
      <c r="K13" s="232"/>
      <c r="L13" s="232"/>
      <c r="M13" s="232"/>
      <c r="N13" s="233"/>
      <c r="O13" s="95"/>
      <c r="P13" s="95"/>
      <c r="Q13" s="95"/>
      <c r="R13" s="95"/>
      <c r="S13" s="95"/>
      <c r="T13" s="95"/>
    </row>
    <row r="14" spans="1:20" ht="39.950000000000003" customHeight="1">
      <c r="B14" s="238"/>
      <c r="C14" s="96" t="s">
        <v>22</v>
      </c>
      <c r="D14" s="231" t="s">
        <v>9</v>
      </c>
      <c r="E14" s="232"/>
      <c r="F14" s="232"/>
      <c r="G14" s="232"/>
      <c r="H14" s="232"/>
      <c r="I14" s="232"/>
      <c r="J14" s="232"/>
      <c r="K14" s="232"/>
      <c r="L14" s="232"/>
      <c r="M14" s="232"/>
      <c r="N14" s="233"/>
      <c r="O14" s="95"/>
      <c r="P14" s="95"/>
      <c r="Q14" s="95"/>
      <c r="R14" s="95"/>
      <c r="S14" s="95"/>
      <c r="T14" s="95"/>
    </row>
    <row r="15" spans="1:20" ht="39.950000000000003" customHeight="1">
      <c r="B15" s="238"/>
      <c r="C15" s="96" t="s">
        <v>23</v>
      </c>
      <c r="D15" s="231" t="s">
        <v>115</v>
      </c>
      <c r="E15" s="232"/>
      <c r="F15" s="232"/>
      <c r="G15" s="232"/>
      <c r="H15" s="232"/>
      <c r="I15" s="232"/>
      <c r="J15" s="232"/>
      <c r="K15" s="232"/>
      <c r="L15" s="232"/>
      <c r="M15" s="232"/>
      <c r="N15" s="233"/>
      <c r="O15" s="95"/>
      <c r="P15" s="95"/>
      <c r="Q15" s="95"/>
      <c r="R15" s="95"/>
      <c r="S15" s="95"/>
      <c r="T15" s="95"/>
    </row>
    <row r="16" spans="1:20" ht="39.950000000000003" customHeight="1">
      <c r="B16" s="238"/>
      <c r="C16" s="96" t="s">
        <v>24</v>
      </c>
      <c r="D16" s="231" t="s">
        <v>116</v>
      </c>
      <c r="E16" s="232"/>
      <c r="F16" s="232"/>
      <c r="G16" s="232"/>
      <c r="H16" s="232"/>
      <c r="I16" s="232"/>
      <c r="J16" s="232"/>
      <c r="K16" s="232"/>
      <c r="L16" s="232"/>
      <c r="M16" s="232"/>
      <c r="N16" s="233"/>
      <c r="O16" s="95"/>
      <c r="P16" s="95"/>
      <c r="Q16" s="95"/>
      <c r="R16" s="95"/>
      <c r="S16" s="95"/>
      <c r="T16" s="95"/>
    </row>
    <row r="17" spans="2:20" ht="39.950000000000003" customHeight="1">
      <c r="B17" s="238"/>
      <c r="C17" s="96" t="s">
        <v>25</v>
      </c>
      <c r="D17" s="231" t="s">
        <v>118</v>
      </c>
      <c r="E17" s="232"/>
      <c r="F17" s="232"/>
      <c r="G17" s="232"/>
      <c r="H17" s="232"/>
      <c r="I17" s="232"/>
      <c r="J17" s="232"/>
      <c r="K17" s="232"/>
      <c r="L17" s="232"/>
      <c r="M17" s="232"/>
      <c r="N17" s="233"/>
      <c r="O17" s="95"/>
      <c r="P17" s="95"/>
      <c r="Q17" s="95"/>
      <c r="R17" s="95"/>
      <c r="S17" s="95"/>
      <c r="T17" s="95"/>
    </row>
    <row r="18" spans="2:20" ht="39.950000000000003" customHeight="1">
      <c r="B18" s="238"/>
      <c r="C18" s="96" t="s">
        <v>26</v>
      </c>
      <c r="D18" s="231" t="s">
        <v>119</v>
      </c>
      <c r="E18" s="232"/>
      <c r="F18" s="232"/>
      <c r="G18" s="232"/>
      <c r="H18" s="232"/>
      <c r="I18" s="232"/>
      <c r="J18" s="232"/>
      <c r="K18" s="232"/>
      <c r="L18" s="232"/>
      <c r="M18" s="232"/>
      <c r="N18" s="233"/>
      <c r="O18" s="95"/>
      <c r="P18" s="95"/>
      <c r="Q18" s="95"/>
      <c r="R18" s="95"/>
      <c r="S18" s="95"/>
      <c r="T18" s="95"/>
    </row>
    <row r="19" spans="2:20" ht="39.950000000000003" customHeight="1">
      <c r="B19" s="238"/>
      <c r="C19" s="96" t="s">
        <v>27</v>
      </c>
      <c r="D19" s="231" t="s">
        <v>120</v>
      </c>
      <c r="E19" s="232"/>
      <c r="F19" s="232"/>
      <c r="G19" s="232"/>
      <c r="H19" s="232"/>
      <c r="I19" s="232"/>
      <c r="J19" s="232"/>
      <c r="K19" s="232"/>
      <c r="L19" s="232"/>
      <c r="M19" s="232"/>
      <c r="N19" s="233"/>
      <c r="O19" s="95"/>
      <c r="P19" s="95"/>
      <c r="Q19" s="95"/>
      <c r="R19" s="95"/>
      <c r="S19" s="95"/>
      <c r="T19" s="95"/>
    </row>
    <row r="20" spans="2:20" ht="39.950000000000003" customHeight="1">
      <c r="B20" s="238"/>
      <c r="C20" s="96" t="s">
        <v>28</v>
      </c>
      <c r="D20" s="231" t="s">
        <v>121</v>
      </c>
      <c r="E20" s="232"/>
      <c r="F20" s="232"/>
      <c r="G20" s="232"/>
      <c r="H20" s="232"/>
      <c r="I20" s="232"/>
      <c r="J20" s="232"/>
      <c r="K20" s="232"/>
      <c r="L20" s="232"/>
      <c r="M20" s="232"/>
      <c r="N20" s="233"/>
      <c r="O20" s="95"/>
      <c r="P20" s="95"/>
      <c r="Q20" s="95"/>
      <c r="R20" s="95"/>
      <c r="S20" s="95"/>
      <c r="T20" s="95"/>
    </row>
    <row r="21" spans="2:20" ht="39.950000000000003" customHeight="1">
      <c r="B21" s="238"/>
      <c r="C21" s="96" t="s">
        <v>19</v>
      </c>
      <c r="D21" s="231" t="s">
        <v>123</v>
      </c>
      <c r="E21" s="232"/>
      <c r="F21" s="232"/>
      <c r="G21" s="232"/>
      <c r="H21" s="232"/>
      <c r="I21" s="232"/>
      <c r="J21" s="232"/>
      <c r="K21" s="232"/>
      <c r="L21" s="232"/>
      <c r="M21" s="232"/>
      <c r="N21" s="233"/>
      <c r="O21" s="95"/>
      <c r="P21" s="95"/>
      <c r="Q21" s="95"/>
      <c r="R21" s="95"/>
      <c r="S21" s="95"/>
      <c r="T21" s="95"/>
    </row>
    <row r="22" spans="2:20" ht="39.950000000000003" customHeight="1" thickBot="1">
      <c r="B22" s="239"/>
      <c r="C22" s="190" t="s">
        <v>72</v>
      </c>
      <c r="D22" s="234" t="s">
        <v>122</v>
      </c>
      <c r="E22" s="235"/>
      <c r="F22" s="235"/>
      <c r="G22" s="235"/>
      <c r="H22" s="235"/>
      <c r="I22" s="235"/>
      <c r="J22" s="235"/>
      <c r="K22" s="235"/>
      <c r="L22" s="235"/>
      <c r="M22" s="235"/>
      <c r="N22" s="236"/>
      <c r="O22" s="95"/>
      <c r="P22" s="95"/>
      <c r="Q22" s="95"/>
      <c r="R22" s="95"/>
      <c r="S22" s="95"/>
      <c r="T22" s="95"/>
    </row>
  </sheetData>
  <mergeCells count="19">
    <mergeCell ref="D10:N10"/>
    <mergeCell ref="B2:N2"/>
    <mergeCell ref="B3:N3"/>
    <mergeCell ref="A5:N5"/>
    <mergeCell ref="B7:N7"/>
    <mergeCell ref="M8:N8"/>
    <mergeCell ref="D20:N20"/>
    <mergeCell ref="D21:N21"/>
    <mergeCell ref="D22:N22"/>
    <mergeCell ref="B11:B22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</mergeCells>
  <hyperlinks>
    <hyperlink ref="C11" location="'Cuadro 4.1'!A1" tooltip="Ir a Cuadro 4.1" display="Cuadro 4.1" xr:uid="{1501EB8A-A928-44D4-90FE-7D6FFD9FC9E4}"/>
    <hyperlink ref="C12" location="'Cuadro 4.2'!A1" tooltip="Ir a Cuadro 4.2" display="Cuadro 4.2" xr:uid="{87FACF74-2AE2-47EC-931A-E3FBA6A5AA26}"/>
    <hyperlink ref="C13" location="'Cuadro 4.3'!A1" tooltip="Ir a Cuadro 4.3" display="Cuadro 4.3" xr:uid="{6CE1BDF0-D0BC-4F28-A245-CA8F72131B78}"/>
    <hyperlink ref="C14" location="'Cuadro 4.4'!A1" tooltip="Ir a Cuadro 4.4" display="Cuadro 4.4" xr:uid="{9BA83861-D5C9-4757-9D71-6B2B1D3C66A1}"/>
    <hyperlink ref="C15" location="'Cuadro 4.5'!A1" tooltip="Ir a Cuadro 4.5" display="Cuadro 4.5" xr:uid="{29F8EA55-0997-4FDB-B519-A0CF76BDD706}"/>
    <hyperlink ref="C16" location="'Cuadro 4.6'!A1" tooltip="Ir a Cuadro 4.6" display="Cuadro 4.6" xr:uid="{43BCB8B6-B3CF-4140-92B5-EA94A7D2D78B}"/>
    <hyperlink ref="C17" location="'Cuadro 4.7'!A1" tooltip="Ir a Cuadro 4.7" display="Cuadro 4.7" xr:uid="{A942CBD0-B360-4EA7-8819-F143202AF7DD}"/>
    <hyperlink ref="C18" location="'Cuadro 4.8'!A1" tooltip="Ir a Cuadro 4.8" display="Cuadro 4.8" xr:uid="{DDB56F28-D205-4DE3-8BB2-5321DF83B2F6}"/>
    <hyperlink ref="C19" location="'Cuadro 4.9'!A1" tooltip="Ir a Cuadro 4.9" display="Cuadro 4.9" xr:uid="{287CB544-A71B-4D81-8A94-8A3ECC48E56B}"/>
    <hyperlink ref="C20" location="'Cuadro 4.10'!A1" tooltip="Ir a Cuadro 4.10" display="Cuadro 4.10" xr:uid="{6E12503B-3911-4E0F-A83C-100355196BE0}"/>
    <hyperlink ref="C21:C22" location="'Cuadro 4.10'!A1" tooltip="Ir a Cuadro 4.10" display="Cuadro 4.10" xr:uid="{93225C79-56CB-47C6-9ABF-04F00F41E98E}"/>
    <hyperlink ref="C21" location="'Cuadro 4.11'!A1" tooltip="Ir a Cuadro 4.11" display="Cuadro 4.11" xr:uid="{04556E95-E55D-4C0C-A75E-CF66321C39D4}"/>
    <hyperlink ref="C22" location="'Cuadro 4.12'!A1" tooltip="Ir a Cuadro 4.12" display="Cuadro 4.12" xr:uid="{07A7BF1D-0790-462F-9AAB-E83566CE896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1E84-9BBB-4682-9196-22A590F097CD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  <col min="13" max="13" width="0.5703125" customWidth="1"/>
    <col min="14" max="14" width="11.855468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110</v>
      </c>
      <c r="C5" s="104"/>
      <c r="D5" s="104"/>
      <c r="E5" s="104"/>
      <c r="F5" s="102"/>
      <c r="G5" s="151"/>
      <c r="H5" s="97"/>
      <c r="J5" s="155"/>
      <c r="K5" s="99" t="s">
        <v>18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80</v>
      </c>
      <c r="C7" s="54"/>
      <c r="D7" s="251" t="s">
        <v>109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  <c r="L9" s="1"/>
    </row>
    <row r="10" spans="2:17" ht="6" customHeight="1">
      <c r="B10" s="2"/>
      <c r="C10" s="2"/>
      <c r="D10" s="192"/>
      <c r="E10" s="196"/>
      <c r="F10" s="197"/>
      <c r="G10" s="192"/>
      <c r="H10" s="196"/>
      <c r="I10" s="197"/>
      <c r="J10" s="192"/>
      <c r="K10" s="196"/>
      <c r="L10" s="1"/>
    </row>
    <row r="11" spans="2:17" s="4" customFormat="1" ht="15" customHeight="1">
      <c r="B11" s="145" t="s">
        <v>2</v>
      </c>
      <c r="C11" s="3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  <c r="L11" s="1"/>
    </row>
    <row r="12" spans="2:17" s="4" customFormat="1" ht="6.95" customHeight="1">
      <c r="B12" s="145"/>
      <c r="C12" s="5"/>
      <c r="D12" s="206"/>
      <c r="E12" s="206"/>
      <c r="F12" s="207"/>
      <c r="G12" s="206"/>
      <c r="H12" s="206"/>
      <c r="I12" s="206"/>
      <c r="J12" s="206"/>
      <c r="K12" s="206"/>
      <c r="L12" s="1"/>
    </row>
    <row r="13" spans="2:17" s="81" customFormat="1" ht="15" customHeight="1">
      <c r="B13" s="166" t="s">
        <v>68</v>
      </c>
      <c r="C13" s="3"/>
      <c r="D13" s="202">
        <v>55221151.638692804</v>
      </c>
      <c r="E13" s="203">
        <v>64.109997983693603</v>
      </c>
      <c r="F13" s="204"/>
      <c r="G13" s="202">
        <v>30047087.468451399</v>
      </c>
      <c r="H13" s="203">
        <v>65.343252389810701</v>
      </c>
      <c r="I13" s="205"/>
      <c r="J13" s="202">
        <v>24482102.578001201</v>
      </c>
      <c r="K13" s="203">
        <v>61.774488693654099</v>
      </c>
      <c r="L13" s="8"/>
    </row>
    <row r="14" spans="2:17" s="81" customFormat="1" ht="7.15" customHeight="1">
      <c r="B14" s="146"/>
      <c r="C14" s="3"/>
      <c r="D14" s="208"/>
      <c r="E14" s="209"/>
      <c r="F14" s="204"/>
      <c r="G14" s="208"/>
      <c r="H14" s="209"/>
      <c r="I14" s="205"/>
      <c r="J14" s="208"/>
      <c r="K14" s="209"/>
      <c r="L14" s="8"/>
    </row>
    <row r="15" spans="2:17" s="7" customFormat="1" ht="15" customHeight="1">
      <c r="B15" s="167" t="s">
        <v>29</v>
      </c>
      <c r="C15" s="3"/>
      <c r="D15" s="208">
        <v>19734473.0518893</v>
      </c>
      <c r="E15" s="209">
        <v>35.2083308418838</v>
      </c>
      <c r="F15" s="210"/>
      <c r="G15" s="208">
        <v>10378386.041954501</v>
      </c>
      <c r="H15" s="209">
        <v>33.825458694755298</v>
      </c>
      <c r="I15" s="206"/>
      <c r="J15" s="208">
        <v>8986056.0530009493</v>
      </c>
      <c r="K15" s="209">
        <v>35.754451125086298</v>
      </c>
      <c r="L15" s="8"/>
    </row>
    <row r="16" spans="2:17" s="4" customFormat="1" ht="15" customHeight="1">
      <c r="B16" s="167" t="s">
        <v>3</v>
      </c>
      <c r="C16" s="9"/>
      <c r="D16" s="208">
        <v>20580529.941675201</v>
      </c>
      <c r="E16" s="209">
        <v>36.660025179653502</v>
      </c>
      <c r="F16" s="210"/>
      <c r="G16" s="208">
        <v>11659171.772587299</v>
      </c>
      <c r="H16" s="209">
        <v>38.043094000783299</v>
      </c>
      <c r="I16" s="206"/>
      <c r="J16" s="208">
        <v>8507066.4153718706</v>
      </c>
      <c r="K16" s="209">
        <v>33.828329684944897</v>
      </c>
    </row>
    <row r="17" spans="2:12" s="4" customFormat="1" ht="30" customHeight="1">
      <c r="B17" s="168" t="s">
        <v>78</v>
      </c>
      <c r="C17" s="9"/>
      <c r="D17" s="208">
        <v>43675026.586114801</v>
      </c>
      <c r="E17" s="209">
        <v>78.293310722962801</v>
      </c>
      <c r="F17" s="210"/>
      <c r="G17" s="208">
        <v>24008625.634771701</v>
      </c>
      <c r="H17" s="209">
        <v>78.769523709120506</v>
      </c>
      <c r="I17" s="206"/>
      <c r="J17" s="208">
        <v>19059752.091781601</v>
      </c>
      <c r="K17" s="209">
        <v>76.719356800060694</v>
      </c>
    </row>
    <row r="18" spans="2:12" s="4" customFormat="1" ht="15" customHeight="1">
      <c r="B18" s="167" t="s">
        <v>4</v>
      </c>
      <c r="C18" s="9"/>
      <c r="D18" s="208">
        <v>33152364.000220999</v>
      </c>
      <c r="E18" s="209">
        <v>59.102804725844599</v>
      </c>
      <c r="F18" s="210"/>
      <c r="G18" s="208">
        <v>18287834.791363999</v>
      </c>
      <c r="H18" s="209">
        <v>59.711806796358701</v>
      </c>
      <c r="I18" s="206"/>
      <c r="J18" s="208">
        <v>14352892.2686741</v>
      </c>
      <c r="K18" s="209">
        <v>57.198737337891103</v>
      </c>
    </row>
    <row r="19" spans="2:12" s="4" customFormat="1" ht="30" customHeight="1">
      <c r="B19" s="168" t="s">
        <v>79</v>
      </c>
      <c r="C19" s="5"/>
      <c r="D19" s="208">
        <v>16114366.5237794</v>
      </c>
      <c r="E19" s="209">
        <v>28.6182302445626</v>
      </c>
      <c r="F19" s="210"/>
      <c r="G19" s="208">
        <v>7282070.7553574899</v>
      </c>
      <c r="H19" s="209">
        <v>23.642630482108299</v>
      </c>
      <c r="I19" s="206"/>
      <c r="J19" s="208">
        <v>8480255.6134384703</v>
      </c>
      <c r="K19" s="209">
        <v>33.5729364112211</v>
      </c>
      <c r="L19" s="1"/>
    </row>
    <row r="20" spans="2:12" s="4" customFormat="1" ht="6.95" customHeight="1">
      <c r="B20" s="147"/>
      <c r="C20" s="5"/>
      <c r="D20" s="211"/>
      <c r="E20" s="211"/>
      <c r="F20" s="212"/>
      <c r="G20" s="211"/>
      <c r="H20" s="211"/>
      <c r="I20" s="212"/>
      <c r="J20" s="212"/>
      <c r="K20" s="212"/>
      <c r="L20" s="1"/>
    </row>
    <row r="21" spans="2:12" s="106" customFormat="1" ht="15" customHeight="1">
      <c r="B21" s="166" t="s">
        <v>74</v>
      </c>
      <c r="C21" s="5"/>
      <c r="D21" s="202">
        <v>28852070.605415899</v>
      </c>
      <c r="E21" s="203">
        <v>33.5358969842951</v>
      </c>
      <c r="F21" s="204"/>
      <c r="G21" s="202">
        <v>14537650.3835652</v>
      </c>
      <c r="H21" s="203">
        <v>31.6498351541562</v>
      </c>
      <c r="I21" s="205"/>
      <c r="J21" s="202">
        <v>13831134.0479185</v>
      </c>
      <c r="K21" s="203">
        <v>34.8137528833253</v>
      </c>
      <c r="L21" s="1"/>
    </row>
    <row r="22" spans="2:12" s="4" customFormat="1" ht="6.95" customHeight="1">
      <c r="B22" s="147"/>
      <c r="C22" s="5"/>
      <c r="D22" s="211"/>
      <c r="E22" s="211"/>
      <c r="F22" s="212"/>
      <c r="G22" s="211"/>
      <c r="H22" s="211"/>
      <c r="I22" s="212"/>
      <c r="J22" s="212"/>
      <c r="K22" s="212"/>
      <c r="L22" s="1"/>
    </row>
    <row r="23" spans="2:12" s="4" customFormat="1" ht="15" customHeight="1">
      <c r="B23" s="169" t="s">
        <v>0</v>
      </c>
      <c r="C23" s="5"/>
      <c r="D23" s="202">
        <v>27919808.370060898</v>
      </c>
      <c r="E23" s="203">
        <v>100</v>
      </c>
      <c r="F23" s="204"/>
      <c r="G23" s="202">
        <v>15147712.0036007</v>
      </c>
      <c r="H23" s="203">
        <v>100</v>
      </c>
      <c r="I23" s="205"/>
      <c r="J23" s="202">
        <v>12466861.324348001</v>
      </c>
      <c r="K23" s="203">
        <v>100</v>
      </c>
      <c r="L23" s="1"/>
    </row>
    <row r="24" spans="2:12" s="4" customFormat="1" ht="6.95" customHeight="1">
      <c r="B24" s="143"/>
      <c r="C24" s="5"/>
      <c r="D24" s="206"/>
      <c r="E24" s="206"/>
      <c r="F24" s="207"/>
      <c r="G24" s="206"/>
      <c r="H24" s="206"/>
      <c r="I24" s="206"/>
      <c r="J24" s="206"/>
      <c r="K24" s="206"/>
      <c r="L24" s="1"/>
    </row>
    <row r="25" spans="2:12" s="81" customFormat="1" ht="15" customHeight="1">
      <c r="B25" s="166" t="s">
        <v>68</v>
      </c>
      <c r="C25" s="3"/>
      <c r="D25" s="202">
        <v>15612053.325581299</v>
      </c>
      <c r="E25" s="203">
        <v>54.456868454054899</v>
      </c>
      <c r="F25" s="204"/>
      <c r="G25" s="202">
        <v>8490014.7735065501</v>
      </c>
      <c r="H25" s="203">
        <v>54.175916855879798</v>
      </c>
      <c r="I25" s="205"/>
      <c r="J25" s="202">
        <v>6857689.6054137098</v>
      </c>
      <c r="K25" s="203">
        <v>53.147370294107198</v>
      </c>
      <c r="L25" s="8"/>
    </row>
    <row r="26" spans="2:12" s="81" customFormat="1" ht="7.15" customHeight="1">
      <c r="B26" s="146"/>
      <c r="C26" s="3"/>
      <c r="D26" s="208"/>
      <c r="E26" s="209"/>
      <c r="F26" s="204"/>
      <c r="G26" s="208"/>
      <c r="H26" s="209"/>
      <c r="I26" s="205"/>
      <c r="J26" s="208"/>
      <c r="K26" s="209"/>
      <c r="L26" s="8"/>
    </row>
    <row r="27" spans="2:12" s="7" customFormat="1" ht="15" customHeight="1">
      <c r="B27" s="167" t="s">
        <v>29</v>
      </c>
      <c r="C27" s="3"/>
      <c r="D27" s="208">
        <v>4338778.7668501101</v>
      </c>
      <c r="E27" s="209">
        <v>26.807537653830401</v>
      </c>
      <c r="F27" s="210"/>
      <c r="G27" s="208">
        <v>2410093.7755899499</v>
      </c>
      <c r="H27" s="209">
        <v>27.074915364427898</v>
      </c>
      <c r="I27" s="206"/>
      <c r="J27" s="208">
        <v>1777220.4590880601</v>
      </c>
      <c r="K27" s="209">
        <v>24.574172470993201</v>
      </c>
      <c r="L27" s="8"/>
    </row>
    <row r="28" spans="2:12" s="4" customFormat="1" ht="15" customHeight="1">
      <c r="B28" s="167" t="s">
        <v>3</v>
      </c>
      <c r="C28" s="9"/>
      <c r="D28" s="208">
        <v>4485953.7917400301</v>
      </c>
      <c r="E28" s="209">
        <v>27.793641052010599</v>
      </c>
      <c r="F28" s="210"/>
      <c r="G28" s="208">
        <v>2473250.4419504101</v>
      </c>
      <c r="H28" s="209">
        <v>27.825167413096999</v>
      </c>
      <c r="I28" s="206"/>
      <c r="J28" s="208">
        <v>1819672.4257392101</v>
      </c>
      <c r="K28" s="209">
        <v>25.517396084705599</v>
      </c>
    </row>
    <row r="29" spans="2:12" s="4" customFormat="1" ht="30" customHeight="1">
      <c r="B29" s="168" t="s">
        <v>78</v>
      </c>
      <c r="C29" s="9"/>
      <c r="D29" s="208">
        <v>11951148.015414599</v>
      </c>
      <c r="E29" s="209">
        <v>74.800633050113206</v>
      </c>
      <c r="F29" s="210"/>
      <c r="G29" s="208">
        <v>6506659.0067404397</v>
      </c>
      <c r="H29" s="209">
        <v>74.359882186536097</v>
      </c>
      <c r="I29" s="206"/>
      <c r="J29" s="208">
        <v>5201663.5664150901</v>
      </c>
      <c r="K29" s="209">
        <v>73.491183502000894</v>
      </c>
    </row>
    <row r="30" spans="2:12" s="4" customFormat="1" ht="15" customHeight="1">
      <c r="B30" s="167" t="s">
        <v>4</v>
      </c>
      <c r="C30" s="9"/>
      <c r="D30" s="208">
        <v>8489779.5932917092</v>
      </c>
      <c r="E30" s="209">
        <v>52.5462396884583</v>
      </c>
      <c r="F30" s="210"/>
      <c r="G30" s="208">
        <v>4849254.8305934202</v>
      </c>
      <c r="H30" s="209">
        <v>54.706994312933503</v>
      </c>
      <c r="I30" s="206"/>
      <c r="J30" s="208">
        <v>3477402.3252978302</v>
      </c>
      <c r="K30" s="209">
        <v>47.8748280439981</v>
      </c>
    </row>
    <row r="31" spans="2:12" s="4" customFormat="1" ht="30" customHeight="1">
      <c r="B31" s="168" t="s">
        <v>79</v>
      </c>
      <c r="C31" s="5"/>
      <c r="D31" s="208">
        <v>2303255.19209354</v>
      </c>
      <c r="E31" s="209">
        <v>13.9533128424836</v>
      </c>
      <c r="F31" s="210"/>
      <c r="G31" s="208">
        <v>966085.86292733904</v>
      </c>
      <c r="H31" s="209">
        <v>10.726460144968501</v>
      </c>
      <c r="I31" s="206"/>
      <c r="J31" s="208">
        <v>1190997.88235386</v>
      </c>
      <c r="K31" s="209">
        <v>16.189155378961001</v>
      </c>
      <c r="L31" s="1"/>
    </row>
    <row r="32" spans="2:12" s="4" customFormat="1" ht="7.15" customHeight="1">
      <c r="B32" s="147"/>
      <c r="C32" s="5"/>
      <c r="D32" s="211"/>
      <c r="E32" s="211"/>
      <c r="F32" s="212"/>
      <c r="G32" s="211"/>
      <c r="H32" s="211"/>
      <c r="I32" s="212"/>
      <c r="J32" s="212"/>
      <c r="K32" s="212"/>
      <c r="L32" s="1"/>
    </row>
    <row r="33" spans="2:12" s="106" customFormat="1" ht="15" customHeight="1">
      <c r="B33" s="166" t="s">
        <v>74</v>
      </c>
      <c r="C33" s="5"/>
      <c r="D33" s="202">
        <v>11912563.658676</v>
      </c>
      <c r="E33" s="203">
        <v>41.192633453987298</v>
      </c>
      <c r="F33" s="204"/>
      <c r="G33" s="202">
        <v>6360619.8684171401</v>
      </c>
      <c r="H33" s="203">
        <v>40.371300689451701</v>
      </c>
      <c r="I33" s="205"/>
      <c r="J33" s="202">
        <v>5306798.6316745002</v>
      </c>
      <c r="K33" s="203">
        <v>40.535497661215103</v>
      </c>
      <c r="L33" s="1"/>
    </row>
    <row r="34" spans="2:12" s="4" customFormat="1" ht="6.95" customHeight="1">
      <c r="B34" s="144"/>
      <c r="C34" s="5"/>
      <c r="D34" s="211"/>
      <c r="E34" s="211"/>
      <c r="F34" s="212"/>
      <c r="G34" s="211"/>
      <c r="H34" s="211"/>
      <c r="I34" s="212"/>
      <c r="J34" s="212"/>
      <c r="K34" s="212"/>
      <c r="L34" s="1"/>
    </row>
    <row r="35" spans="2:12" s="4" customFormat="1" ht="15" customHeight="1">
      <c r="B35" s="169" t="s">
        <v>1</v>
      </c>
      <c r="C35" s="5"/>
      <c r="D35" s="202">
        <v>54724471.783623897</v>
      </c>
      <c r="E35" s="203">
        <v>100</v>
      </c>
      <c r="F35" s="204"/>
      <c r="G35" s="202">
        <v>28733115.775626201</v>
      </c>
      <c r="H35" s="203">
        <v>100</v>
      </c>
      <c r="I35" s="205"/>
      <c r="J35" s="202">
        <v>25428611.494824</v>
      </c>
      <c r="K35" s="203">
        <v>100</v>
      </c>
      <c r="L35" s="1"/>
    </row>
    <row r="36" spans="2:12" s="4" customFormat="1" ht="6.95" customHeight="1">
      <c r="B36" s="143"/>
      <c r="C36" s="5"/>
      <c r="D36" s="206"/>
      <c r="E36" s="206"/>
      <c r="F36" s="207"/>
      <c r="G36" s="206"/>
      <c r="H36" s="206"/>
      <c r="I36" s="206"/>
      <c r="J36" s="206"/>
      <c r="K36" s="206"/>
      <c r="L36" s="1"/>
    </row>
    <row r="37" spans="2:12" s="81" customFormat="1" ht="15" customHeight="1">
      <c r="B37" s="166" t="s">
        <v>68</v>
      </c>
      <c r="C37" s="3"/>
      <c r="D37" s="202">
        <v>38059635.225964703</v>
      </c>
      <c r="E37" s="203">
        <v>68.460013271480904</v>
      </c>
      <c r="F37" s="204"/>
      <c r="G37" s="202">
        <v>20664735.866693601</v>
      </c>
      <c r="H37" s="203">
        <v>70.501981484661698</v>
      </c>
      <c r="I37" s="205"/>
      <c r="J37" s="202">
        <v>16949438.7687991</v>
      </c>
      <c r="K37" s="203">
        <v>65.146799362955306</v>
      </c>
      <c r="L37" s="8"/>
    </row>
    <row r="38" spans="2:12" s="81" customFormat="1" ht="7.15" customHeight="1">
      <c r="B38" s="146"/>
      <c r="C38" s="3"/>
      <c r="D38" s="208"/>
      <c r="E38" s="209"/>
      <c r="F38" s="204"/>
      <c r="G38" s="208"/>
      <c r="H38" s="209"/>
      <c r="I38" s="205"/>
      <c r="J38" s="208"/>
      <c r="K38" s="209"/>
      <c r="L38" s="8"/>
    </row>
    <row r="39" spans="2:12" s="7" customFormat="1" ht="15" customHeight="1">
      <c r="B39" s="167" t="s">
        <v>29</v>
      </c>
      <c r="C39" s="3"/>
      <c r="D39" s="208">
        <v>14829266.563948199</v>
      </c>
      <c r="E39" s="209">
        <v>37.972144003304898</v>
      </c>
      <c r="F39" s="210"/>
      <c r="G39" s="208">
        <v>7629749.3270570096</v>
      </c>
      <c r="H39" s="209">
        <v>35.763955518490903</v>
      </c>
      <c r="I39" s="206"/>
      <c r="J39" s="208">
        <v>6903065.4452021401</v>
      </c>
      <c r="K39" s="209">
        <v>39.341831076936998</v>
      </c>
      <c r="L39" s="8"/>
    </row>
    <row r="40" spans="2:12" s="4" customFormat="1" ht="15" customHeight="1">
      <c r="B40" s="167" t="s">
        <v>3</v>
      </c>
      <c r="C40" s="9"/>
      <c r="D40" s="208">
        <v>15520889.212100999</v>
      </c>
      <c r="E40" s="209">
        <v>39.645997548403102</v>
      </c>
      <c r="F40" s="210"/>
      <c r="G40" s="208">
        <v>8820458.6456907</v>
      </c>
      <c r="H40" s="209">
        <v>41.354765087315499</v>
      </c>
      <c r="I40" s="206"/>
      <c r="J40" s="208">
        <v>6391023.8275981499</v>
      </c>
      <c r="K40" s="209">
        <v>36.275675919100202</v>
      </c>
    </row>
    <row r="41" spans="2:12" s="4" customFormat="1" ht="30" customHeight="1">
      <c r="B41" s="168" t="s">
        <v>78</v>
      </c>
      <c r="C41" s="9"/>
      <c r="D41" s="208">
        <v>30493971.869204801</v>
      </c>
      <c r="E41" s="209">
        <v>79.173195789483501</v>
      </c>
      <c r="F41" s="210"/>
      <c r="G41" s="208">
        <v>16784754.151834801</v>
      </c>
      <c r="H41" s="209">
        <v>79.846037554903504</v>
      </c>
      <c r="I41" s="206"/>
      <c r="J41" s="208">
        <v>13298692.7765496</v>
      </c>
      <c r="K41" s="209">
        <v>77.160889754935198</v>
      </c>
    </row>
    <row r="42" spans="2:12" s="4" customFormat="1" ht="15" customHeight="1">
      <c r="B42" s="167" t="s">
        <v>4</v>
      </c>
      <c r="C42" s="9"/>
      <c r="D42" s="208">
        <v>23729998.379122801</v>
      </c>
      <c r="E42" s="209">
        <v>61.085003438667798</v>
      </c>
      <c r="F42" s="210"/>
      <c r="G42" s="208">
        <v>12869109.8179396</v>
      </c>
      <c r="H42" s="209">
        <v>60.865604668381501</v>
      </c>
      <c r="I42" s="206"/>
      <c r="J42" s="208">
        <v>10471784.983477</v>
      </c>
      <c r="K42" s="209">
        <v>60.024452329013897</v>
      </c>
    </row>
    <row r="43" spans="2:12" s="4" customFormat="1" ht="30" customHeight="1">
      <c r="B43" s="168" t="s">
        <v>79</v>
      </c>
      <c r="C43" s="5"/>
      <c r="D43" s="208">
        <v>13434890.7811663</v>
      </c>
      <c r="E43" s="209">
        <v>34.206443618414802</v>
      </c>
      <c r="F43" s="210"/>
      <c r="G43" s="208">
        <v>6086489.7420927603</v>
      </c>
      <c r="H43" s="209">
        <v>28.3319408461096</v>
      </c>
      <c r="I43" s="206"/>
      <c r="J43" s="208">
        <v>7073360.7144712703</v>
      </c>
      <c r="K43" s="209">
        <v>40.0745430524236</v>
      </c>
      <c r="L43" s="1"/>
    </row>
    <row r="44" spans="2:12" s="4" customFormat="1" ht="7.15" customHeight="1">
      <c r="B44" s="147"/>
      <c r="C44" s="5"/>
      <c r="D44" s="211"/>
      <c r="E44" s="211"/>
      <c r="F44" s="212"/>
      <c r="G44" s="211"/>
      <c r="H44" s="211"/>
      <c r="I44" s="212"/>
      <c r="J44" s="212"/>
      <c r="K44" s="212"/>
      <c r="L44" s="1"/>
    </row>
    <row r="45" spans="2:12" s="106" customFormat="1" ht="15" customHeight="1">
      <c r="B45" s="166" t="s">
        <v>74</v>
      </c>
      <c r="C45" s="5"/>
      <c r="D45" s="202">
        <v>16082214.530282199</v>
      </c>
      <c r="E45" s="203">
        <v>28.7621590985298</v>
      </c>
      <c r="F45" s="204"/>
      <c r="G45" s="202">
        <v>7689029.5161853395</v>
      </c>
      <c r="H45" s="203">
        <v>26.0165759375584</v>
      </c>
      <c r="I45" s="205"/>
      <c r="J45" s="202">
        <v>8058693.8470652997</v>
      </c>
      <c r="K45" s="203">
        <v>30.875632311070301</v>
      </c>
      <c r="L45" s="1"/>
    </row>
    <row r="46" spans="2:12" ht="6.95" customHeight="1">
      <c r="B46" s="10"/>
      <c r="C46" s="10"/>
      <c r="D46" s="153"/>
      <c r="E46" s="63"/>
      <c r="F46" s="42"/>
      <c r="G46" s="153"/>
      <c r="H46" s="63"/>
      <c r="I46" s="63"/>
      <c r="J46" s="165"/>
      <c r="K46" s="63"/>
      <c r="L46" s="1"/>
    </row>
    <row r="47" spans="2:12" ht="6.95" customHeight="1">
      <c r="B47" s="60"/>
      <c r="C47" s="60"/>
      <c r="E47" s="61"/>
      <c r="H47" s="1"/>
      <c r="I47" s="1"/>
      <c r="J47" s="163"/>
      <c r="K47" s="1"/>
      <c r="L47" s="1"/>
    </row>
    <row r="48" spans="2:12" ht="12" customHeight="1">
      <c r="B48" s="142" t="s">
        <v>66</v>
      </c>
      <c r="C48" s="65"/>
      <c r="D48" s="164"/>
      <c r="E48" s="65"/>
      <c r="F48" s="65"/>
      <c r="G48" s="164"/>
      <c r="H48" s="1"/>
      <c r="I48" s="1"/>
      <c r="J48" s="163"/>
      <c r="K48" s="1"/>
      <c r="L48" s="1"/>
    </row>
    <row r="49" spans="2:12" ht="12" customHeight="1">
      <c r="B49" s="139" t="s">
        <v>67</v>
      </c>
      <c r="C49" s="65"/>
      <c r="D49" s="164"/>
      <c r="E49" s="65"/>
      <c r="F49" s="65"/>
      <c r="G49" s="164"/>
      <c r="H49" s="1"/>
      <c r="I49" s="1"/>
      <c r="J49" s="163"/>
      <c r="K49" s="1"/>
      <c r="L49" s="1"/>
    </row>
    <row r="50" spans="2:12" ht="12" customHeight="1">
      <c r="B50" s="139" t="s">
        <v>73</v>
      </c>
      <c r="C50" s="11"/>
      <c r="D50" s="164"/>
      <c r="E50" s="11"/>
      <c r="F50" s="64"/>
      <c r="G50" s="164"/>
    </row>
    <row r="51" spans="2:12" ht="12" customHeight="1">
      <c r="B51" s="247" t="s">
        <v>77</v>
      </c>
      <c r="C51" s="247"/>
      <c r="D51" s="247"/>
      <c r="E51" s="247"/>
      <c r="F51" s="247"/>
      <c r="G51" s="247"/>
    </row>
    <row r="52" spans="2:12" ht="6.95" customHeight="1"/>
  </sheetData>
  <mergeCells count="6">
    <mergeCell ref="B51:G51"/>
    <mergeCell ref="B7:B9"/>
    <mergeCell ref="D7:E8"/>
    <mergeCell ref="G7:K7"/>
    <mergeCell ref="G8:H8"/>
    <mergeCell ref="J8:K8"/>
  </mergeCells>
  <hyperlinks>
    <hyperlink ref="K1" location="ÍNDICE!A1" tooltip="Ir a ÍNDICE" display="ÍNDICE" xr:uid="{7A3975BC-FA83-44AB-99CB-0C303F4B6F2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41F2-F7B4-473F-A7E1-17A558A322C0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3" customWidth="1"/>
    <col min="2" max="2" width="40.7109375" style="43" customWidth="1"/>
    <col min="3" max="3" width="1.7109375" style="43" customWidth="1"/>
    <col min="4" max="4" width="15.7109375" style="158" customWidth="1"/>
    <col min="5" max="5" width="15.7109375" style="43" customWidth="1"/>
    <col min="6" max="6" width="1.7109375" style="43" customWidth="1"/>
    <col min="7" max="7" width="15.7109375" style="158" customWidth="1"/>
    <col min="8" max="8" width="15.7109375" style="43" customWidth="1"/>
    <col min="9" max="9" width="1.7109375" style="43" customWidth="1"/>
    <col min="10" max="10" width="15.7109375" style="158" customWidth="1"/>
    <col min="11" max="11" width="15.7109375" style="43" customWidth="1"/>
    <col min="12" max="16384" width="11.42578125" style="43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112</v>
      </c>
      <c r="C5" s="101"/>
      <c r="D5" s="151"/>
      <c r="E5" s="102"/>
      <c r="F5" s="102"/>
      <c r="G5" s="151"/>
      <c r="H5" s="97"/>
      <c r="J5" s="155"/>
      <c r="K5" s="99" t="s">
        <v>20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customFormat="1" ht="15" customHeight="1">
      <c r="B7" s="248" t="s">
        <v>82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13" t="s">
        <v>6</v>
      </c>
      <c r="C11" s="44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</row>
    <row r="12" spans="2:17" ht="6.95" customHeight="1">
      <c r="B12" s="113"/>
      <c r="C12" s="44"/>
      <c r="D12" s="206"/>
      <c r="E12" s="206"/>
      <c r="F12" s="207"/>
      <c r="G12" s="206"/>
      <c r="H12" s="206"/>
      <c r="I12" s="206"/>
      <c r="J12" s="206"/>
      <c r="K12" s="206"/>
    </row>
    <row r="13" spans="2:17" ht="30" customHeight="1">
      <c r="B13" s="171" t="s">
        <v>81</v>
      </c>
      <c r="C13" s="109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109"/>
      <c r="D14" s="208"/>
      <c r="E14" s="209"/>
      <c r="F14" s="204"/>
      <c r="G14" s="208"/>
      <c r="H14" s="209"/>
      <c r="I14" s="205"/>
      <c r="J14" s="208"/>
      <c r="K14" s="209"/>
    </row>
    <row r="15" spans="2:17" ht="15" customHeight="1">
      <c r="B15" s="115" t="s">
        <v>39</v>
      </c>
      <c r="C15" s="44"/>
      <c r="D15" s="208">
        <v>61717908.230871402</v>
      </c>
      <c r="E15" s="209">
        <v>71.950312647771597</v>
      </c>
      <c r="F15" s="210"/>
      <c r="G15" s="208">
        <v>33215244.056030098</v>
      </c>
      <c r="H15" s="209">
        <v>72.648914504858197</v>
      </c>
      <c r="I15" s="206"/>
      <c r="J15" s="208">
        <v>27772655.362662401</v>
      </c>
      <c r="K15" s="209">
        <v>70.303189124123605</v>
      </c>
    </row>
    <row r="16" spans="2:17" ht="15" customHeight="1">
      <c r="B16" s="115" t="s">
        <v>40</v>
      </c>
      <c r="C16" s="117"/>
      <c r="D16" s="208">
        <v>17803754.078512199</v>
      </c>
      <c r="E16" s="209">
        <v>20.594878712099501</v>
      </c>
      <c r="F16" s="210"/>
      <c r="G16" s="208">
        <v>9139077.1740018707</v>
      </c>
      <c r="H16" s="209">
        <v>19.772277021528499</v>
      </c>
      <c r="I16" s="206"/>
      <c r="J16" s="208">
        <v>8278681.9735917896</v>
      </c>
      <c r="K16" s="209">
        <v>20.725477720340301</v>
      </c>
    </row>
    <row r="17" spans="2:11" ht="15" customHeight="1">
      <c r="B17" s="115" t="s">
        <v>41</v>
      </c>
      <c r="C17" s="117"/>
      <c r="D17" s="208">
        <v>4031325.4559647399</v>
      </c>
      <c r="E17" s="209">
        <v>4.6626236326742596</v>
      </c>
      <c r="F17" s="210"/>
      <c r="G17" s="208">
        <v>1892445.76412505</v>
      </c>
      <c r="H17" s="209">
        <v>4.0778472626201703</v>
      </c>
      <c r="I17" s="206"/>
      <c r="J17" s="208">
        <v>1988531.3336166099</v>
      </c>
      <c r="K17" s="209">
        <v>4.9933699536032004</v>
      </c>
    </row>
    <row r="18" spans="2:11" ht="15" customHeight="1">
      <c r="B18" s="115" t="s">
        <v>65</v>
      </c>
      <c r="C18" s="117"/>
      <c r="D18" s="208">
        <v>209019.989591889</v>
      </c>
      <c r="E18" s="209">
        <v>0.241331730246409</v>
      </c>
      <c r="F18" s="210"/>
      <c r="G18" s="208">
        <v>86642.129186386199</v>
      </c>
      <c r="H18" s="209">
        <v>0.18604198981096901</v>
      </c>
      <c r="I18" s="206"/>
      <c r="J18" s="208">
        <v>83322.011739736598</v>
      </c>
      <c r="K18" s="209">
        <v>0.20832856804664801</v>
      </c>
    </row>
    <row r="19" spans="2:11" ht="6.95" customHeight="1">
      <c r="B19" s="118"/>
      <c r="C19" s="117"/>
      <c r="D19" s="213"/>
      <c r="E19" s="213"/>
      <c r="F19" s="214"/>
      <c r="G19" s="213"/>
      <c r="H19" s="213"/>
      <c r="I19" s="213"/>
      <c r="J19" s="213"/>
      <c r="K19" s="213"/>
    </row>
    <row r="20" spans="2:11" ht="15" customHeight="1">
      <c r="B20" s="170" t="s">
        <v>7</v>
      </c>
      <c r="C20" s="109"/>
      <c r="D20" s="202"/>
      <c r="E20" s="203"/>
      <c r="F20" s="204"/>
      <c r="G20" s="202"/>
      <c r="H20" s="203"/>
      <c r="I20" s="205"/>
      <c r="J20" s="202"/>
      <c r="K20" s="203"/>
    </row>
    <row r="21" spans="2:11" ht="6.95" customHeight="1">
      <c r="B21" s="114"/>
      <c r="C21" s="109"/>
      <c r="D21" s="208"/>
      <c r="E21" s="209"/>
      <c r="F21" s="204"/>
      <c r="G21" s="208"/>
      <c r="H21" s="209"/>
      <c r="I21" s="205"/>
      <c r="J21" s="208"/>
      <c r="K21" s="209"/>
    </row>
    <row r="22" spans="2:11" ht="15" customHeight="1">
      <c r="B22" s="115" t="s">
        <v>39</v>
      </c>
      <c r="C22" s="117"/>
      <c r="D22" s="208">
        <v>66486404.966478497</v>
      </c>
      <c r="E22" s="209">
        <v>77.551232551814905</v>
      </c>
      <c r="F22" s="210"/>
      <c r="G22" s="208">
        <v>35932569.410462499</v>
      </c>
      <c r="H22" s="209">
        <v>78.662292839998202</v>
      </c>
      <c r="I22" s="206"/>
      <c r="J22" s="208">
        <v>29781739.523443401</v>
      </c>
      <c r="K22" s="209">
        <v>75.580070702029403</v>
      </c>
    </row>
    <row r="23" spans="2:11" ht="15" customHeight="1">
      <c r="B23" s="115" t="s">
        <v>40</v>
      </c>
      <c r="C23" s="117"/>
      <c r="D23" s="208">
        <v>16184998.4588187</v>
      </c>
      <c r="E23" s="209">
        <v>18.731311908715501</v>
      </c>
      <c r="F23" s="210"/>
      <c r="G23" s="208">
        <v>8017061.3814229798</v>
      </c>
      <c r="H23" s="209">
        <v>17.351969911305599</v>
      </c>
      <c r="I23" s="206"/>
      <c r="J23" s="208">
        <v>7843239.9940382903</v>
      </c>
      <c r="K23" s="209">
        <v>19.649155569808201</v>
      </c>
    </row>
    <row r="24" spans="2:11" ht="15" customHeight="1">
      <c r="B24" s="115" t="s">
        <v>41</v>
      </c>
      <c r="C24" s="117"/>
      <c r="D24" s="208">
        <v>848137.01676345197</v>
      </c>
      <c r="E24" s="209">
        <v>0.97924463735232203</v>
      </c>
      <c r="F24" s="210"/>
      <c r="G24" s="208">
        <v>385630.16942157299</v>
      </c>
      <c r="H24" s="209">
        <v>0.82920493215063795</v>
      </c>
      <c r="I24" s="206"/>
      <c r="J24" s="208">
        <v>398675.83923911903</v>
      </c>
      <c r="K24" s="209">
        <v>0.99204130025035797</v>
      </c>
    </row>
    <row r="25" spans="2:11" ht="15" customHeight="1">
      <c r="B25" s="115" t="s">
        <v>65</v>
      </c>
      <c r="C25" s="117"/>
      <c r="D25" s="208">
        <v>464103.09196387802</v>
      </c>
      <c r="E25" s="209">
        <v>0.53669587022631504</v>
      </c>
      <c r="F25" s="210"/>
      <c r="G25" s="208">
        <v>174895.286790718</v>
      </c>
      <c r="H25" s="209">
        <v>0.37603561683710901</v>
      </c>
      <c r="I25" s="206"/>
      <c r="J25" s="208">
        <v>232214.85711878701</v>
      </c>
      <c r="K25" s="209">
        <v>0.58227368602893703</v>
      </c>
    </row>
    <row r="26" spans="2:11" ht="6.95" customHeight="1">
      <c r="B26" s="118"/>
      <c r="C26" s="117"/>
      <c r="D26" s="213"/>
      <c r="E26" s="213"/>
      <c r="F26" s="214"/>
      <c r="G26" s="213"/>
      <c r="H26" s="213"/>
      <c r="I26" s="213"/>
      <c r="J26" s="213"/>
      <c r="K26" s="213"/>
    </row>
    <row r="27" spans="2:11" ht="30" customHeight="1">
      <c r="B27" s="171" t="s">
        <v>83</v>
      </c>
      <c r="C27" s="119"/>
      <c r="D27" s="202"/>
      <c r="E27" s="203"/>
      <c r="F27" s="204"/>
      <c r="G27" s="202"/>
      <c r="H27" s="203"/>
      <c r="I27" s="205"/>
      <c r="J27" s="202"/>
      <c r="K27" s="203"/>
    </row>
    <row r="28" spans="2:11" ht="6.95" customHeight="1">
      <c r="B28" s="114"/>
      <c r="C28" s="119"/>
      <c r="D28" s="208"/>
      <c r="E28" s="209"/>
      <c r="F28" s="204"/>
      <c r="G28" s="208"/>
      <c r="H28" s="209"/>
      <c r="I28" s="205"/>
      <c r="J28" s="208"/>
      <c r="K28" s="209"/>
    </row>
    <row r="29" spans="2:11" ht="15" customHeight="1">
      <c r="B29" s="115" t="s">
        <v>39</v>
      </c>
      <c r="C29" s="117"/>
      <c r="D29" s="208">
        <v>15729445.2883338</v>
      </c>
      <c r="E29" s="209">
        <v>18.243350511998699</v>
      </c>
      <c r="F29" s="210"/>
      <c r="G29" s="208">
        <v>7881379.2989750803</v>
      </c>
      <c r="H29" s="209">
        <v>17.085960698259701</v>
      </c>
      <c r="I29" s="206"/>
      <c r="J29" s="208">
        <v>7464113.9465821004</v>
      </c>
      <c r="K29" s="209">
        <v>18.741551088434001</v>
      </c>
    </row>
    <row r="30" spans="2:11" ht="15" customHeight="1">
      <c r="B30" s="115" t="s">
        <v>40</v>
      </c>
      <c r="C30" s="117"/>
      <c r="D30" s="208">
        <v>41514810.039143898</v>
      </c>
      <c r="E30" s="209">
        <v>48.2245237775196</v>
      </c>
      <c r="F30" s="210"/>
      <c r="G30" s="208">
        <v>21566619.1238035</v>
      </c>
      <c r="H30" s="209">
        <v>46.918652102049997</v>
      </c>
      <c r="I30" s="206"/>
      <c r="J30" s="208">
        <v>19386741.634278499</v>
      </c>
      <c r="K30" s="209">
        <v>48.848917588659802</v>
      </c>
    </row>
    <row r="31" spans="2:11" ht="15" customHeight="1">
      <c r="B31" s="115" t="s">
        <v>41</v>
      </c>
      <c r="C31" s="117"/>
      <c r="D31" s="208">
        <v>25756989.0400526</v>
      </c>
      <c r="E31" s="209">
        <v>29.85753058888</v>
      </c>
      <c r="F31" s="210"/>
      <c r="G31" s="208">
        <v>14419343.3739517</v>
      </c>
      <c r="H31" s="209">
        <v>31.249550067148501</v>
      </c>
      <c r="I31" s="206"/>
      <c r="J31" s="208">
        <v>10912916.2521453</v>
      </c>
      <c r="K31" s="209">
        <v>27.4392333085848</v>
      </c>
    </row>
    <row r="32" spans="2:11" ht="15" customHeight="1">
      <c r="B32" s="115" t="s">
        <v>65</v>
      </c>
      <c r="C32" s="117"/>
      <c r="D32" s="208">
        <v>362135.613760343</v>
      </c>
      <c r="E32" s="209">
        <v>0.41759999631262601</v>
      </c>
      <c r="F32" s="210"/>
      <c r="G32" s="208">
        <v>158242.346531861</v>
      </c>
      <c r="H32" s="209">
        <v>0.340122526924027</v>
      </c>
      <c r="I32" s="206"/>
      <c r="J32" s="208">
        <v>136450.463959535</v>
      </c>
      <c r="K32" s="209">
        <v>0.34044734826782302</v>
      </c>
    </row>
    <row r="33" spans="2:11" ht="6.95" customHeight="1">
      <c r="B33" s="118"/>
      <c r="C33" s="117"/>
      <c r="D33" s="213"/>
      <c r="E33" s="213"/>
      <c r="F33" s="214"/>
      <c r="G33" s="213"/>
      <c r="H33" s="213"/>
      <c r="I33" s="213"/>
      <c r="J33" s="213"/>
      <c r="K33" s="213"/>
    </row>
    <row r="34" spans="2:11" ht="30" customHeight="1">
      <c r="B34" s="171" t="s">
        <v>84</v>
      </c>
      <c r="C34" s="119"/>
      <c r="D34" s="202"/>
      <c r="E34" s="203"/>
      <c r="F34" s="204"/>
      <c r="G34" s="202"/>
      <c r="H34" s="203"/>
      <c r="I34" s="205"/>
      <c r="J34" s="202"/>
      <c r="K34" s="203"/>
    </row>
    <row r="35" spans="2:11" ht="6.95" customHeight="1">
      <c r="B35" s="114"/>
      <c r="C35" s="119"/>
      <c r="D35" s="208"/>
      <c r="E35" s="209"/>
      <c r="F35" s="204"/>
      <c r="G35" s="208"/>
      <c r="H35" s="209"/>
      <c r="I35" s="205"/>
      <c r="J35" s="208"/>
      <c r="K35" s="209"/>
    </row>
    <row r="36" spans="2:11" ht="15" customHeight="1">
      <c r="B36" s="115" t="s">
        <v>39</v>
      </c>
      <c r="C36" s="117"/>
      <c r="D36" s="208">
        <v>37428996.541427903</v>
      </c>
      <c r="E36" s="209">
        <v>43.491840206033501</v>
      </c>
      <c r="F36" s="210"/>
      <c r="G36" s="208">
        <v>18833489.160798501</v>
      </c>
      <c r="H36" s="209">
        <v>40.9862983614371</v>
      </c>
      <c r="I36" s="206"/>
      <c r="J36" s="208">
        <v>18068167.805319201</v>
      </c>
      <c r="K36" s="209">
        <v>45.557844623180699</v>
      </c>
    </row>
    <row r="37" spans="2:11" ht="15" customHeight="1">
      <c r="B37" s="115" t="s">
        <v>40</v>
      </c>
      <c r="C37" s="117"/>
      <c r="D37" s="208">
        <v>31679627.978775699</v>
      </c>
      <c r="E37" s="209">
        <v>36.725441162992098</v>
      </c>
      <c r="F37" s="210"/>
      <c r="G37" s="208">
        <v>17660988.5711721</v>
      </c>
      <c r="H37" s="209">
        <v>38.268968307778998</v>
      </c>
      <c r="I37" s="206"/>
      <c r="J37" s="208">
        <v>13559196.606780101</v>
      </c>
      <c r="K37" s="209">
        <v>34.112020583928697</v>
      </c>
    </row>
    <row r="38" spans="2:11" ht="15" customHeight="1">
      <c r="B38" s="115" t="s">
        <v>41</v>
      </c>
      <c r="C38" s="117"/>
      <c r="D38" s="208">
        <v>13817652.693944201</v>
      </c>
      <c r="E38" s="209">
        <v>16.002789516266098</v>
      </c>
      <c r="F38" s="210"/>
      <c r="G38" s="208">
        <v>7388551.6782847196</v>
      </c>
      <c r="H38" s="209">
        <v>15.998018996959299</v>
      </c>
      <c r="I38" s="206"/>
      <c r="J38" s="208">
        <v>6080791.0130421799</v>
      </c>
      <c r="K38" s="209">
        <v>15.235805768694</v>
      </c>
    </row>
    <row r="39" spans="2:11" ht="15" customHeight="1">
      <c r="B39" s="115" t="s">
        <v>65</v>
      </c>
      <c r="C39" s="117"/>
      <c r="D39" s="208">
        <v>379427.73117930198</v>
      </c>
      <c r="E39" s="209">
        <v>0.43812193680987299</v>
      </c>
      <c r="F39" s="210"/>
      <c r="G39" s="208">
        <v>139328.24829695301</v>
      </c>
      <c r="H39" s="209">
        <v>0.29935462069542401</v>
      </c>
      <c r="I39" s="206"/>
      <c r="J39" s="208">
        <v>175973.33205251099</v>
      </c>
      <c r="K39" s="209">
        <v>0.43924570467822999</v>
      </c>
    </row>
    <row r="40" spans="2:11" ht="6.95" customHeight="1">
      <c r="B40" s="118"/>
      <c r="C40" s="117"/>
      <c r="D40" s="213"/>
      <c r="E40" s="213"/>
      <c r="F40" s="214"/>
      <c r="G40" s="213"/>
      <c r="H40" s="213"/>
      <c r="I40" s="213"/>
      <c r="J40" s="213"/>
      <c r="K40" s="213"/>
    </row>
    <row r="41" spans="2:11" ht="30" customHeight="1">
      <c r="B41" s="171" t="s">
        <v>85</v>
      </c>
      <c r="C41" s="119"/>
      <c r="D41" s="202"/>
      <c r="E41" s="203"/>
      <c r="F41" s="204"/>
      <c r="G41" s="202"/>
      <c r="H41" s="203"/>
      <c r="I41" s="205"/>
      <c r="J41" s="202"/>
      <c r="K41" s="203"/>
    </row>
    <row r="42" spans="2:11" ht="6.95" customHeight="1">
      <c r="B42" s="114"/>
      <c r="C42" s="119"/>
      <c r="D42" s="208"/>
      <c r="E42" s="209"/>
      <c r="F42" s="204"/>
      <c r="G42" s="208"/>
      <c r="H42" s="209"/>
      <c r="I42" s="205"/>
      <c r="J42" s="208"/>
      <c r="K42" s="209"/>
    </row>
    <row r="43" spans="2:11" ht="15" customHeight="1">
      <c r="B43" s="115" t="s">
        <v>39</v>
      </c>
      <c r="C43" s="119"/>
      <c r="D43" s="208">
        <v>18856391.2190466</v>
      </c>
      <c r="E43" s="209">
        <v>21.846151102851799</v>
      </c>
      <c r="F43" s="210"/>
      <c r="G43" s="208">
        <v>9705707.3571838792</v>
      </c>
      <c r="H43" s="209">
        <v>21.0184263853982</v>
      </c>
      <c r="I43" s="206"/>
      <c r="J43" s="208">
        <v>8826322.9239141196</v>
      </c>
      <c r="K43" s="209">
        <v>22.149743341409899</v>
      </c>
    </row>
    <row r="44" spans="2:11" ht="15" customHeight="1">
      <c r="B44" s="115" t="s">
        <v>40</v>
      </c>
      <c r="C44" s="117"/>
      <c r="D44" s="208">
        <v>34288221.047195502</v>
      </c>
      <c r="E44" s="209">
        <v>39.803896187192798</v>
      </c>
      <c r="F44" s="210"/>
      <c r="G44" s="208">
        <v>18786709.556287602</v>
      </c>
      <c r="H44" s="209">
        <v>40.90032479784</v>
      </c>
      <c r="I44" s="206"/>
      <c r="J44" s="208">
        <v>14943764.183094701</v>
      </c>
      <c r="K44" s="209">
        <v>37.6230311172123</v>
      </c>
    </row>
    <row r="45" spans="2:11" ht="15" customHeight="1">
      <c r="B45" s="115" t="s">
        <v>41</v>
      </c>
      <c r="C45" s="117"/>
      <c r="D45" s="208">
        <v>29522946.933366399</v>
      </c>
      <c r="E45" s="209">
        <v>34.228459288938403</v>
      </c>
      <c r="F45" s="210"/>
      <c r="G45" s="208">
        <v>15306883.1874639</v>
      </c>
      <c r="H45" s="209">
        <v>33.136415287160702</v>
      </c>
      <c r="I45" s="206"/>
      <c r="J45" s="208">
        <v>13802257.460346</v>
      </c>
      <c r="K45" s="209">
        <v>34.678341787078097</v>
      </c>
    </row>
    <row r="46" spans="2:11" ht="15" customHeight="1">
      <c r="B46" s="115" t="s">
        <v>65</v>
      </c>
      <c r="C46" s="117"/>
      <c r="D46" s="208">
        <v>398177.008889032</v>
      </c>
      <c r="E46" s="209">
        <v>0.45916116770240301</v>
      </c>
      <c r="F46" s="210"/>
      <c r="G46" s="208">
        <v>176825.43404032601</v>
      </c>
      <c r="H46" s="209">
        <v>0.38074593059276501</v>
      </c>
      <c r="I46" s="206"/>
      <c r="J46" s="208">
        <v>175110.267538688</v>
      </c>
      <c r="K46" s="209">
        <v>0.43612869954043698</v>
      </c>
    </row>
    <row r="47" spans="2:11" ht="6.95" customHeight="1">
      <c r="B47" s="118"/>
      <c r="C47" s="117"/>
      <c r="D47" s="213"/>
      <c r="E47" s="213"/>
      <c r="F47" s="214"/>
      <c r="G47" s="213"/>
      <c r="H47" s="213"/>
      <c r="I47" s="213"/>
      <c r="J47" s="213"/>
      <c r="K47" s="213"/>
    </row>
    <row r="48" spans="2:11" ht="15" customHeight="1">
      <c r="B48" s="170" t="s">
        <v>8</v>
      </c>
      <c r="C48" s="119"/>
      <c r="D48" s="202"/>
      <c r="E48" s="203"/>
      <c r="F48" s="204"/>
      <c r="G48" s="202"/>
      <c r="H48" s="203"/>
      <c r="I48" s="205"/>
      <c r="J48" s="202"/>
      <c r="K48" s="203"/>
    </row>
    <row r="49" spans="2:11" ht="6.95" customHeight="1">
      <c r="B49" s="114"/>
      <c r="C49" s="119"/>
      <c r="D49" s="208"/>
      <c r="E49" s="209"/>
      <c r="F49" s="204"/>
      <c r="G49" s="208"/>
      <c r="H49" s="209"/>
      <c r="I49" s="205"/>
      <c r="J49" s="208"/>
      <c r="K49" s="209"/>
    </row>
    <row r="50" spans="2:11" ht="15" customHeight="1">
      <c r="B50" s="115" t="s">
        <v>39</v>
      </c>
      <c r="C50" s="117"/>
      <c r="D50" s="208">
        <v>12251981.1136097</v>
      </c>
      <c r="E50" s="209">
        <v>14.1834430947663</v>
      </c>
      <c r="F50" s="210"/>
      <c r="G50" s="208">
        <v>5436422.8862739401</v>
      </c>
      <c r="H50" s="209">
        <v>11.7675656961058</v>
      </c>
      <c r="I50" s="206"/>
      <c r="J50" s="208">
        <v>6548247.9367675297</v>
      </c>
      <c r="K50" s="209">
        <v>16.399827264426001</v>
      </c>
    </row>
    <row r="51" spans="2:11" ht="15" customHeight="1">
      <c r="B51" s="115" t="s">
        <v>40</v>
      </c>
      <c r="C51" s="117"/>
      <c r="D51" s="208">
        <v>41644973.962915301</v>
      </c>
      <c r="E51" s="209">
        <v>48.4029430213034</v>
      </c>
      <c r="F51" s="210"/>
      <c r="G51" s="208">
        <v>21575782.683449499</v>
      </c>
      <c r="H51" s="209">
        <v>46.936032223201401</v>
      </c>
      <c r="I51" s="206"/>
      <c r="J51" s="208">
        <v>19502677.106538899</v>
      </c>
      <c r="K51" s="209">
        <v>49.122743366419797</v>
      </c>
    </row>
    <row r="52" spans="2:11" ht="15" customHeight="1">
      <c r="B52" s="115" t="s">
        <v>41</v>
      </c>
      <c r="C52" s="117"/>
      <c r="D52" s="208">
        <v>29326003.746808499</v>
      </c>
      <c r="E52" s="209">
        <v>34.0017377700525</v>
      </c>
      <c r="F52" s="210"/>
      <c r="G52" s="208">
        <v>17000428.506153598</v>
      </c>
      <c r="H52" s="209">
        <v>36.878453704980302</v>
      </c>
      <c r="I52" s="206"/>
      <c r="J52" s="208">
        <v>11805049.2116026</v>
      </c>
      <c r="K52" s="209">
        <v>29.715656288994499</v>
      </c>
    </row>
    <row r="53" spans="2:11" ht="15" customHeight="1">
      <c r="B53" s="115" t="s">
        <v>65</v>
      </c>
      <c r="C53" s="117"/>
      <c r="D53" s="208">
        <v>164543.89694406901</v>
      </c>
      <c r="E53" s="209">
        <v>0.19027715776453</v>
      </c>
      <c r="F53" s="210"/>
      <c r="G53" s="208">
        <v>97635.381270744896</v>
      </c>
      <c r="H53" s="209">
        <v>0.21008810726820301</v>
      </c>
      <c r="I53" s="206"/>
      <c r="J53" s="208">
        <v>31049.917550259899</v>
      </c>
      <c r="K53" s="209">
        <v>7.8081475598763897E-2</v>
      </c>
    </row>
    <row r="54" spans="2:11" ht="6.95" customHeight="1">
      <c r="B54" s="120"/>
      <c r="C54" s="121"/>
      <c r="D54" s="213"/>
      <c r="E54" s="213"/>
      <c r="F54" s="215"/>
      <c r="G54" s="213"/>
      <c r="H54" s="213"/>
      <c r="I54" s="213"/>
      <c r="J54" s="213"/>
      <c r="K54" s="213"/>
    </row>
    <row r="55" spans="2:11" ht="15" customHeight="1">
      <c r="B55" s="172" t="s">
        <v>0</v>
      </c>
      <c r="C55" s="44"/>
      <c r="D55" s="202">
        <v>27919808.370060898</v>
      </c>
      <c r="E55" s="203">
        <v>100</v>
      </c>
      <c r="F55" s="204"/>
      <c r="G55" s="202">
        <v>15147712.0036007</v>
      </c>
      <c r="H55" s="203">
        <v>100</v>
      </c>
      <c r="I55" s="205"/>
      <c r="J55" s="202">
        <v>12466861.324348001</v>
      </c>
      <c r="K55" s="203">
        <v>100</v>
      </c>
    </row>
    <row r="56" spans="2:11" ht="6.95" customHeight="1">
      <c r="B56" s="113"/>
      <c r="C56" s="44"/>
      <c r="D56" s="208"/>
      <c r="E56" s="209"/>
      <c r="F56" s="204"/>
      <c r="G56" s="208"/>
      <c r="H56" s="209"/>
      <c r="I56" s="205"/>
      <c r="J56" s="208"/>
      <c r="K56" s="209"/>
    </row>
    <row r="57" spans="2:11" ht="30" customHeight="1">
      <c r="B57" s="171" t="s">
        <v>81</v>
      </c>
      <c r="C57" s="109"/>
      <c r="D57" s="202"/>
      <c r="E57" s="203"/>
      <c r="F57" s="204"/>
      <c r="G57" s="202"/>
      <c r="H57" s="203"/>
      <c r="I57" s="205"/>
      <c r="J57" s="202"/>
      <c r="K57" s="203"/>
    </row>
    <row r="58" spans="2:11" ht="6.95" customHeight="1">
      <c r="B58" s="171"/>
      <c r="C58" s="109"/>
      <c r="D58" s="208"/>
      <c r="E58" s="209"/>
      <c r="F58" s="210"/>
      <c r="G58" s="208"/>
      <c r="H58" s="209"/>
      <c r="I58" s="206"/>
      <c r="J58" s="208"/>
      <c r="K58" s="209"/>
    </row>
    <row r="59" spans="2:11" ht="15" customHeight="1">
      <c r="B59" s="115" t="s">
        <v>39</v>
      </c>
      <c r="C59" s="44"/>
      <c r="D59" s="208">
        <v>19479733.326974999</v>
      </c>
      <c r="E59" s="209">
        <v>68.322090306126896</v>
      </c>
      <c r="F59" s="210"/>
      <c r="G59" s="208">
        <v>10784486.9519454</v>
      </c>
      <c r="H59" s="209">
        <v>69.357882251175695</v>
      </c>
      <c r="I59" s="206"/>
      <c r="J59" s="208">
        <v>8430584.4357380308</v>
      </c>
      <c r="K59" s="209">
        <v>65.738173554948503</v>
      </c>
    </row>
    <row r="60" spans="2:11" ht="15" customHeight="1">
      <c r="B60" s="115" t="s">
        <v>40</v>
      </c>
      <c r="C60" s="117"/>
      <c r="D60" s="208">
        <v>5787220.71532063</v>
      </c>
      <c r="E60" s="209">
        <v>19.814847610376201</v>
      </c>
      <c r="F60" s="210"/>
      <c r="G60" s="208">
        <v>2952285.18476011</v>
      </c>
      <c r="H60" s="209">
        <v>18.587196072308998</v>
      </c>
      <c r="I60" s="206"/>
      <c r="J60" s="208">
        <v>2644147.6726720799</v>
      </c>
      <c r="K60" s="209">
        <v>19.970031637958201</v>
      </c>
    </row>
    <row r="61" spans="2:11" ht="15" customHeight="1">
      <c r="B61" s="115" t="s">
        <v>41</v>
      </c>
      <c r="C61" s="117"/>
      <c r="D61" s="208">
        <v>1880717.9218297501</v>
      </c>
      <c r="E61" s="209">
        <v>6.3685172707286304</v>
      </c>
      <c r="F61" s="210"/>
      <c r="G61" s="208">
        <v>887309.79740478098</v>
      </c>
      <c r="H61" s="209">
        <v>5.4454791619822798</v>
      </c>
      <c r="I61" s="206"/>
      <c r="J61" s="208">
        <v>914312.72117240995</v>
      </c>
      <c r="K61" s="209">
        <v>6.9018972326246004</v>
      </c>
    </row>
    <row r="62" spans="2:11" ht="15" customHeight="1">
      <c r="B62" s="115" t="s">
        <v>65</v>
      </c>
      <c r="C62" s="117"/>
      <c r="D62" s="208">
        <v>116365.33964281699</v>
      </c>
      <c r="E62" s="209">
        <v>0.38818267615239799</v>
      </c>
      <c r="F62" s="210"/>
      <c r="G62" s="208">
        <v>35957.213493732801</v>
      </c>
      <c r="H62" s="209">
        <v>0.216995568338331</v>
      </c>
      <c r="I62" s="206"/>
      <c r="J62" s="208">
        <v>46669.9222780985</v>
      </c>
      <c r="K62" s="209">
        <v>0.34838335045892999</v>
      </c>
    </row>
    <row r="63" spans="2:11" ht="6.95" customHeight="1">
      <c r="B63" s="118"/>
      <c r="C63" s="117"/>
      <c r="D63" s="213"/>
      <c r="E63" s="213"/>
      <c r="F63" s="214"/>
      <c r="G63" s="213"/>
      <c r="H63" s="213"/>
      <c r="I63" s="213"/>
      <c r="J63" s="213"/>
      <c r="K63" s="213"/>
    </row>
    <row r="64" spans="2:11" ht="15" customHeight="1">
      <c r="B64" s="170" t="s">
        <v>7</v>
      </c>
      <c r="C64" s="109"/>
      <c r="D64" s="202"/>
      <c r="E64" s="203"/>
      <c r="F64" s="204"/>
      <c r="G64" s="202"/>
      <c r="H64" s="203"/>
      <c r="I64" s="205"/>
      <c r="J64" s="202"/>
      <c r="K64" s="203"/>
    </row>
    <row r="65" spans="2:11" ht="6.95" customHeight="1">
      <c r="B65" s="114"/>
      <c r="C65" s="109"/>
      <c r="D65" s="208"/>
      <c r="E65" s="209"/>
      <c r="F65" s="210"/>
      <c r="G65" s="208"/>
      <c r="H65" s="209"/>
      <c r="I65" s="206"/>
      <c r="J65" s="208"/>
      <c r="K65" s="209"/>
    </row>
    <row r="66" spans="2:11" ht="15" customHeight="1">
      <c r="B66" s="115" t="s">
        <v>39</v>
      </c>
      <c r="C66" s="117"/>
      <c r="D66" s="208">
        <v>21152126.7081923</v>
      </c>
      <c r="E66" s="209">
        <v>74.608892815182003</v>
      </c>
      <c r="F66" s="210"/>
      <c r="G66" s="208">
        <v>11592605.0315233</v>
      </c>
      <c r="H66" s="209">
        <v>74.975843288345104</v>
      </c>
      <c r="I66" s="206"/>
      <c r="J66" s="208">
        <v>9306528.2136345394</v>
      </c>
      <c r="K66" s="209">
        <v>73.121603200747501</v>
      </c>
    </row>
    <row r="67" spans="2:11" ht="15" customHeight="1">
      <c r="B67" s="115" t="s">
        <v>40</v>
      </c>
      <c r="C67" s="117"/>
      <c r="D67" s="208">
        <v>5483730.8725511804</v>
      </c>
      <c r="E67" s="209">
        <v>18.5927750269108</v>
      </c>
      <c r="F67" s="210"/>
      <c r="G67" s="208">
        <v>2854120.3501778999</v>
      </c>
      <c r="H67" s="209">
        <v>17.786532288484601</v>
      </c>
      <c r="I67" s="206"/>
      <c r="J67" s="208">
        <v>2468972.6649426199</v>
      </c>
      <c r="K67" s="209">
        <v>18.5573173291953</v>
      </c>
    </row>
    <row r="68" spans="2:11" ht="15" customHeight="1">
      <c r="B68" s="115" t="s">
        <v>41</v>
      </c>
      <c r="C68" s="117"/>
      <c r="D68" s="208">
        <v>408800.44822601503</v>
      </c>
      <c r="E68" s="209">
        <v>1.36655117647525</v>
      </c>
      <c r="F68" s="210"/>
      <c r="G68" s="208">
        <v>197278.92892645701</v>
      </c>
      <c r="H68" s="209">
        <v>1.2044361348925099</v>
      </c>
      <c r="I68" s="206"/>
      <c r="J68" s="208">
        <v>164845.903454596</v>
      </c>
      <c r="K68" s="209">
        <v>1.2082887811851</v>
      </c>
    </row>
    <row r="69" spans="2:11" ht="15" customHeight="1">
      <c r="B69" s="115" t="s">
        <v>65</v>
      </c>
      <c r="C69" s="117"/>
      <c r="D69" s="208">
        <v>257755.814679428</v>
      </c>
      <c r="E69" s="209">
        <v>0.86616172874489705</v>
      </c>
      <c r="F69" s="210"/>
      <c r="G69" s="208">
        <v>78800.866661062901</v>
      </c>
      <c r="H69" s="209">
        <v>0.48158526585150502</v>
      </c>
      <c r="I69" s="206"/>
      <c r="J69" s="208">
        <v>129560.53223760299</v>
      </c>
      <c r="K69" s="209">
        <v>0.97849796208887196</v>
      </c>
    </row>
    <row r="70" spans="2:11" ht="6.95" customHeight="1">
      <c r="B70" s="118"/>
      <c r="C70" s="117"/>
      <c r="D70" s="213"/>
      <c r="E70" s="213"/>
      <c r="F70" s="214"/>
      <c r="G70" s="213"/>
      <c r="H70" s="213"/>
      <c r="I70" s="213"/>
      <c r="J70" s="213"/>
      <c r="K70" s="213"/>
    </row>
    <row r="71" spans="2:11" ht="30" customHeight="1">
      <c r="B71" s="171" t="s">
        <v>83</v>
      </c>
      <c r="C71" s="119"/>
      <c r="D71" s="202"/>
      <c r="E71" s="203"/>
      <c r="F71" s="204"/>
      <c r="G71" s="202"/>
      <c r="H71" s="203"/>
      <c r="I71" s="205"/>
      <c r="J71" s="202"/>
      <c r="K71" s="203"/>
    </row>
    <row r="72" spans="2:11" ht="6.95" customHeight="1">
      <c r="B72" s="114"/>
      <c r="C72" s="119"/>
      <c r="D72" s="208"/>
      <c r="E72" s="209"/>
      <c r="F72" s="210"/>
      <c r="G72" s="208"/>
      <c r="H72" s="209"/>
      <c r="I72" s="206"/>
      <c r="J72" s="208"/>
      <c r="K72" s="209"/>
    </row>
    <row r="73" spans="2:11" ht="15" customHeight="1">
      <c r="B73" s="115" t="s">
        <v>39</v>
      </c>
      <c r="C73" s="117"/>
      <c r="D73" s="208">
        <v>5311377.4338004803</v>
      </c>
      <c r="E73" s="209">
        <v>18.2764682038258</v>
      </c>
      <c r="F73" s="210"/>
      <c r="G73" s="208">
        <v>2653272.4487091098</v>
      </c>
      <c r="H73" s="209">
        <v>16.7089256898327</v>
      </c>
      <c r="I73" s="206"/>
      <c r="J73" s="208">
        <v>2494780.0659244298</v>
      </c>
      <c r="K73" s="209">
        <v>18.845699908940901</v>
      </c>
    </row>
    <row r="74" spans="2:11" ht="15" customHeight="1">
      <c r="B74" s="115" t="s">
        <v>40</v>
      </c>
      <c r="C74" s="117"/>
      <c r="D74" s="208">
        <v>12554148.211233599</v>
      </c>
      <c r="E74" s="209">
        <v>43.635641098262703</v>
      </c>
      <c r="F74" s="210"/>
      <c r="G74" s="208">
        <v>6889781.1327126296</v>
      </c>
      <c r="H74" s="209">
        <v>43.924567969269802</v>
      </c>
      <c r="I74" s="206"/>
      <c r="J74" s="208">
        <v>5404684.6082683997</v>
      </c>
      <c r="K74" s="209">
        <v>41.724748570328202</v>
      </c>
    </row>
    <row r="75" spans="2:11" ht="15" customHeight="1">
      <c r="B75" s="115" t="s">
        <v>41</v>
      </c>
      <c r="C75" s="117"/>
      <c r="D75" s="208">
        <v>9181477.3072713409</v>
      </c>
      <c r="E75" s="209">
        <v>31.6696406794117</v>
      </c>
      <c r="F75" s="210"/>
      <c r="G75" s="208">
        <v>5084149.6992852101</v>
      </c>
      <c r="H75" s="209">
        <v>32.166129161028103</v>
      </c>
      <c r="I75" s="206"/>
      <c r="J75" s="208">
        <v>3919123.8466045898</v>
      </c>
      <c r="K75" s="209">
        <v>29.9111994587056</v>
      </c>
    </row>
    <row r="76" spans="2:11" ht="15" customHeight="1">
      <c r="B76" s="115" t="s">
        <v>65</v>
      </c>
      <c r="C76" s="117"/>
      <c r="D76" s="208">
        <v>168947.884933586</v>
      </c>
      <c r="E76" s="209">
        <v>0.57407795108766002</v>
      </c>
      <c r="F76" s="210"/>
      <c r="G76" s="208">
        <v>37431.226491224603</v>
      </c>
      <c r="H76" s="209">
        <v>0.22723901833718901</v>
      </c>
      <c r="I76" s="206"/>
      <c r="J76" s="208">
        <v>98119.7421199581</v>
      </c>
      <c r="K76" s="209">
        <v>0.74808986432791202</v>
      </c>
    </row>
    <row r="77" spans="2:11" ht="6.95" customHeight="1">
      <c r="B77" s="118"/>
      <c r="C77" s="117"/>
      <c r="D77" s="213"/>
      <c r="E77" s="213"/>
      <c r="F77" s="214"/>
      <c r="G77" s="213"/>
      <c r="H77" s="213"/>
      <c r="I77" s="213"/>
      <c r="J77" s="213"/>
      <c r="K77" s="213"/>
    </row>
    <row r="78" spans="2:11" ht="30" customHeight="1">
      <c r="B78" s="171" t="s">
        <v>84</v>
      </c>
      <c r="C78" s="119"/>
      <c r="D78" s="202"/>
      <c r="E78" s="203"/>
      <c r="F78" s="204"/>
      <c r="G78" s="202"/>
      <c r="H78" s="203"/>
      <c r="I78" s="205"/>
      <c r="J78" s="202"/>
      <c r="K78" s="203"/>
    </row>
    <row r="79" spans="2:11" ht="6.95" customHeight="1">
      <c r="B79" s="114"/>
      <c r="C79" s="119"/>
      <c r="D79" s="208"/>
      <c r="E79" s="209"/>
      <c r="F79" s="210"/>
      <c r="G79" s="208"/>
      <c r="H79" s="209"/>
      <c r="I79" s="206"/>
      <c r="J79" s="208"/>
      <c r="K79" s="209"/>
    </row>
    <row r="80" spans="2:11" ht="15" customHeight="1">
      <c r="B80" s="115" t="s">
        <v>39</v>
      </c>
      <c r="C80" s="117"/>
      <c r="D80" s="208">
        <v>11437650.4998511</v>
      </c>
      <c r="E80" s="209">
        <v>39.785727419265399</v>
      </c>
      <c r="F80" s="210"/>
      <c r="G80" s="208">
        <v>5800336.3121629097</v>
      </c>
      <c r="H80" s="209">
        <v>36.873344060577701</v>
      </c>
      <c r="I80" s="206"/>
      <c r="J80" s="208">
        <v>5437204.67024168</v>
      </c>
      <c r="K80" s="209">
        <v>42.001927963520799</v>
      </c>
    </row>
    <row r="81" spans="2:11" ht="15" customHeight="1">
      <c r="B81" s="115" t="s">
        <v>40</v>
      </c>
      <c r="C81" s="117"/>
      <c r="D81" s="208">
        <v>10306578.528723501</v>
      </c>
      <c r="E81" s="209">
        <v>35.526186058191797</v>
      </c>
      <c r="F81" s="210"/>
      <c r="G81" s="208">
        <v>5843871.4463179903</v>
      </c>
      <c r="H81" s="209">
        <v>36.756039106104197</v>
      </c>
      <c r="I81" s="206"/>
      <c r="J81" s="208">
        <v>4252596.7985275099</v>
      </c>
      <c r="K81" s="209">
        <v>32.652200026569197</v>
      </c>
    </row>
    <row r="82" spans="2:11" ht="15" customHeight="1">
      <c r="B82" s="115" t="s">
        <v>41</v>
      </c>
      <c r="C82" s="117"/>
      <c r="D82" s="208">
        <v>5203861.2041758299</v>
      </c>
      <c r="E82" s="209">
        <v>17.7616398660168</v>
      </c>
      <c r="F82" s="210"/>
      <c r="G82" s="208">
        <v>2854135.6995262098</v>
      </c>
      <c r="H82" s="209">
        <v>17.9806974657746</v>
      </c>
      <c r="I82" s="206"/>
      <c r="J82" s="208">
        <v>2156444.1468072399</v>
      </c>
      <c r="K82" s="209">
        <v>16.1158282637818</v>
      </c>
    </row>
    <row r="83" spans="2:11" ht="15" customHeight="1">
      <c r="B83" s="115" t="s">
        <v>65</v>
      </c>
      <c r="C83" s="117"/>
      <c r="D83" s="208">
        <v>178522.60475699199</v>
      </c>
      <c r="E83" s="209">
        <v>0.60613609160762505</v>
      </c>
      <c r="F83" s="210"/>
      <c r="G83" s="208">
        <v>43018.828250143197</v>
      </c>
      <c r="H83" s="209">
        <v>0.261111507597663</v>
      </c>
      <c r="I83" s="206"/>
      <c r="J83" s="208">
        <v>88028.823886418701</v>
      </c>
      <c r="K83" s="209">
        <v>0.67185106165199704</v>
      </c>
    </row>
    <row r="84" spans="2:11" ht="6.95" customHeight="1">
      <c r="B84" s="118"/>
      <c r="C84" s="117"/>
      <c r="D84" s="213"/>
      <c r="E84" s="213"/>
      <c r="F84" s="214"/>
      <c r="G84" s="213"/>
      <c r="H84" s="213"/>
      <c r="I84" s="213"/>
      <c r="J84" s="213"/>
      <c r="K84" s="213"/>
    </row>
    <row r="85" spans="2:11" ht="30" customHeight="1">
      <c r="B85" s="171" t="s">
        <v>85</v>
      </c>
      <c r="C85" s="119"/>
      <c r="D85" s="202"/>
      <c r="E85" s="203"/>
      <c r="F85" s="204"/>
      <c r="G85" s="202"/>
      <c r="H85" s="203"/>
      <c r="I85" s="205"/>
      <c r="J85" s="202"/>
      <c r="K85" s="203"/>
    </row>
    <row r="86" spans="2:11" ht="6.95" customHeight="1">
      <c r="B86" s="114"/>
      <c r="C86" s="119"/>
      <c r="D86" s="208"/>
      <c r="E86" s="209"/>
      <c r="F86" s="210"/>
      <c r="G86" s="208"/>
      <c r="H86" s="209"/>
      <c r="I86" s="206"/>
      <c r="J86" s="208"/>
      <c r="K86" s="209"/>
    </row>
    <row r="87" spans="2:11" ht="15" customHeight="1">
      <c r="B87" s="115" t="s">
        <v>39</v>
      </c>
      <c r="C87" s="117"/>
      <c r="D87" s="208">
        <v>6435727.3823911902</v>
      </c>
      <c r="E87" s="209">
        <v>22.134046239834401</v>
      </c>
      <c r="F87" s="210"/>
      <c r="G87" s="208">
        <v>3403452.8054733099</v>
      </c>
      <c r="H87" s="209">
        <v>21.4271425168549</v>
      </c>
      <c r="I87" s="206"/>
      <c r="J87" s="208">
        <v>2880048.8832297199</v>
      </c>
      <c r="K87" s="209">
        <v>21.878448961229399</v>
      </c>
    </row>
    <row r="88" spans="2:11" ht="15" customHeight="1">
      <c r="B88" s="115" t="s">
        <v>40</v>
      </c>
      <c r="C88" s="117"/>
      <c r="D88" s="208">
        <v>11001643.8927087</v>
      </c>
      <c r="E88" s="209">
        <v>37.751458517689002</v>
      </c>
      <c r="F88" s="210"/>
      <c r="G88" s="208">
        <v>6079024.1369562401</v>
      </c>
      <c r="H88" s="209">
        <v>38.178048301452897</v>
      </c>
      <c r="I88" s="206"/>
      <c r="J88" s="208">
        <v>4672494.4415392401</v>
      </c>
      <c r="K88" s="209">
        <v>35.702746680563699</v>
      </c>
    </row>
    <row r="89" spans="2:11" ht="15" customHeight="1">
      <c r="B89" s="115" t="s">
        <v>41</v>
      </c>
      <c r="C89" s="117"/>
      <c r="D89" s="208">
        <v>9422766.3364117295</v>
      </c>
      <c r="E89" s="209">
        <v>32.770649811231898</v>
      </c>
      <c r="F89" s="210"/>
      <c r="G89" s="208">
        <v>5026471.3434385704</v>
      </c>
      <c r="H89" s="209">
        <v>32.1236306166319</v>
      </c>
      <c r="I89" s="206"/>
      <c r="J89" s="208">
        <v>4194815.6370192003</v>
      </c>
      <c r="K89" s="209">
        <v>32.169922547262097</v>
      </c>
    </row>
    <row r="90" spans="2:11" ht="15" customHeight="1">
      <c r="B90" s="115" t="s">
        <v>65</v>
      </c>
      <c r="C90" s="117"/>
      <c r="D90" s="208">
        <v>209944.132324612</v>
      </c>
      <c r="E90" s="209">
        <v>0.698318356356048</v>
      </c>
      <c r="F90" s="210"/>
      <c r="G90" s="208">
        <v>70549.025828555794</v>
      </c>
      <c r="H90" s="209">
        <v>0.42788887442169199</v>
      </c>
      <c r="I90" s="206"/>
      <c r="J90" s="208">
        <v>106646.427241996</v>
      </c>
      <c r="K90" s="209">
        <v>0.78875768598445894</v>
      </c>
    </row>
    <row r="91" spans="2:11" ht="6.95" customHeight="1">
      <c r="B91" s="118"/>
      <c r="C91" s="117"/>
      <c r="D91" s="213"/>
      <c r="E91" s="213"/>
      <c r="F91" s="214"/>
      <c r="G91" s="213"/>
      <c r="H91" s="213"/>
      <c r="I91" s="213"/>
      <c r="J91" s="213"/>
      <c r="K91" s="213"/>
    </row>
    <row r="92" spans="2:11" ht="15" customHeight="1">
      <c r="B92" s="170" t="s">
        <v>8</v>
      </c>
      <c r="C92" s="119"/>
      <c r="D92" s="202"/>
      <c r="E92" s="203"/>
      <c r="F92" s="204"/>
      <c r="G92" s="202"/>
      <c r="H92" s="203"/>
      <c r="I92" s="205"/>
      <c r="J92" s="202"/>
      <c r="K92" s="203"/>
    </row>
    <row r="93" spans="2:11" ht="6.95" customHeight="1">
      <c r="B93" s="114"/>
      <c r="C93" s="119"/>
      <c r="D93" s="208"/>
      <c r="E93" s="209"/>
      <c r="F93" s="210"/>
      <c r="G93" s="208"/>
      <c r="H93" s="209"/>
      <c r="I93" s="206"/>
      <c r="J93" s="208"/>
      <c r="K93" s="209"/>
    </row>
    <row r="94" spans="2:11" ht="15" customHeight="1">
      <c r="B94" s="115" t="s">
        <v>39</v>
      </c>
      <c r="C94" s="117"/>
      <c r="D94" s="208">
        <v>2927833.73346675</v>
      </c>
      <c r="E94" s="209">
        <v>10.0535220656903</v>
      </c>
      <c r="F94" s="210"/>
      <c r="G94" s="208">
        <v>1329728.6757201799</v>
      </c>
      <c r="H94" s="209">
        <v>8.3872894404045901</v>
      </c>
      <c r="I94" s="206"/>
      <c r="J94" s="208">
        <v>1495956.8143612801</v>
      </c>
      <c r="K94" s="209">
        <v>11.3398084722145</v>
      </c>
    </row>
    <row r="95" spans="2:11" ht="15" customHeight="1">
      <c r="B95" s="115" t="s">
        <v>40</v>
      </c>
      <c r="C95" s="117"/>
      <c r="D95" s="208">
        <v>11957423.655578399</v>
      </c>
      <c r="E95" s="209">
        <v>41.693308274899202</v>
      </c>
      <c r="F95" s="210"/>
      <c r="G95" s="208">
        <v>6411753.62413288</v>
      </c>
      <c r="H95" s="209">
        <v>40.806741133506101</v>
      </c>
      <c r="I95" s="206"/>
      <c r="J95" s="208">
        <v>5324557.5488914102</v>
      </c>
      <c r="K95" s="209">
        <v>40.9562300966167</v>
      </c>
    </row>
    <row r="96" spans="2:11" ht="15" customHeight="1">
      <c r="B96" s="115" t="s">
        <v>41</v>
      </c>
      <c r="C96" s="117"/>
      <c r="D96" s="208">
        <v>12335668.0573796</v>
      </c>
      <c r="E96" s="209">
        <v>42.513539257905599</v>
      </c>
      <c r="F96" s="210"/>
      <c r="G96" s="208">
        <v>6928324.6471840497</v>
      </c>
      <c r="H96" s="209">
        <v>43.910779956407303</v>
      </c>
      <c r="I96" s="206"/>
      <c r="J96" s="208">
        <v>5144814.0345895402</v>
      </c>
      <c r="K96" s="209">
        <v>39.391307290278903</v>
      </c>
    </row>
    <row r="97" spans="2:11" ht="15" customHeight="1">
      <c r="B97" s="115" t="s">
        <v>65</v>
      </c>
      <c r="C97" s="117"/>
      <c r="D97" s="208">
        <v>33470.671789953798</v>
      </c>
      <c r="E97" s="209">
        <v>0.111283827083605</v>
      </c>
      <c r="F97" s="210"/>
      <c r="G97" s="208">
        <v>24501.0347670593</v>
      </c>
      <c r="H97" s="209">
        <v>0.14955468338338901</v>
      </c>
      <c r="I97" s="206"/>
      <c r="J97" s="208">
        <v>1399.95986374723</v>
      </c>
      <c r="K97" s="209">
        <v>9.9568122157118605E-3</v>
      </c>
    </row>
    <row r="98" spans="2:11" ht="7.15" customHeight="1">
      <c r="B98" s="116"/>
      <c r="C98" s="117"/>
      <c r="D98" s="216"/>
      <c r="E98" s="216"/>
      <c r="F98" s="216"/>
      <c r="G98" s="216"/>
      <c r="H98" s="216"/>
      <c r="I98" s="217"/>
      <c r="J98" s="216"/>
      <c r="K98" s="216"/>
    </row>
    <row r="99" spans="2:11" ht="15" customHeight="1">
      <c r="B99" s="172" t="s">
        <v>1</v>
      </c>
      <c r="C99" s="44"/>
      <c r="D99" s="202">
        <v>54724471.783623897</v>
      </c>
      <c r="E99" s="203">
        <v>100</v>
      </c>
      <c r="F99" s="204"/>
      <c r="G99" s="202">
        <v>28733115.775626201</v>
      </c>
      <c r="H99" s="203">
        <v>100</v>
      </c>
      <c r="I99" s="205"/>
      <c r="J99" s="202">
        <v>25428611.494824</v>
      </c>
      <c r="K99" s="203">
        <v>100</v>
      </c>
    </row>
    <row r="100" spans="2:11" ht="7.15" customHeight="1">
      <c r="B100" s="113"/>
      <c r="C100" s="44"/>
      <c r="D100" s="208"/>
      <c r="E100" s="209"/>
      <c r="F100" s="204"/>
      <c r="G100" s="208"/>
      <c r="H100" s="209"/>
      <c r="I100" s="205"/>
      <c r="J100" s="208"/>
      <c r="K100" s="209"/>
    </row>
    <row r="101" spans="2:11" ht="30" customHeight="1">
      <c r="B101" s="171" t="s">
        <v>81</v>
      </c>
      <c r="C101" s="109"/>
      <c r="D101" s="202"/>
      <c r="E101" s="203"/>
      <c r="F101" s="204"/>
      <c r="G101" s="202"/>
      <c r="H101" s="203"/>
      <c r="I101" s="205"/>
      <c r="J101" s="202"/>
      <c r="K101" s="203"/>
    </row>
    <row r="102" spans="2:11" ht="6.95" customHeight="1">
      <c r="B102" s="171"/>
      <c r="C102" s="109"/>
      <c r="D102" s="208"/>
      <c r="E102" s="209"/>
      <c r="F102" s="210"/>
      <c r="G102" s="208"/>
      <c r="H102" s="209"/>
      <c r="I102" s="206"/>
      <c r="J102" s="208"/>
      <c r="K102" s="209"/>
    </row>
    <row r="103" spans="2:11" ht="15" customHeight="1">
      <c r="B103" s="115" t="s">
        <v>39</v>
      </c>
      <c r="C103" s="44"/>
      <c r="D103" s="208">
        <v>40481176.419654503</v>
      </c>
      <c r="E103" s="209">
        <v>73.167882914873005</v>
      </c>
      <c r="F103" s="210"/>
      <c r="G103" s="208">
        <v>21433604.491823401</v>
      </c>
      <c r="H103" s="209">
        <v>73.587177612011402</v>
      </c>
      <c r="I103" s="206"/>
      <c r="J103" s="208">
        <v>18568885.433207601</v>
      </c>
      <c r="K103" s="209">
        <v>71.679365217774901</v>
      </c>
    </row>
    <row r="104" spans="2:11" ht="15" customHeight="1">
      <c r="B104" s="115" t="s">
        <v>40</v>
      </c>
      <c r="C104" s="117"/>
      <c r="D104" s="208">
        <v>11465121.8340025</v>
      </c>
      <c r="E104" s="209">
        <v>20.399817122538899</v>
      </c>
      <c r="F104" s="210"/>
      <c r="G104" s="208">
        <v>5850724.7050072504</v>
      </c>
      <c r="H104" s="209">
        <v>19.623805050483</v>
      </c>
      <c r="I104" s="206"/>
      <c r="J104" s="208">
        <v>5334231.2353770798</v>
      </c>
      <c r="K104" s="209">
        <v>20.308029453090199</v>
      </c>
    </row>
    <row r="105" spans="2:11" ht="15" customHeight="1">
      <c r="B105" s="115" t="s">
        <v>41</v>
      </c>
      <c r="C105" s="117"/>
      <c r="D105" s="208">
        <v>1950910.9135173401</v>
      </c>
      <c r="E105" s="209">
        <v>3.4502482240564198</v>
      </c>
      <c r="F105" s="210"/>
      <c r="G105" s="208">
        <v>882240.19349430001</v>
      </c>
      <c r="H105" s="209">
        <v>2.9454520638454298</v>
      </c>
      <c r="I105" s="206"/>
      <c r="J105" s="208">
        <v>946186.54433084105</v>
      </c>
      <c r="K105" s="209">
        <v>3.5945119290527301</v>
      </c>
    </row>
    <row r="106" spans="2:11" ht="15" customHeight="1">
      <c r="B106" s="115" t="s">
        <v>65</v>
      </c>
      <c r="C106" s="117"/>
      <c r="D106" s="208">
        <v>58626.6722490498</v>
      </c>
      <c r="E106" s="209">
        <v>0.10354738372130499</v>
      </c>
      <c r="F106" s="210"/>
      <c r="G106" s="208">
        <v>23944.548536867202</v>
      </c>
      <c r="H106" s="209">
        <v>7.9412836332545506E-2</v>
      </c>
      <c r="I106" s="206"/>
      <c r="J106" s="208">
        <v>17141.578614604699</v>
      </c>
      <c r="K106" s="209">
        <v>6.4759728082172896E-2</v>
      </c>
    </row>
    <row r="107" spans="2:11" ht="6.95" customHeight="1">
      <c r="B107" s="118"/>
      <c r="C107" s="117"/>
      <c r="D107" s="213"/>
      <c r="E107" s="213"/>
      <c r="F107" s="214"/>
      <c r="G107" s="213"/>
      <c r="H107" s="213"/>
      <c r="I107" s="213"/>
      <c r="J107" s="213"/>
      <c r="K107" s="213"/>
    </row>
    <row r="108" spans="2:11" ht="15" customHeight="1">
      <c r="B108" s="170" t="s">
        <v>7</v>
      </c>
      <c r="C108" s="109"/>
      <c r="D108" s="202"/>
      <c r="E108" s="203"/>
      <c r="F108" s="204"/>
      <c r="G108" s="202"/>
      <c r="H108" s="203"/>
      <c r="I108" s="205"/>
      <c r="J108" s="202"/>
      <c r="K108" s="203"/>
    </row>
    <row r="109" spans="2:11" ht="6.95" customHeight="1">
      <c r="B109" s="114"/>
      <c r="C109" s="109"/>
      <c r="D109" s="208"/>
      <c r="E109" s="209"/>
      <c r="F109" s="210"/>
      <c r="G109" s="208"/>
      <c r="H109" s="209"/>
      <c r="I109" s="206"/>
      <c r="J109" s="208"/>
      <c r="K109" s="209"/>
    </row>
    <row r="110" spans="2:11" ht="15" customHeight="1">
      <c r="B110" s="115" t="s">
        <v>39</v>
      </c>
      <c r="C110" s="117"/>
      <c r="D110" s="208">
        <v>43408120.219821103</v>
      </c>
      <c r="E110" s="209">
        <v>78.450664481154902</v>
      </c>
      <c r="F110" s="210"/>
      <c r="G110" s="208">
        <v>23284522.2238889</v>
      </c>
      <c r="H110" s="209">
        <v>79.871598560038905</v>
      </c>
      <c r="I110" s="206"/>
      <c r="J110" s="208">
        <v>19607015.5642263</v>
      </c>
      <c r="K110" s="209">
        <v>75.983230768197899</v>
      </c>
    </row>
    <row r="111" spans="2:11" ht="15" customHeight="1">
      <c r="B111" s="115" t="s">
        <v>40</v>
      </c>
      <c r="C111" s="117"/>
      <c r="D111" s="208">
        <v>10198824.6716068</v>
      </c>
      <c r="E111" s="209">
        <v>18.191476834038301</v>
      </c>
      <c r="F111" s="210"/>
      <c r="G111" s="208">
        <v>4848306.9762003599</v>
      </c>
      <c r="H111" s="209">
        <v>16.363923216220801</v>
      </c>
      <c r="I111" s="206"/>
      <c r="J111" s="208">
        <v>5106549.6724894904</v>
      </c>
      <c r="K111" s="209">
        <v>19.410920855263502</v>
      </c>
    </row>
    <row r="112" spans="2:11" ht="15" customHeight="1">
      <c r="B112" s="115" t="s">
        <v>41</v>
      </c>
      <c r="C112" s="117"/>
      <c r="D112" s="208">
        <v>369967.97224002902</v>
      </c>
      <c r="E112" s="209">
        <v>0.65357506243200802</v>
      </c>
      <c r="F112" s="210"/>
      <c r="G112" s="208">
        <v>142166.47240194899</v>
      </c>
      <c r="H112" s="209">
        <v>0.47358449164657901</v>
      </c>
      <c r="I112" s="206"/>
      <c r="J112" s="208">
        <v>186680.54744074299</v>
      </c>
      <c r="K112" s="209">
        <v>0.701688649767088</v>
      </c>
    </row>
    <row r="113" spans="2:11" ht="15" customHeight="1">
      <c r="B113" s="115" t="s">
        <v>65</v>
      </c>
      <c r="C113" s="117"/>
      <c r="D113" s="208">
        <v>142540.23171344399</v>
      </c>
      <c r="E113" s="209">
        <v>0.25147232492768501</v>
      </c>
      <c r="F113" s="210"/>
      <c r="G113" s="208">
        <v>60517.092856948897</v>
      </c>
      <c r="H113" s="209">
        <v>0.20001107547340799</v>
      </c>
      <c r="I113" s="206"/>
      <c r="J113" s="208">
        <v>57805.467896677597</v>
      </c>
      <c r="K113" s="209">
        <v>0.21840979660620999</v>
      </c>
    </row>
    <row r="114" spans="2:11" ht="6.95" customHeight="1">
      <c r="B114" s="118"/>
      <c r="C114" s="117"/>
      <c r="D114" s="213"/>
      <c r="E114" s="213"/>
      <c r="F114" s="214"/>
      <c r="G114" s="213"/>
      <c r="H114" s="213"/>
      <c r="I114" s="213"/>
      <c r="J114" s="213"/>
      <c r="K114" s="213"/>
    </row>
    <row r="115" spans="2:11" ht="30" customHeight="1">
      <c r="B115" s="171" t="s">
        <v>83</v>
      </c>
      <c r="C115" s="119"/>
      <c r="D115" s="202"/>
      <c r="E115" s="203"/>
      <c r="F115" s="204"/>
      <c r="G115" s="202"/>
      <c r="H115" s="203"/>
      <c r="I115" s="205"/>
      <c r="J115" s="202"/>
      <c r="K115" s="203"/>
    </row>
    <row r="116" spans="2:11" ht="6.95" customHeight="1">
      <c r="B116" s="114"/>
      <c r="C116" s="119"/>
      <c r="D116" s="208"/>
      <c r="E116" s="209"/>
      <c r="F116" s="210"/>
      <c r="G116" s="208"/>
      <c r="H116" s="209"/>
      <c r="I116" s="206"/>
      <c r="J116" s="208"/>
      <c r="K116" s="209"/>
    </row>
    <row r="117" spans="2:11" ht="15" customHeight="1">
      <c r="B117" s="115" t="s">
        <v>39</v>
      </c>
      <c r="C117" s="117"/>
      <c r="D117" s="208">
        <v>9938241.1201008894</v>
      </c>
      <c r="E117" s="209">
        <v>17.694085915662399</v>
      </c>
      <c r="F117" s="210"/>
      <c r="G117" s="208">
        <v>4920401.0510245301</v>
      </c>
      <c r="H117" s="209">
        <v>16.570724811812799</v>
      </c>
      <c r="I117" s="206"/>
      <c r="J117" s="208">
        <v>4685619.0849841898</v>
      </c>
      <c r="K117" s="209">
        <v>17.860667200759</v>
      </c>
    </row>
    <row r="118" spans="2:11" ht="15" customHeight="1">
      <c r="B118" s="115" t="s">
        <v>40</v>
      </c>
      <c r="C118" s="117"/>
      <c r="D118" s="208">
        <v>27890558.374211501</v>
      </c>
      <c r="E118" s="209">
        <v>49.921202937884502</v>
      </c>
      <c r="F118" s="210"/>
      <c r="G118" s="208">
        <v>14070892.469756801</v>
      </c>
      <c r="H118" s="209">
        <v>47.613048096408697</v>
      </c>
      <c r="I118" s="206"/>
      <c r="J118" s="208">
        <v>13428742.328015201</v>
      </c>
      <c r="K118" s="209">
        <v>51.422602280016399</v>
      </c>
    </row>
    <row r="119" spans="2:11" ht="15" customHeight="1">
      <c r="B119" s="115" t="s">
        <v>41</v>
      </c>
      <c r="C119" s="117"/>
      <c r="D119" s="208">
        <v>15715113.115761399</v>
      </c>
      <c r="E119" s="209">
        <v>28.179296798902701</v>
      </c>
      <c r="F119" s="210"/>
      <c r="G119" s="208">
        <v>8809881.1650991403</v>
      </c>
      <c r="H119" s="209">
        <v>29.837800094643899</v>
      </c>
      <c r="I119" s="206"/>
      <c r="J119" s="208">
        <v>6596208.6594543401</v>
      </c>
      <c r="K119" s="209">
        <v>25.253870534525699</v>
      </c>
    </row>
    <row r="120" spans="2:11" ht="15" customHeight="1">
      <c r="B120" s="115" t="s">
        <v>65</v>
      </c>
      <c r="C120" s="117"/>
      <c r="D120" s="208">
        <v>121718.732488708</v>
      </c>
      <c r="E120" s="209">
        <v>0.21491497815128399</v>
      </c>
      <c r="F120" s="210"/>
      <c r="G120" s="208">
        <v>81455.211579992305</v>
      </c>
      <c r="H120" s="209">
        <v>0.27090582358206899</v>
      </c>
      <c r="I120" s="206"/>
      <c r="J120" s="208">
        <v>15024.333914594001</v>
      </c>
      <c r="K120" s="209">
        <v>5.67710233606772E-2</v>
      </c>
    </row>
    <row r="121" spans="2:11" ht="6.95" customHeight="1">
      <c r="B121" s="118"/>
      <c r="C121" s="117"/>
      <c r="D121" s="213"/>
      <c r="E121" s="213"/>
      <c r="F121" s="214"/>
      <c r="G121" s="213"/>
      <c r="H121" s="213"/>
      <c r="I121" s="213"/>
      <c r="J121" s="213"/>
      <c r="K121" s="213"/>
    </row>
    <row r="122" spans="2:11" ht="30" customHeight="1">
      <c r="B122" s="171" t="s">
        <v>84</v>
      </c>
      <c r="C122" s="119"/>
      <c r="D122" s="202"/>
      <c r="E122" s="203"/>
      <c r="F122" s="204"/>
      <c r="G122" s="202"/>
      <c r="H122" s="203"/>
      <c r="I122" s="205"/>
      <c r="J122" s="202"/>
      <c r="K122" s="203"/>
    </row>
    <row r="123" spans="2:11" ht="6.95" customHeight="1">
      <c r="B123" s="114"/>
      <c r="C123" s="119"/>
      <c r="D123" s="208"/>
      <c r="E123" s="209"/>
      <c r="F123" s="210"/>
      <c r="G123" s="208"/>
      <c r="H123" s="209"/>
      <c r="I123" s="206"/>
      <c r="J123" s="208"/>
      <c r="K123" s="209"/>
    </row>
    <row r="124" spans="2:11" ht="15" customHeight="1">
      <c r="B124" s="115" t="s">
        <v>39</v>
      </c>
      <c r="C124" s="117"/>
      <c r="D124" s="208">
        <v>24857615.685755901</v>
      </c>
      <c r="E124" s="209">
        <v>44.624751669403103</v>
      </c>
      <c r="F124" s="210"/>
      <c r="G124" s="208">
        <v>12379868.7574772</v>
      </c>
      <c r="H124" s="209">
        <v>42.141667663799403</v>
      </c>
      <c r="I124" s="206"/>
      <c r="J124" s="208">
        <v>12087118.8807337</v>
      </c>
      <c r="K124" s="209">
        <v>46.421868369821702</v>
      </c>
    </row>
    <row r="125" spans="2:11" ht="15" customHeight="1">
      <c r="B125" s="115" t="s">
        <v>40</v>
      </c>
      <c r="C125" s="117"/>
      <c r="D125" s="208">
        <v>20519989.0849781</v>
      </c>
      <c r="E125" s="209">
        <v>36.6446723325557</v>
      </c>
      <c r="F125" s="210"/>
      <c r="G125" s="208">
        <v>11320048.5509426</v>
      </c>
      <c r="H125" s="209">
        <v>38.2127728281977</v>
      </c>
      <c r="I125" s="206"/>
      <c r="J125" s="208">
        <v>8875755.3214304</v>
      </c>
      <c r="K125" s="209">
        <v>33.863586680537601</v>
      </c>
    </row>
    <row r="126" spans="2:11" ht="15" customHeight="1">
      <c r="B126" s="115" t="s">
        <v>41</v>
      </c>
      <c r="C126" s="117"/>
      <c r="D126" s="208">
        <v>8140178.05892557</v>
      </c>
      <c r="E126" s="209">
        <v>14.496198622009</v>
      </c>
      <c r="F126" s="210"/>
      <c r="G126" s="208">
        <v>4213276.7114803698</v>
      </c>
      <c r="H126" s="209">
        <v>14.1411893835618</v>
      </c>
      <c r="I126" s="206"/>
      <c r="J126" s="208">
        <v>3689626.34946321</v>
      </c>
      <c r="K126" s="209">
        <v>14.0630173761437</v>
      </c>
    </row>
    <row r="127" spans="2:11" ht="15" customHeight="1">
      <c r="B127" s="115" t="s">
        <v>65</v>
      </c>
      <c r="C127" s="117"/>
      <c r="D127" s="208">
        <v>136645.862693109</v>
      </c>
      <c r="E127" s="209">
        <v>0.240827949265115</v>
      </c>
      <c r="F127" s="210"/>
      <c r="G127" s="208">
        <v>53200.559307359799</v>
      </c>
      <c r="H127" s="209">
        <v>0.17630528157299799</v>
      </c>
      <c r="I127" s="206"/>
      <c r="J127" s="208">
        <v>48616.348375259702</v>
      </c>
      <c r="K127" s="209">
        <v>0.18303641022051301</v>
      </c>
    </row>
    <row r="128" spans="2:11" ht="6.95" customHeight="1">
      <c r="B128" s="118"/>
      <c r="C128" s="117"/>
      <c r="D128" s="213"/>
      <c r="E128" s="213"/>
      <c r="F128" s="214"/>
      <c r="G128" s="213"/>
      <c r="H128" s="213"/>
      <c r="I128" s="213"/>
      <c r="J128" s="213"/>
      <c r="K128" s="213"/>
    </row>
    <row r="129" spans="2:11" ht="30" customHeight="1">
      <c r="B129" s="171" t="s">
        <v>85</v>
      </c>
      <c r="C129" s="119"/>
      <c r="D129" s="202"/>
      <c r="E129" s="203"/>
      <c r="F129" s="204"/>
      <c r="G129" s="202"/>
      <c r="H129" s="203"/>
      <c r="I129" s="205"/>
      <c r="J129" s="202"/>
      <c r="K129" s="203"/>
    </row>
    <row r="130" spans="2:11" ht="6.95" customHeight="1">
      <c r="B130" s="114"/>
      <c r="C130" s="119"/>
      <c r="D130" s="208"/>
      <c r="E130" s="209"/>
      <c r="F130" s="210"/>
      <c r="G130" s="208"/>
      <c r="H130" s="209"/>
      <c r="I130" s="206"/>
      <c r="J130" s="208"/>
      <c r="K130" s="209"/>
    </row>
    <row r="131" spans="2:11" ht="15" customHeight="1">
      <c r="B131" s="115" t="s">
        <v>39</v>
      </c>
      <c r="C131" s="117"/>
      <c r="D131" s="208">
        <v>11743649.141579799</v>
      </c>
      <c r="E131" s="209">
        <v>20.978311051730099</v>
      </c>
      <c r="F131" s="210"/>
      <c r="G131" s="208">
        <v>5926340.9422003999</v>
      </c>
      <c r="H131" s="209">
        <v>19.9976717184928</v>
      </c>
      <c r="I131" s="206"/>
      <c r="J131" s="208">
        <v>5583137.6741075497</v>
      </c>
      <c r="K131" s="209">
        <v>21.327789380644099</v>
      </c>
    </row>
    <row r="132" spans="2:11" ht="15" customHeight="1">
      <c r="B132" s="115" t="s">
        <v>40</v>
      </c>
      <c r="C132" s="117"/>
      <c r="D132" s="208">
        <v>22354977.704773702</v>
      </c>
      <c r="E132" s="209">
        <v>40.120003669220303</v>
      </c>
      <c r="F132" s="210"/>
      <c r="G132" s="208">
        <v>12161557.4382872</v>
      </c>
      <c r="H132" s="209">
        <v>41.441457976989597</v>
      </c>
      <c r="I132" s="206"/>
      <c r="J132" s="208">
        <v>9797777.2581123691</v>
      </c>
      <c r="K132" s="209">
        <v>37.536387139529197</v>
      </c>
    </row>
    <row r="133" spans="2:11" ht="15" customHeight="1">
      <c r="B133" s="115" t="s">
        <v>41</v>
      </c>
      <c r="C133" s="117"/>
      <c r="D133" s="208">
        <v>19262799.383286599</v>
      </c>
      <c r="E133" s="209">
        <v>34.233841439132298</v>
      </c>
      <c r="F133" s="210"/>
      <c r="G133" s="208">
        <v>9781990.4651980996</v>
      </c>
      <c r="H133" s="209">
        <v>32.783707040677101</v>
      </c>
      <c r="I133" s="206"/>
      <c r="J133" s="208">
        <v>9169873.2800764292</v>
      </c>
      <c r="K133" s="209">
        <v>34.904202541393197</v>
      </c>
    </row>
    <row r="134" spans="2:11" ht="15" customHeight="1">
      <c r="B134" s="115" t="s">
        <v>65</v>
      </c>
      <c r="C134" s="117"/>
      <c r="D134" s="208">
        <v>129955.863646921</v>
      </c>
      <c r="E134" s="209">
        <v>0.23059708566253401</v>
      </c>
      <c r="F134" s="210"/>
      <c r="G134" s="208">
        <v>62270.893997150597</v>
      </c>
      <c r="H134" s="209">
        <v>0.20974397018077001</v>
      </c>
      <c r="I134" s="206"/>
      <c r="J134" s="208">
        <v>37424.1980746306</v>
      </c>
      <c r="K134" s="209">
        <v>0.14077560994185601</v>
      </c>
    </row>
    <row r="135" spans="2:11" ht="6.95" customHeight="1">
      <c r="B135" s="118"/>
      <c r="C135" s="117"/>
      <c r="D135" s="213"/>
      <c r="E135" s="213"/>
      <c r="F135" s="214"/>
      <c r="G135" s="213"/>
      <c r="H135" s="213"/>
      <c r="I135" s="213"/>
      <c r="J135" s="213"/>
      <c r="K135" s="213"/>
    </row>
    <row r="136" spans="2:11" ht="15" customHeight="1">
      <c r="B136" s="170" t="s">
        <v>8</v>
      </c>
      <c r="C136" s="119"/>
      <c r="D136" s="202"/>
      <c r="E136" s="203"/>
      <c r="F136" s="204"/>
      <c r="G136" s="202"/>
      <c r="H136" s="203"/>
      <c r="I136" s="205"/>
      <c r="J136" s="202"/>
      <c r="K136" s="203"/>
    </row>
    <row r="137" spans="2:11" ht="6.95" customHeight="1">
      <c r="B137" s="114"/>
      <c r="C137" s="119"/>
      <c r="D137" s="208"/>
      <c r="E137" s="209"/>
      <c r="F137" s="210"/>
      <c r="G137" s="208"/>
      <c r="H137" s="209"/>
      <c r="I137" s="206"/>
      <c r="J137" s="208"/>
      <c r="K137" s="209"/>
    </row>
    <row r="138" spans="2:11" ht="15" customHeight="1">
      <c r="B138" s="115" t="s">
        <v>39</v>
      </c>
      <c r="C138" s="117"/>
      <c r="D138" s="208">
        <v>8933900.9620413501</v>
      </c>
      <c r="E138" s="209">
        <v>15.8346582044129</v>
      </c>
      <c r="F138" s="210"/>
      <c r="G138" s="208">
        <v>3880345.93859189</v>
      </c>
      <c r="H138" s="209">
        <v>12.986508165196099</v>
      </c>
      <c r="I138" s="206"/>
      <c r="J138" s="208">
        <v>4815802.9533726703</v>
      </c>
      <c r="K138" s="209">
        <v>18.267088367243201</v>
      </c>
    </row>
    <row r="139" spans="2:11" ht="15" customHeight="1">
      <c r="B139" s="115" t="s">
        <v>40</v>
      </c>
      <c r="C139" s="117"/>
      <c r="D139" s="208">
        <v>28579258.713314801</v>
      </c>
      <c r="E139" s="209">
        <v>51.230946849480098</v>
      </c>
      <c r="F139" s="210"/>
      <c r="G139" s="208">
        <v>14535636.5402398</v>
      </c>
      <c r="H139" s="209">
        <v>49.333232900241804</v>
      </c>
      <c r="I139" s="206"/>
      <c r="J139" s="208">
        <v>13621237.627281399</v>
      </c>
      <c r="K139" s="209">
        <v>52.263183332045898</v>
      </c>
    </row>
    <row r="140" spans="2:11" ht="15" customHeight="1">
      <c r="B140" s="115" t="s">
        <v>41</v>
      </c>
      <c r="C140" s="117"/>
      <c r="D140" s="208">
        <v>16031804.1732457</v>
      </c>
      <c r="E140" s="209">
        <v>28.749271076473399</v>
      </c>
      <c r="F140" s="210"/>
      <c r="G140" s="208">
        <v>9481006.9684896301</v>
      </c>
      <c r="H140" s="209">
        <v>32.118569150966501</v>
      </c>
      <c r="I140" s="206"/>
      <c r="J140" s="208">
        <v>6208293.9517660802</v>
      </c>
      <c r="K140" s="209">
        <v>23.760571307252199</v>
      </c>
    </row>
    <row r="141" spans="2:11" ht="15" customHeight="1">
      <c r="B141" s="115" t="s">
        <v>65</v>
      </c>
      <c r="C141" s="117"/>
      <c r="D141" s="208">
        <v>89252.022177957493</v>
      </c>
      <c r="E141" s="209">
        <v>0.15786249347238601</v>
      </c>
      <c r="F141" s="210"/>
      <c r="G141" s="208">
        <v>46436.570537234897</v>
      </c>
      <c r="H141" s="209">
        <v>0.15389439261344201</v>
      </c>
      <c r="I141" s="206"/>
      <c r="J141" s="208">
        <v>8272.5542659780294</v>
      </c>
      <c r="K141" s="209">
        <v>3.2390454009128399E-2</v>
      </c>
    </row>
    <row r="142" spans="2:11" ht="6.95" customHeight="1">
      <c r="B142" s="12"/>
      <c r="C142" s="12"/>
      <c r="D142" s="159"/>
      <c r="E142" s="68"/>
      <c r="F142" s="45"/>
      <c r="G142" s="159"/>
      <c r="H142" s="68"/>
      <c r="I142" s="68"/>
      <c r="J142" s="161"/>
      <c r="K142" s="68"/>
    </row>
    <row r="143" spans="2:11" ht="6.95" customHeight="1">
      <c r="B143" s="66"/>
      <c r="C143" s="66"/>
      <c r="D143" s="160"/>
      <c r="E143" s="67"/>
      <c r="F143" s="67"/>
      <c r="G143" s="160"/>
    </row>
    <row r="144" spans="2:11" customFormat="1" ht="12" customHeight="1">
      <c r="B144" s="247" t="s">
        <v>77</v>
      </c>
      <c r="C144" s="247"/>
      <c r="D144" s="247"/>
      <c r="E144" s="247"/>
      <c r="F144" s="247"/>
      <c r="G144" s="247"/>
      <c r="J144" s="152"/>
    </row>
  </sheetData>
  <mergeCells count="6">
    <mergeCell ref="B144:G144"/>
    <mergeCell ref="D7:E8"/>
    <mergeCell ref="G7:K7"/>
    <mergeCell ref="G8:H8"/>
    <mergeCell ref="J8:K8"/>
    <mergeCell ref="B7:B9"/>
  </mergeCells>
  <hyperlinks>
    <hyperlink ref="K1" location="ÍNDICE!A1" tooltip="Ir a ÍNDICE" display="ÍNDICE" xr:uid="{D7147F60-9A37-43A7-94B1-0194C9F79C37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74BA-CD86-4DE9-97F2-E3A2BC1A4190}">
  <dimension ref="B1:Q36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254" t="s">
        <v>113</v>
      </c>
      <c r="C5" s="254"/>
      <c r="D5" s="254"/>
      <c r="E5" s="254"/>
      <c r="F5" s="254"/>
      <c r="G5" s="254"/>
      <c r="H5" s="97"/>
      <c r="J5" s="155"/>
      <c r="K5" s="99" t="s">
        <v>21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114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22" t="s">
        <v>6</v>
      </c>
      <c r="C11" s="14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  <c r="L11" s="43"/>
    </row>
    <row r="12" spans="2:17" ht="6.95" customHeight="1">
      <c r="B12" s="122"/>
      <c r="C12" s="14"/>
      <c r="D12" s="208"/>
      <c r="E12" s="209"/>
      <c r="F12" s="204"/>
      <c r="G12" s="208"/>
      <c r="H12" s="209"/>
      <c r="I12" s="205"/>
      <c r="J12" s="208"/>
      <c r="K12" s="209"/>
      <c r="L12" s="43"/>
    </row>
    <row r="13" spans="2:17" s="43" customFormat="1" ht="30" customHeight="1">
      <c r="B13" s="171" t="s">
        <v>86</v>
      </c>
      <c r="C13" s="109"/>
      <c r="D13" s="202"/>
      <c r="E13" s="203"/>
      <c r="F13" s="204"/>
      <c r="G13" s="202"/>
      <c r="H13" s="203"/>
      <c r="I13" s="205"/>
      <c r="J13" s="202"/>
      <c r="K13" s="203"/>
    </row>
    <row r="14" spans="2:17" s="43" customFormat="1" ht="6.95" customHeight="1">
      <c r="B14" s="171"/>
      <c r="C14" s="109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15"/>
      <c r="D15" s="208">
        <v>77960969.859558299</v>
      </c>
      <c r="E15" s="209">
        <v>91.091086874480496</v>
      </c>
      <c r="F15" s="210"/>
      <c r="G15" s="208">
        <v>41230193.2257955</v>
      </c>
      <c r="H15" s="209">
        <v>90.490720331581102</v>
      </c>
      <c r="I15" s="206"/>
      <c r="J15" s="208">
        <v>35842215.850900501</v>
      </c>
      <c r="K15" s="209">
        <v>91.375959860405601</v>
      </c>
      <c r="L15" s="43"/>
    </row>
    <row r="16" spans="2:17" ht="15" customHeight="1">
      <c r="B16" s="115" t="s">
        <v>35</v>
      </c>
      <c r="C16" s="15"/>
      <c r="D16" s="208">
        <v>3589726.5169210602</v>
      </c>
      <c r="E16" s="209">
        <v>4.1562045727315899</v>
      </c>
      <c r="F16" s="210"/>
      <c r="G16" s="208">
        <v>1756050.0114333399</v>
      </c>
      <c r="H16" s="209">
        <v>3.8032342966993</v>
      </c>
      <c r="I16" s="206"/>
      <c r="J16" s="208">
        <v>1667232.72605935</v>
      </c>
      <c r="K16" s="209">
        <v>4.1660410469809497</v>
      </c>
    </row>
    <row r="17" spans="2:11" ht="15" customHeight="1">
      <c r="B17" s="115" t="s">
        <v>65</v>
      </c>
      <c r="C17" s="15"/>
      <c r="D17" s="208">
        <v>2794167.1254169499</v>
      </c>
      <c r="E17" s="209">
        <v>3.23297606401868</v>
      </c>
      <c r="F17" s="210"/>
      <c r="G17" s="208">
        <v>1700651.71747155</v>
      </c>
      <c r="H17" s="209">
        <v>3.6681181026416501</v>
      </c>
      <c r="I17" s="206"/>
      <c r="J17" s="208">
        <v>993536.79857093596</v>
      </c>
      <c r="K17" s="209">
        <v>2.4795751906087999</v>
      </c>
    </row>
    <row r="18" spans="2:11" ht="6.95" customHeight="1">
      <c r="B18" s="115"/>
      <c r="C18" s="123"/>
      <c r="D18" s="206"/>
      <c r="E18" s="206"/>
      <c r="F18" s="218"/>
      <c r="G18" s="206"/>
      <c r="H18" s="206"/>
      <c r="I18" s="206"/>
      <c r="J18" s="206"/>
      <c r="K18" s="206"/>
    </row>
    <row r="19" spans="2:11" ht="15" customHeight="1">
      <c r="B19" s="175" t="s">
        <v>0</v>
      </c>
      <c r="C19" s="15"/>
      <c r="D19" s="202">
        <v>27919808.370060898</v>
      </c>
      <c r="E19" s="203">
        <v>100</v>
      </c>
      <c r="F19" s="204"/>
      <c r="G19" s="202">
        <v>15147712.0036007</v>
      </c>
      <c r="H19" s="203">
        <v>100</v>
      </c>
      <c r="I19" s="205"/>
      <c r="J19" s="202">
        <v>12466861.324348001</v>
      </c>
      <c r="K19" s="203">
        <v>100</v>
      </c>
    </row>
    <row r="20" spans="2:11" ht="6.95" customHeight="1">
      <c r="B20" s="122"/>
      <c r="C20" s="69"/>
      <c r="D20" s="208"/>
      <c r="E20" s="209"/>
      <c r="F20" s="204"/>
      <c r="G20" s="208"/>
      <c r="H20" s="209"/>
      <c r="I20" s="205"/>
      <c r="J20" s="208"/>
      <c r="K20" s="209"/>
    </row>
    <row r="21" spans="2:11" s="43" customFormat="1" ht="30" customHeight="1">
      <c r="B21" s="171" t="s">
        <v>86</v>
      </c>
      <c r="C21" s="109"/>
      <c r="D21" s="202"/>
      <c r="E21" s="203"/>
      <c r="F21" s="204"/>
      <c r="G21" s="202"/>
      <c r="H21" s="203"/>
      <c r="I21" s="205"/>
      <c r="J21" s="202"/>
      <c r="K21" s="203"/>
    </row>
    <row r="22" spans="2:11" s="43" customFormat="1" ht="6.95" customHeight="1">
      <c r="B22" s="171"/>
      <c r="C22" s="109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15"/>
      <c r="D23" s="208">
        <v>24686254.809697799</v>
      </c>
      <c r="E23" s="209">
        <v>87.263232125551298</v>
      </c>
      <c r="F23" s="210"/>
      <c r="G23" s="208">
        <v>13319896.7956129</v>
      </c>
      <c r="H23" s="209">
        <v>86.477725881014194</v>
      </c>
      <c r="I23" s="206"/>
      <c r="J23" s="208">
        <v>11072503.671078701</v>
      </c>
      <c r="K23" s="209">
        <v>87.596992076396106</v>
      </c>
    </row>
    <row r="24" spans="2:11" ht="15" customHeight="1">
      <c r="B24" s="115" t="s">
        <v>35</v>
      </c>
      <c r="C24" s="15"/>
      <c r="D24" s="208">
        <v>1193932.0373114001</v>
      </c>
      <c r="E24" s="209">
        <v>4.07746400104031</v>
      </c>
      <c r="F24" s="210"/>
      <c r="G24" s="208">
        <v>611792.35638255498</v>
      </c>
      <c r="H24" s="209">
        <v>3.8420951469518698</v>
      </c>
      <c r="I24" s="206"/>
      <c r="J24" s="208">
        <v>480059.504596763</v>
      </c>
      <c r="K24" s="209">
        <v>3.6028875798833</v>
      </c>
    </row>
    <row r="25" spans="2:11" ht="15" customHeight="1">
      <c r="B25" s="115" t="s">
        <v>65</v>
      </c>
      <c r="C25" s="15"/>
      <c r="D25" s="208">
        <v>1642434.6410318899</v>
      </c>
      <c r="E25" s="209">
        <v>5.5728417238694998</v>
      </c>
      <c r="F25" s="210"/>
      <c r="G25" s="208">
        <v>936155.88345535402</v>
      </c>
      <c r="H25" s="209">
        <v>5.8253407424226804</v>
      </c>
      <c r="I25" s="206"/>
      <c r="J25" s="208">
        <v>644911.42244960798</v>
      </c>
      <c r="K25" s="209">
        <v>4.7890470892039403</v>
      </c>
    </row>
    <row r="26" spans="2:11" ht="6.95" customHeight="1">
      <c r="B26" s="123"/>
      <c r="C26" s="123"/>
      <c r="D26" s="206"/>
      <c r="E26" s="206"/>
      <c r="F26" s="218"/>
      <c r="G26" s="206"/>
      <c r="H26" s="206"/>
      <c r="I26" s="206"/>
      <c r="J26" s="206"/>
      <c r="K26" s="206"/>
    </row>
    <row r="27" spans="2:11" ht="15" customHeight="1">
      <c r="B27" s="173" t="s">
        <v>1</v>
      </c>
      <c r="C27" s="15"/>
      <c r="D27" s="202">
        <v>54724471.783623897</v>
      </c>
      <c r="E27" s="203">
        <v>100</v>
      </c>
      <c r="F27" s="204"/>
      <c r="G27" s="202">
        <v>28733115.775626201</v>
      </c>
      <c r="H27" s="203">
        <v>100</v>
      </c>
      <c r="I27" s="205"/>
      <c r="J27" s="202">
        <v>25428611.494824</v>
      </c>
      <c r="K27" s="203">
        <v>100</v>
      </c>
    </row>
    <row r="28" spans="2:11" ht="6.95" customHeight="1">
      <c r="B28" s="122"/>
      <c r="C28" s="69"/>
      <c r="D28" s="208"/>
      <c r="E28" s="209"/>
      <c r="F28" s="204"/>
      <c r="G28" s="208"/>
      <c r="H28" s="209"/>
      <c r="I28" s="205"/>
      <c r="J28" s="208"/>
      <c r="K28" s="209"/>
    </row>
    <row r="29" spans="2:11" s="43" customFormat="1" ht="30" customHeight="1">
      <c r="B29" s="171" t="s">
        <v>86</v>
      </c>
      <c r="C29" s="109"/>
      <c r="D29" s="202"/>
      <c r="E29" s="203"/>
      <c r="F29" s="204"/>
      <c r="G29" s="202"/>
      <c r="H29" s="203"/>
      <c r="I29" s="205"/>
      <c r="J29" s="202"/>
      <c r="K29" s="203"/>
    </row>
    <row r="30" spans="2:11" s="43" customFormat="1" ht="6.95" customHeight="1">
      <c r="B30" s="171"/>
      <c r="C30" s="109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115" t="s">
        <v>34</v>
      </c>
      <c r="C31" s="15"/>
      <c r="D31" s="208">
        <v>51075197.6179052</v>
      </c>
      <c r="E31" s="209">
        <v>92.743998671021302</v>
      </c>
      <c r="F31" s="210"/>
      <c r="G31" s="208">
        <v>26717207.8534109</v>
      </c>
      <c r="H31" s="209">
        <v>92.173415954228304</v>
      </c>
      <c r="I31" s="206"/>
      <c r="J31" s="208">
        <v>23809513.604260001</v>
      </c>
      <c r="K31" s="209">
        <v>92.829679278263399</v>
      </c>
    </row>
    <row r="32" spans="2:11" ht="15" customHeight="1">
      <c r="B32" s="115" t="s">
        <v>35</v>
      </c>
      <c r="C32" s="15"/>
      <c r="D32" s="208">
        <v>2222946.96554837</v>
      </c>
      <c r="E32" s="209">
        <v>3.9433607706420002</v>
      </c>
      <c r="F32" s="210"/>
      <c r="G32" s="208">
        <v>1021829.67905126</v>
      </c>
      <c r="H32" s="209">
        <v>3.4169009542231499</v>
      </c>
      <c r="I32" s="206"/>
      <c r="J32" s="208">
        <v>1073391.67210905</v>
      </c>
      <c r="K32" s="209">
        <v>4.0702917130272498</v>
      </c>
    </row>
    <row r="33" spans="2:11" ht="15" customHeight="1">
      <c r="B33" s="115" t="s">
        <v>65</v>
      </c>
      <c r="C33" s="15"/>
      <c r="D33" s="208">
        <v>987883.80740358005</v>
      </c>
      <c r="E33" s="209">
        <v>1.74882025475444</v>
      </c>
      <c r="F33" s="210"/>
      <c r="G33" s="208">
        <v>639726.73920497904</v>
      </c>
      <c r="H33" s="209">
        <v>2.1298558075251601</v>
      </c>
      <c r="I33" s="206"/>
      <c r="J33" s="208">
        <v>266829.677018688</v>
      </c>
      <c r="K33" s="209">
        <v>1.00900828003865</v>
      </c>
    </row>
    <row r="34" spans="2:11" ht="6.95" customHeight="1">
      <c r="B34" s="1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3"/>
      <c r="C35" s="13"/>
      <c r="E35" s="59"/>
      <c r="F35" s="59"/>
    </row>
    <row r="36" spans="2:11" ht="12" customHeight="1">
      <c r="B36" s="247" t="s">
        <v>77</v>
      </c>
      <c r="C36" s="247"/>
      <c r="D36" s="247"/>
      <c r="E36" s="247"/>
      <c r="F36" s="247"/>
      <c r="G36" s="247"/>
    </row>
  </sheetData>
  <mergeCells count="7">
    <mergeCell ref="B36:G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18C0888C-0B7E-4E1C-8CF9-74B57B23A9CC}"/>
  </hyperlink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3B2-02AF-4592-82E0-396715C2DB48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9</v>
      </c>
      <c r="C5" s="101"/>
      <c r="D5" s="151"/>
      <c r="E5" s="102"/>
      <c r="F5" s="102"/>
      <c r="G5" s="151"/>
      <c r="H5" s="97"/>
      <c r="J5" s="155"/>
      <c r="K5" s="99" t="s">
        <v>22</v>
      </c>
    </row>
    <row r="6" spans="2:17" s="98" customFormat="1" ht="6.95" customHeight="1">
      <c r="D6" s="162"/>
      <c r="E6" s="100"/>
      <c r="F6" s="100"/>
      <c r="G6" s="162"/>
      <c r="H6" s="100"/>
      <c r="J6" s="155"/>
    </row>
    <row r="7" spans="2:17" ht="15" customHeight="1">
      <c r="B7" s="248" t="s">
        <v>95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19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</row>
    <row r="12" spans="2:17" ht="6.95" customHeight="1">
      <c r="B12" s="18"/>
      <c r="C12" s="19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10</v>
      </c>
      <c r="C13" s="22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22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20"/>
      <c r="D15" s="208">
        <v>65962837.4503465</v>
      </c>
      <c r="E15" s="209">
        <v>76.823888913160602</v>
      </c>
      <c r="F15" s="210"/>
      <c r="G15" s="208">
        <v>35209966.511629701</v>
      </c>
      <c r="H15" s="209">
        <v>77.000290142775697</v>
      </c>
      <c r="I15" s="206"/>
      <c r="J15" s="208">
        <v>29927764.343512699</v>
      </c>
      <c r="K15" s="209">
        <v>75.935101709753596</v>
      </c>
    </row>
    <row r="16" spans="2:17" ht="15" customHeight="1">
      <c r="B16" s="115" t="s">
        <v>35</v>
      </c>
      <c r="C16" s="20"/>
      <c r="D16" s="208">
        <v>15709438.825350201</v>
      </c>
      <c r="E16" s="209">
        <v>18.2119490982749</v>
      </c>
      <c r="F16" s="210"/>
      <c r="G16" s="208">
        <v>7852140.1632899102</v>
      </c>
      <c r="H16" s="209">
        <v>16.998681804225999</v>
      </c>
      <c r="I16" s="206"/>
      <c r="J16" s="208">
        <v>7581500.6628278</v>
      </c>
      <c r="K16" s="209">
        <v>18.974422920505301</v>
      </c>
    </row>
    <row r="17" spans="2:11" ht="15" customHeight="1">
      <c r="B17" s="115" t="s">
        <v>65</v>
      </c>
      <c r="C17" s="20"/>
      <c r="D17" s="208">
        <v>2218370.4754846902</v>
      </c>
      <c r="E17" s="209">
        <v>2.5611647979252101</v>
      </c>
      <c r="F17" s="210"/>
      <c r="G17" s="208">
        <v>1361992.0924503601</v>
      </c>
      <c r="H17" s="209">
        <v>2.9313173270316901</v>
      </c>
      <c r="I17" s="206"/>
      <c r="J17" s="208">
        <v>750489.56791264995</v>
      </c>
      <c r="K17" s="209">
        <v>1.8744577570606</v>
      </c>
    </row>
    <row r="18" spans="2:11" ht="6.95" customHeight="1">
      <c r="B18" s="124"/>
      <c r="C18" s="24"/>
      <c r="D18" s="217"/>
      <c r="E18" s="217"/>
      <c r="F18" s="219"/>
      <c r="G18" s="217"/>
      <c r="H18" s="217"/>
      <c r="I18" s="217"/>
      <c r="J18" s="217"/>
      <c r="K18" s="217"/>
    </row>
    <row r="19" spans="2:11" ht="15" customHeight="1">
      <c r="B19" s="174" t="s">
        <v>0</v>
      </c>
      <c r="C19" s="20"/>
      <c r="D19" s="202">
        <v>27919808.370060898</v>
      </c>
      <c r="E19" s="203">
        <v>100</v>
      </c>
      <c r="F19" s="204"/>
      <c r="G19" s="202">
        <v>15147712.0036007</v>
      </c>
      <c r="H19" s="203">
        <v>100</v>
      </c>
      <c r="I19" s="205"/>
      <c r="J19" s="202">
        <v>12466861.324348001</v>
      </c>
      <c r="K19" s="203">
        <v>100</v>
      </c>
    </row>
    <row r="20" spans="2:11" ht="6.95" customHeight="1">
      <c r="B20" s="18"/>
      <c r="C20" s="70"/>
      <c r="D20" s="208"/>
      <c r="E20" s="209"/>
      <c r="F20" s="204"/>
      <c r="G20" s="208"/>
      <c r="H20" s="209"/>
      <c r="I20" s="205"/>
      <c r="J20" s="208"/>
      <c r="K20" s="209"/>
    </row>
    <row r="21" spans="2:11" ht="30" customHeight="1">
      <c r="B21" s="171" t="s">
        <v>10</v>
      </c>
      <c r="C21" s="22"/>
      <c r="D21" s="202"/>
      <c r="E21" s="203"/>
      <c r="F21" s="204"/>
      <c r="G21" s="202"/>
      <c r="H21" s="203"/>
      <c r="I21" s="205"/>
      <c r="J21" s="202"/>
      <c r="K21" s="203"/>
    </row>
    <row r="22" spans="2:11" ht="6.95" customHeight="1">
      <c r="B22" s="171"/>
      <c r="C22" s="22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20"/>
      <c r="D23" s="208">
        <v>20159745.227672402</v>
      </c>
      <c r="E23" s="209">
        <v>70.779222794081804</v>
      </c>
      <c r="F23" s="210"/>
      <c r="G23" s="208">
        <v>11005361.3988446</v>
      </c>
      <c r="H23" s="209">
        <v>70.790705551297805</v>
      </c>
      <c r="I23" s="206"/>
      <c r="J23" s="208">
        <v>8834069.0326975491</v>
      </c>
      <c r="K23" s="209">
        <v>69.265236024726306</v>
      </c>
    </row>
    <row r="24" spans="2:11" ht="15" customHeight="1">
      <c r="B24" s="115" t="s">
        <v>35</v>
      </c>
      <c r="C24" s="20"/>
      <c r="D24" s="208">
        <v>6013211.2166402601</v>
      </c>
      <c r="E24" s="209">
        <v>20.681036757545002</v>
      </c>
      <c r="F24" s="210"/>
      <c r="G24" s="208">
        <v>3020939.3959873999</v>
      </c>
      <c r="H24" s="209">
        <v>19.012512100178899</v>
      </c>
      <c r="I24" s="206"/>
      <c r="J24" s="208">
        <v>2837003.11733096</v>
      </c>
      <c r="K24" s="209">
        <v>21.3140750636903</v>
      </c>
    </row>
    <row r="25" spans="2:11" ht="15" customHeight="1">
      <c r="B25" s="115" t="s">
        <v>65</v>
      </c>
      <c r="C25" s="20"/>
      <c r="D25" s="208">
        <v>1191827.33804354</v>
      </c>
      <c r="E25" s="209">
        <v>4.0028072077475798</v>
      </c>
      <c r="F25" s="210"/>
      <c r="G25" s="208">
        <v>703230.51884831896</v>
      </c>
      <c r="H25" s="209">
        <v>4.3343342524638002</v>
      </c>
      <c r="I25" s="206"/>
      <c r="J25" s="208">
        <v>423920.51403383102</v>
      </c>
      <c r="K25" s="209">
        <v>3.16701572020416</v>
      </c>
    </row>
    <row r="26" spans="2:11" ht="6.95" customHeight="1">
      <c r="B26" s="115"/>
      <c r="C26" s="22"/>
      <c r="D26" s="217"/>
      <c r="E26" s="217"/>
      <c r="F26" s="219"/>
      <c r="G26" s="217"/>
      <c r="H26" s="217"/>
      <c r="I26" s="217"/>
      <c r="J26" s="217"/>
      <c r="K26" s="217"/>
    </row>
    <row r="27" spans="2:11" ht="15" customHeight="1">
      <c r="B27" s="174" t="s">
        <v>1</v>
      </c>
      <c r="C27" s="20"/>
      <c r="D27" s="202">
        <v>54724471.783623897</v>
      </c>
      <c r="E27" s="203">
        <v>100</v>
      </c>
      <c r="F27" s="204"/>
      <c r="G27" s="202">
        <v>28733115.775626201</v>
      </c>
      <c r="H27" s="203">
        <v>100</v>
      </c>
      <c r="I27" s="205"/>
      <c r="J27" s="202">
        <v>25428611.494824</v>
      </c>
      <c r="K27" s="203">
        <v>100</v>
      </c>
    </row>
    <row r="28" spans="2:11" ht="6.95" customHeight="1">
      <c r="B28" s="18"/>
      <c r="C28" s="70"/>
      <c r="D28" s="208"/>
      <c r="E28" s="209"/>
      <c r="F28" s="204"/>
      <c r="G28" s="208"/>
      <c r="H28" s="209"/>
      <c r="I28" s="205"/>
      <c r="J28" s="208"/>
      <c r="K28" s="209"/>
    </row>
    <row r="29" spans="2:11" s="71" customFormat="1" ht="30" customHeight="1">
      <c r="B29" s="171" t="s">
        <v>10</v>
      </c>
      <c r="C29" s="72"/>
      <c r="D29" s="202"/>
      <c r="E29" s="203"/>
      <c r="F29" s="204"/>
      <c r="G29" s="202"/>
      <c r="H29" s="203"/>
      <c r="I29" s="205"/>
      <c r="J29" s="202"/>
      <c r="K29" s="203"/>
    </row>
    <row r="30" spans="2:11" s="71" customFormat="1" ht="6.95" customHeight="1">
      <c r="B30" s="171"/>
      <c r="C30" s="72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115" t="s">
        <v>34</v>
      </c>
      <c r="C31" s="20"/>
      <c r="D31" s="208">
        <v>43977111.511568502</v>
      </c>
      <c r="E31" s="209">
        <v>79.391153150109304</v>
      </c>
      <c r="F31" s="210"/>
      <c r="G31" s="208">
        <v>23189187.489070501</v>
      </c>
      <c r="H31" s="209">
        <v>79.581697734602102</v>
      </c>
      <c r="I31" s="206"/>
      <c r="J31" s="208">
        <v>20267015.237421799</v>
      </c>
      <c r="K31" s="209">
        <v>78.447940464885903</v>
      </c>
    </row>
    <row r="32" spans="2:11" ht="15" customHeight="1">
      <c r="B32" s="115" t="s">
        <v>35</v>
      </c>
      <c r="C32" s="20"/>
      <c r="D32" s="208">
        <v>9176543.2139581405</v>
      </c>
      <c r="E32" s="209">
        <v>16.3400594484858</v>
      </c>
      <c r="F32" s="210"/>
      <c r="G32" s="208">
        <v>4525786.6588556701</v>
      </c>
      <c r="H32" s="209">
        <v>15.2042053059137</v>
      </c>
      <c r="I32" s="206"/>
      <c r="J32" s="208">
        <v>4452068.4564795699</v>
      </c>
      <c r="K32" s="209">
        <v>16.9384335663696</v>
      </c>
    </row>
    <row r="33" spans="2:11" ht="15" customHeight="1">
      <c r="B33" s="115" t="s">
        <v>65</v>
      </c>
      <c r="C33" s="20"/>
      <c r="D33" s="208">
        <v>879956.55268891098</v>
      </c>
      <c r="E33" s="209">
        <v>1.5580797812307901</v>
      </c>
      <c r="F33" s="210"/>
      <c r="G33" s="208">
        <v>543689.32754660095</v>
      </c>
      <c r="H33" s="209">
        <v>1.8103783527861801</v>
      </c>
      <c r="I33" s="206"/>
      <c r="J33" s="208">
        <v>251281.76526068099</v>
      </c>
      <c r="K33" s="209">
        <v>0.94863098673454205</v>
      </c>
    </row>
    <row r="34" spans="2:11" ht="6.95" customHeight="1">
      <c r="B34" s="17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3"/>
      <c r="C35" s="13"/>
      <c r="E35" s="59"/>
      <c r="F35" s="59"/>
    </row>
    <row r="36" spans="2:11" ht="12" customHeight="1">
      <c r="B36" s="247" t="s">
        <v>77</v>
      </c>
      <c r="C36" s="247"/>
      <c r="D36" s="247"/>
      <c r="E36" s="247"/>
      <c r="F36" s="247"/>
      <c r="G36" s="247"/>
    </row>
    <row r="37" spans="2:11" ht="15" customHeight="1"/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AB5D0718-18DC-40BD-98A1-A746F9EF5654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69E44-FFF0-49E8-8834-201F4328AD2E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115</v>
      </c>
      <c r="C5" s="101"/>
      <c r="D5" s="151"/>
      <c r="E5" s="102"/>
      <c r="F5" s="102"/>
      <c r="G5" s="151"/>
      <c r="H5" s="97"/>
      <c r="J5" s="155"/>
      <c r="K5" s="99" t="s">
        <v>23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96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25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</row>
    <row r="12" spans="2:17" ht="6.95" customHeight="1">
      <c r="B12" s="18"/>
      <c r="C12" s="25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87</v>
      </c>
      <c r="C13" s="21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21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34</v>
      </c>
      <c r="C15" s="27"/>
      <c r="D15" s="208">
        <v>59792295.181201503</v>
      </c>
      <c r="E15" s="209">
        <v>69.651981421000499</v>
      </c>
      <c r="F15" s="210"/>
      <c r="G15" s="208">
        <v>30913919.4217037</v>
      </c>
      <c r="H15" s="209">
        <v>67.444333267166598</v>
      </c>
      <c r="I15" s="206"/>
      <c r="J15" s="208">
        <v>28173195.6475784</v>
      </c>
      <c r="K15" s="209">
        <v>71.258309081116707</v>
      </c>
    </row>
    <row r="16" spans="2:17" ht="15" customHeight="1">
      <c r="B16" s="115" t="s">
        <v>35</v>
      </c>
      <c r="C16" s="26"/>
      <c r="D16" s="208">
        <v>21133885.116868101</v>
      </c>
      <c r="E16" s="209">
        <v>24.4917665112878</v>
      </c>
      <c r="F16" s="210"/>
      <c r="G16" s="208">
        <v>11881219.951053699</v>
      </c>
      <c r="H16" s="209">
        <v>25.772580846999801</v>
      </c>
      <c r="I16" s="206"/>
      <c r="J16" s="208">
        <v>8817191.8155564908</v>
      </c>
      <c r="K16" s="209">
        <v>22.142398117286302</v>
      </c>
    </row>
    <row r="17" spans="2:11" ht="15" customHeight="1">
      <c r="B17" s="115" t="s">
        <v>65</v>
      </c>
      <c r="C17" s="26"/>
      <c r="D17" s="208">
        <v>2900419.61737066</v>
      </c>
      <c r="E17" s="209">
        <v>3.3496178842007098</v>
      </c>
      <c r="F17" s="210"/>
      <c r="G17" s="208">
        <v>1573955.5972559799</v>
      </c>
      <c r="H17" s="209">
        <v>3.3925349006231</v>
      </c>
      <c r="I17" s="206"/>
      <c r="J17" s="208">
        <v>1156902.7952522</v>
      </c>
      <c r="K17" s="209">
        <v>2.8947175606224</v>
      </c>
    </row>
    <row r="18" spans="2:11" ht="6.95" customHeight="1">
      <c r="B18" s="23"/>
      <c r="C18" s="23"/>
      <c r="D18" s="206"/>
      <c r="E18" s="206"/>
      <c r="F18" s="220"/>
      <c r="G18" s="206"/>
      <c r="H18" s="206"/>
      <c r="I18" s="206"/>
      <c r="J18" s="217"/>
      <c r="K18" s="217"/>
    </row>
    <row r="19" spans="2:11" ht="15" customHeight="1">
      <c r="B19" s="174" t="s">
        <v>0</v>
      </c>
      <c r="C19" s="26"/>
      <c r="D19" s="202">
        <v>27919808.370060898</v>
      </c>
      <c r="E19" s="203">
        <v>100</v>
      </c>
      <c r="F19" s="204"/>
      <c r="G19" s="202">
        <v>15147712.0036007</v>
      </c>
      <c r="H19" s="203">
        <v>100</v>
      </c>
      <c r="I19" s="205"/>
      <c r="J19" s="202">
        <v>12466861.324348001</v>
      </c>
      <c r="K19" s="203">
        <v>100</v>
      </c>
    </row>
    <row r="20" spans="2:11" ht="6.95" customHeight="1">
      <c r="B20" s="23"/>
      <c r="C20" s="23"/>
      <c r="D20" s="208"/>
      <c r="E20" s="209"/>
      <c r="F20" s="204"/>
      <c r="G20" s="208"/>
      <c r="H20" s="209"/>
      <c r="I20" s="205"/>
      <c r="J20" s="208"/>
      <c r="K20" s="209"/>
    </row>
    <row r="21" spans="2:11" ht="30" customHeight="1">
      <c r="B21" s="171" t="s">
        <v>63</v>
      </c>
      <c r="C21" s="21"/>
      <c r="D21" s="202"/>
      <c r="E21" s="203"/>
      <c r="F21" s="204"/>
      <c r="G21" s="202"/>
      <c r="H21" s="203"/>
      <c r="I21" s="205"/>
      <c r="J21" s="202"/>
      <c r="K21" s="203"/>
    </row>
    <row r="22" spans="2:11" ht="6.95" customHeight="1">
      <c r="B22" s="171"/>
      <c r="C22" s="21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115" t="s">
        <v>34</v>
      </c>
      <c r="C23" s="26"/>
      <c r="D23" s="208">
        <v>18054738.981316902</v>
      </c>
      <c r="E23" s="209">
        <v>63.257372033796699</v>
      </c>
      <c r="F23" s="210"/>
      <c r="G23" s="208">
        <v>9646651.1915026493</v>
      </c>
      <c r="H23" s="209">
        <v>61.999024011616697</v>
      </c>
      <c r="I23" s="206"/>
      <c r="J23" s="208">
        <v>8131817.3528622901</v>
      </c>
      <c r="K23" s="209">
        <v>63.344554166370003</v>
      </c>
    </row>
    <row r="24" spans="2:11" ht="15" customHeight="1">
      <c r="B24" s="115" t="s">
        <v>35</v>
      </c>
      <c r="C24" s="26"/>
      <c r="D24" s="208">
        <v>7784217.2664359398</v>
      </c>
      <c r="E24" s="209">
        <v>26.8431811791773</v>
      </c>
      <c r="F24" s="210"/>
      <c r="G24" s="208">
        <v>4377002.6932918997</v>
      </c>
      <c r="H24" s="209">
        <v>27.658636199437201</v>
      </c>
      <c r="I24" s="206"/>
      <c r="J24" s="208">
        <v>3222067.82750167</v>
      </c>
      <c r="K24" s="209">
        <v>24.4374920656109</v>
      </c>
    </row>
    <row r="25" spans="2:11" ht="15" customHeight="1">
      <c r="B25" s="115" t="s">
        <v>65</v>
      </c>
      <c r="C25" s="26"/>
      <c r="D25" s="208">
        <v>1533668.43888552</v>
      </c>
      <c r="E25" s="209">
        <v>5.1677282540287903</v>
      </c>
      <c r="F25" s="210"/>
      <c r="G25" s="208">
        <v>692378.10033776099</v>
      </c>
      <c r="H25" s="209">
        <v>4.2148660314887403</v>
      </c>
      <c r="I25" s="206"/>
      <c r="J25" s="208">
        <v>745242.91752706899</v>
      </c>
      <c r="K25" s="209">
        <v>5.6523975182696402</v>
      </c>
    </row>
    <row r="26" spans="2:11" ht="6.95" customHeight="1">
      <c r="B26" s="21"/>
      <c r="C26" s="21"/>
      <c r="D26" s="206"/>
      <c r="E26" s="206"/>
      <c r="F26" s="220"/>
      <c r="G26" s="206"/>
      <c r="H26" s="206"/>
      <c r="I26" s="206"/>
      <c r="J26" s="217"/>
      <c r="K26" s="217"/>
    </row>
    <row r="27" spans="2:11" ht="15" customHeight="1">
      <c r="B27" s="174" t="s">
        <v>1</v>
      </c>
      <c r="C27" s="26"/>
      <c r="D27" s="202">
        <v>54724471.783623897</v>
      </c>
      <c r="E27" s="203">
        <v>100</v>
      </c>
      <c r="F27" s="204"/>
      <c r="G27" s="202">
        <v>28733115.775626201</v>
      </c>
      <c r="H27" s="203">
        <v>100</v>
      </c>
      <c r="I27" s="205"/>
      <c r="J27" s="202">
        <v>25428611.494824</v>
      </c>
      <c r="K27" s="203">
        <v>100</v>
      </c>
    </row>
    <row r="28" spans="2:11" ht="6.95" customHeight="1">
      <c r="B28" s="18"/>
      <c r="C28" s="73"/>
      <c r="D28" s="208"/>
      <c r="E28" s="209"/>
      <c r="F28" s="204"/>
      <c r="G28" s="208"/>
      <c r="H28" s="209"/>
      <c r="I28" s="205"/>
      <c r="J28" s="208"/>
      <c r="K28" s="209"/>
    </row>
    <row r="29" spans="2:11" ht="30" customHeight="1">
      <c r="B29" s="171" t="s">
        <v>63</v>
      </c>
      <c r="C29" s="21"/>
      <c r="D29" s="202"/>
      <c r="E29" s="203"/>
      <c r="F29" s="204"/>
      <c r="G29" s="202"/>
      <c r="H29" s="203"/>
      <c r="I29" s="205"/>
      <c r="J29" s="202"/>
      <c r="K29" s="203"/>
    </row>
    <row r="30" spans="2:11" ht="6.95" customHeight="1">
      <c r="B30" s="140"/>
      <c r="C30" s="21"/>
      <c r="D30" s="208"/>
      <c r="E30" s="209"/>
      <c r="F30" s="210"/>
      <c r="G30" s="208"/>
      <c r="H30" s="209"/>
      <c r="I30" s="206"/>
      <c r="J30" s="208"/>
      <c r="K30" s="209"/>
    </row>
    <row r="31" spans="2:11" s="74" customFormat="1" ht="15" customHeight="1">
      <c r="B31" s="115" t="s">
        <v>34</v>
      </c>
      <c r="C31" s="75"/>
      <c r="D31" s="208">
        <v>40111860.4246324</v>
      </c>
      <c r="E31" s="209">
        <v>72.393953756400705</v>
      </c>
      <c r="F31" s="210"/>
      <c r="G31" s="208">
        <v>20368677.7470362</v>
      </c>
      <c r="H31" s="209">
        <v>69.479156589745301</v>
      </c>
      <c r="I31" s="206"/>
      <c r="J31" s="208">
        <v>19280510.649039399</v>
      </c>
      <c r="K31" s="209">
        <v>74.376221104759395</v>
      </c>
    </row>
    <row r="32" spans="2:11" s="74" customFormat="1" ht="15" customHeight="1">
      <c r="B32" s="115" t="s">
        <v>35</v>
      </c>
      <c r="C32" s="75"/>
      <c r="D32" s="208">
        <v>12699938.770987</v>
      </c>
      <c r="E32" s="209">
        <v>22.667238769587101</v>
      </c>
      <c r="F32" s="210"/>
      <c r="G32" s="208">
        <v>7057417.8326233895</v>
      </c>
      <c r="H32" s="209">
        <v>23.8728234918824</v>
      </c>
      <c r="I32" s="206"/>
      <c r="J32" s="208">
        <v>5264749.70672209</v>
      </c>
      <c r="K32" s="209">
        <v>20.081556189642001</v>
      </c>
    </row>
    <row r="33" spans="2:11" s="74" customFormat="1" ht="15" customHeight="1">
      <c r="B33" s="115" t="s">
        <v>65</v>
      </c>
      <c r="C33" s="75"/>
      <c r="D33" s="208">
        <v>1193787.1879362401</v>
      </c>
      <c r="E33" s="209">
        <v>2.1103258977413102</v>
      </c>
      <c r="F33" s="210"/>
      <c r="G33" s="208">
        <v>770082.856662801</v>
      </c>
      <c r="H33" s="209">
        <v>2.5703647356192501</v>
      </c>
      <c r="I33" s="206"/>
      <c r="J33" s="208">
        <v>284005.69580818003</v>
      </c>
      <c r="K33" s="209">
        <v>1.0745402603713301</v>
      </c>
    </row>
    <row r="34" spans="2:11" ht="6.95" customHeight="1">
      <c r="B34" s="176"/>
      <c r="C34" s="16"/>
      <c r="D34" s="153"/>
      <c r="E34" s="42"/>
      <c r="F34" s="17"/>
      <c r="G34" s="153"/>
      <c r="H34" s="42"/>
      <c r="I34" s="42"/>
      <c r="J34" s="153"/>
      <c r="K34" s="42"/>
    </row>
    <row r="35" spans="2:11" ht="6.95" customHeight="1">
      <c r="B35" s="115"/>
      <c r="C35" s="13"/>
      <c r="E35" s="59"/>
      <c r="F35" s="59"/>
    </row>
    <row r="36" spans="2:11" ht="12" customHeight="1">
      <c r="B36" s="247" t="s">
        <v>77</v>
      </c>
      <c r="C36" s="247"/>
      <c r="D36" s="247"/>
      <c r="E36" s="247"/>
      <c r="F36" s="247"/>
      <c r="G36" s="247"/>
    </row>
    <row r="52" ht="6.95" customHeight="1"/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59A7F756-85DE-4651-A0B1-B9947F8C261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2A2A-505F-4271-8BB4-DE2663C3B38C}">
  <dimension ref="B1:Q144"/>
  <sheetViews>
    <sheetView showGridLines="0" zoomScaleNormal="100" workbookViewId="0"/>
  </sheetViews>
  <sheetFormatPr baseColWidth="10" defaultColWidth="11.42578125" defaultRowHeight="15"/>
  <cols>
    <col min="1" max="1" width="1.7109375" style="43" customWidth="1"/>
    <col min="2" max="2" width="40.7109375" style="43" customWidth="1"/>
    <col min="3" max="3" width="1.7109375" style="43" customWidth="1"/>
    <col min="4" max="4" width="15.7109375" style="158" customWidth="1"/>
    <col min="5" max="5" width="15.7109375" style="43" customWidth="1"/>
    <col min="6" max="6" width="1.7109375" style="43" customWidth="1"/>
    <col min="7" max="7" width="15.7109375" style="158" customWidth="1"/>
    <col min="8" max="8" width="15.7109375" style="43" customWidth="1"/>
    <col min="9" max="9" width="1.7109375" style="43" customWidth="1"/>
    <col min="10" max="10" width="15.7109375" style="158" customWidth="1"/>
    <col min="11" max="11" width="15.7109375" style="43" customWidth="1"/>
    <col min="12" max="16384" width="11.42578125" style="43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116</v>
      </c>
      <c r="C5" s="101"/>
      <c r="D5" s="151"/>
      <c r="E5" s="102"/>
      <c r="F5" s="102"/>
      <c r="G5" s="151"/>
      <c r="H5" s="97"/>
      <c r="J5" s="155"/>
      <c r="K5" s="99" t="s">
        <v>24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customFormat="1" ht="15" customHeight="1">
      <c r="B7" s="248" t="s">
        <v>88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25" t="s">
        <v>6</v>
      </c>
      <c r="C11" s="44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</row>
    <row r="12" spans="2:17" ht="6.95" customHeight="1">
      <c r="B12" s="125"/>
      <c r="C12" s="44"/>
      <c r="D12" s="208"/>
      <c r="E12" s="209"/>
      <c r="F12" s="204"/>
      <c r="G12" s="208"/>
      <c r="H12" s="209"/>
      <c r="I12" s="205"/>
      <c r="J12" s="208"/>
      <c r="K12" s="209"/>
    </row>
    <row r="13" spans="2:17" ht="30" customHeight="1">
      <c r="B13" s="171" t="s">
        <v>97</v>
      </c>
      <c r="C13" s="44"/>
      <c r="D13" s="202"/>
      <c r="E13" s="203"/>
      <c r="F13" s="204"/>
      <c r="G13" s="202"/>
      <c r="H13" s="203"/>
      <c r="I13" s="205"/>
      <c r="J13" s="202"/>
      <c r="K13" s="203"/>
    </row>
    <row r="14" spans="2:17" ht="6.95" customHeight="1">
      <c r="B14" s="171"/>
      <c r="C14" s="44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15" t="s">
        <v>36</v>
      </c>
      <c r="C15" s="44"/>
      <c r="D15" s="208">
        <v>33412408.476298999</v>
      </c>
      <c r="E15" s="209">
        <v>38.752635920581298</v>
      </c>
      <c r="F15" s="210"/>
      <c r="G15" s="208">
        <v>17007223.065435302</v>
      </c>
      <c r="H15" s="209">
        <v>36.994074013853798</v>
      </c>
      <c r="I15" s="206"/>
      <c r="J15" s="208">
        <v>15858501.021526899</v>
      </c>
      <c r="K15" s="209">
        <v>39.911797289204998</v>
      </c>
    </row>
    <row r="16" spans="2:17" ht="15" customHeight="1">
      <c r="B16" s="115" t="s">
        <v>37</v>
      </c>
      <c r="C16" s="126"/>
      <c r="D16" s="208">
        <v>19711774.873447899</v>
      </c>
      <c r="E16" s="209">
        <v>22.909693257693998</v>
      </c>
      <c r="F16" s="210"/>
      <c r="G16" s="208">
        <v>10099817.6008077</v>
      </c>
      <c r="H16" s="209">
        <v>21.935109392091899</v>
      </c>
      <c r="I16" s="206"/>
      <c r="J16" s="208">
        <v>9220884.3927196804</v>
      </c>
      <c r="K16" s="209">
        <v>23.188787153769798</v>
      </c>
    </row>
    <row r="17" spans="2:11" ht="15" customHeight="1">
      <c r="B17" s="115" t="s">
        <v>38</v>
      </c>
      <c r="C17" s="126"/>
      <c r="D17" s="208">
        <v>29834088.6368245</v>
      </c>
      <c r="E17" s="209">
        <v>34.5817431506063</v>
      </c>
      <c r="F17" s="210"/>
      <c r="G17" s="208">
        <v>16663501.188619001</v>
      </c>
      <c r="H17" s="209">
        <v>36.091966204404798</v>
      </c>
      <c r="I17" s="206"/>
      <c r="J17" s="208">
        <v>12677371.5759077</v>
      </c>
      <c r="K17" s="209">
        <v>31.859639257227698</v>
      </c>
    </row>
    <row r="18" spans="2:11" ht="15" customHeight="1">
      <c r="B18" s="115" t="s">
        <v>65</v>
      </c>
      <c r="C18" s="126"/>
      <c r="D18" s="208">
        <v>494404.36460074101</v>
      </c>
      <c r="E18" s="209">
        <v>0.57079871079199296</v>
      </c>
      <c r="F18" s="210"/>
      <c r="G18" s="208">
        <v>320795.692851923</v>
      </c>
      <c r="H18" s="209">
        <v>0.68981293702316604</v>
      </c>
      <c r="I18" s="206"/>
      <c r="J18" s="208">
        <v>135794.60088351701</v>
      </c>
      <c r="K18" s="209">
        <v>0.33739005669773198</v>
      </c>
    </row>
    <row r="19" spans="2:11" ht="6.95" customHeight="1">
      <c r="B19" s="127"/>
      <c r="C19" s="126"/>
      <c r="D19" s="213"/>
      <c r="E19" s="213"/>
      <c r="F19" s="221"/>
      <c r="G19" s="213"/>
      <c r="H19" s="213"/>
      <c r="I19" s="213"/>
      <c r="J19" s="213"/>
      <c r="K19" s="213"/>
    </row>
    <row r="20" spans="2:11" ht="15" customHeight="1">
      <c r="B20" s="171" t="s">
        <v>12</v>
      </c>
      <c r="C20" s="128"/>
      <c r="D20" s="202"/>
      <c r="E20" s="203"/>
      <c r="F20" s="204"/>
      <c r="G20" s="202"/>
      <c r="H20" s="203"/>
      <c r="I20" s="205"/>
      <c r="J20" s="202"/>
      <c r="K20" s="203"/>
    </row>
    <row r="21" spans="2:11" ht="6.95" customHeight="1">
      <c r="B21" s="171"/>
      <c r="C21" s="44"/>
      <c r="D21" s="208"/>
      <c r="E21" s="209"/>
      <c r="F21" s="210"/>
      <c r="G21" s="208"/>
      <c r="H21" s="209"/>
      <c r="I21" s="206"/>
      <c r="J21" s="208"/>
      <c r="K21" s="209"/>
    </row>
    <row r="22" spans="2:11" ht="15" customHeight="1">
      <c r="B22" s="115" t="s">
        <v>36</v>
      </c>
      <c r="C22" s="126"/>
      <c r="D22" s="208">
        <v>38037815.6847376</v>
      </c>
      <c r="E22" s="209">
        <v>44.172256058524901</v>
      </c>
      <c r="F22" s="210"/>
      <c r="G22" s="208">
        <v>19227182.238125902</v>
      </c>
      <c r="H22" s="209">
        <v>41.828299913024601</v>
      </c>
      <c r="I22" s="206"/>
      <c r="J22" s="208">
        <v>18258837.4014589</v>
      </c>
      <c r="K22" s="209">
        <v>46.047625337328597</v>
      </c>
    </row>
    <row r="23" spans="2:11" ht="15" customHeight="1">
      <c r="B23" s="115" t="s">
        <v>37</v>
      </c>
      <c r="C23" s="126"/>
      <c r="D23" s="208">
        <v>26047734.474085901</v>
      </c>
      <c r="E23" s="209">
        <v>30.216550121445898</v>
      </c>
      <c r="F23" s="210"/>
      <c r="G23" s="208">
        <v>14024673.0091311</v>
      </c>
      <c r="H23" s="209">
        <v>30.388976594492199</v>
      </c>
      <c r="I23" s="206"/>
      <c r="J23" s="208">
        <v>11599644.3824054</v>
      </c>
      <c r="K23" s="209">
        <v>29.170657209024</v>
      </c>
    </row>
    <row r="24" spans="2:11" ht="15" customHeight="1">
      <c r="B24" s="115" t="s">
        <v>38</v>
      </c>
      <c r="C24" s="126"/>
      <c r="D24" s="208">
        <v>19122972.094974499</v>
      </c>
      <c r="E24" s="209">
        <v>22.145479630468699</v>
      </c>
      <c r="F24" s="210"/>
      <c r="G24" s="208">
        <v>10784861.6927607</v>
      </c>
      <c r="H24" s="209">
        <v>23.383801634566399</v>
      </c>
      <c r="I24" s="206"/>
      <c r="J24" s="208">
        <v>7952343.11605631</v>
      </c>
      <c r="K24" s="209">
        <v>19.891855420931002</v>
      </c>
    </row>
    <row r="25" spans="2:11" ht="15" customHeight="1">
      <c r="B25" s="115" t="s">
        <v>65</v>
      </c>
      <c r="C25" s="126"/>
      <c r="D25" s="208">
        <v>130471.46551959</v>
      </c>
      <c r="E25" s="209">
        <v>0.15037631855549899</v>
      </c>
      <c r="F25" s="210"/>
      <c r="G25" s="208">
        <v>70937.054691725207</v>
      </c>
      <c r="H25" s="209">
        <v>0.15231594255119599</v>
      </c>
      <c r="I25" s="206"/>
      <c r="J25" s="208">
        <v>36119.7590910699</v>
      </c>
      <c r="K25" s="209">
        <v>8.9892026604029396E-2</v>
      </c>
    </row>
    <row r="26" spans="2:11" ht="6.95" customHeight="1">
      <c r="B26" s="127"/>
      <c r="C26" s="126"/>
      <c r="D26" s="216"/>
      <c r="E26" s="216"/>
      <c r="F26" s="222"/>
      <c r="G26" s="216"/>
      <c r="H26" s="216"/>
      <c r="I26" s="217"/>
      <c r="J26" s="216"/>
      <c r="K26" s="216"/>
    </row>
    <row r="27" spans="2:11" ht="30" customHeight="1">
      <c r="B27" s="171" t="s">
        <v>99</v>
      </c>
      <c r="C27" s="126"/>
      <c r="D27" s="202"/>
      <c r="E27" s="203"/>
      <c r="F27" s="204"/>
      <c r="G27" s="202"/>
      <c r="H27" s="203"/>
      <c r="I27" s="205"/>
      <c r="J27" s="202"/>
      <c r="K27" s="203"/>
    </row>
    <row r="28" spans="2:11" ht="6.95" customHeight="1">
      <c r="B28" s="171"/>
      <c r="C28" s="44"/>
      <c r="D28" s="208"/>
      <c r="E28" s="209"/>
      <c r="F28" s="210"/>
      <c r="G28" s="208"/>
      <c r="H28" s="209"/>
      <c r="I28" s="206"/>
      <c r="J28" s="208"/>
      <c r="K28" s="209"/>
    </row>
    <row r="29" spans="2:11" ht="15" customHeight="1">
      <c r="B29" s="115" t="s">
        <v>36</v>
      </c>
      <c r="C29" s="126"/>
      <c r="D29" s="208">
        <v>39776994.016237997</v>
      </c>
      <c r="E29" s="209">
        <v>46.150033664538498</v>
      </c>
      <c r="F29" s="210"/>
      <c r="G29" s="208">
        <v>21740885.658649798</v>
      </c>
      <c r="H29" s="209">
        <v>47.3152673574752</v>
      </c>
      <c r="I29" s="206"/>
      <c r="J29" s="208">
        <v>17443858.6131455</v>
      </c>
      <c r="K29" s="209">
        <v>43.8715575430112</v>
      </c>
    </row>
    <row r="30" spans="2:11" ht="15" customHeight="1">
      <c r="B30" s="115" t="s">
        <v>37</v>
      </c>
      <c r="C30" s="126"/>
      <c r="D30" s="208">
        <v>20838729.747683998</v>
      </c>
      <c r="E30" s="209">
        <v>24.171639718913699</v>
      </c>
      <c r="F30" s="210"/>
      <c r="G30" s="208">
        <v>11161272.8322291</v>
      </c>
      <c r="H30" s="209">
        <v>24.174523171276999</v>
      </c>
      <c r="I30" s="206"/>
      <c r="J30" s="208">
        <v>9288652.9165067207</v>
      </c>
      <c r="K30" s="209">
        <v>23.323251897721001</v>
      </c>
    </row>
    <row r="31" spans="2:11" ht="15" customHeight="1">
      <c r="B31" s="115" t="s">
        <v>38</v>
      </c>
      <c r="C31" s="126"/>
      <c r="D31" s="208">
        <v>22056949.18567</v>
      </c>
      <c r="E31" s="209">
        <v>25.562419142044899</v>
      </c>
      <c r="F31" s="210"/>
      <c r="G31" s="208">
        <v>10800752.798822301</v>
      </c>
      <c r="H31" s="209">
        <v>23.375762128229301</v>
      </c>
      <c r="I31" s="206"/>
      <c r="J31" s="208">
        <v>10866510.454868799</v>
      </c>
      <c r="K31" s="209">
        <v>27.337349651676899</v>
      </c>
    </row>
    <row r="32" spans="2:11" ht="15" customHeight="1">
      <c r="B32" s="115" t="s">
        <v>65</v>
      </c>
      <c r="C32" s="126"/>
      <c r="D32" s="208">
        <v>519915.24472369498</v>
      </c>
      <c r="E32" s="209">
        <v>0.60165266343151402</v>
      </c>
      <c r="F32" s="210"/>
      <c r="G32" s="208">
        <v>254999.50642972</v>
      </c>
      <c r="H32" s="209">
        <v>0.54806726345772805</v>
      </c>
      <c r="I32" s="206"/>
      <c r="J32" s="208">
        <v>212600.596751223</v>
      </c>
      <c r="K32" s="209">
        <v>0.53113643223412599</v>
      </c>
    </row>
    <row r="33" spans="2:11" ht="6.95" customHeight="1">
      <c r="B33" s="127"/>
      <c r="C33" s="126"/>
      <c r="D33" s="216"/>
      <c r="E33" s="216"/>
      <c r="F33" s="222"/>
      <c r="G33" s="216"/>
      <c r="H33" s="216"/>
      <c r="I33" s="217"/>
      <c r="J33" s="216"/>
      <c r="K33" s="216"/>
    </row>
    <row r="34" spans="2:11" ht="30" customHeight="1">
      <c r="B34" s="171" t="s">
        <v>100</v>
      </c>
      <c r="C34" s="126"/>
      <c r="D34" s="202"/>
      <c r="E34" s="203"/>
      <c r="F34" s="204"/>
      <c r="G34" s="202"/>
      <c r="H34" s="203"/>
      <c r="I34" s="205"/>
      <c r="J34" s="202"/>
      <c r="K34" s="203"/>
    </row>
    <row r="35" spans="2:11" ht="6.95" customHeight="1">
      <c r="B35" s="171"/>
      <c r="C35" s="44"/>
      <c r="D35" s="208"/>
      <c r="E35" s="209"/>
      <c r="F35" s="210"/>
      <c r="G35" s="208"/>
      <c r="H35" s="209"/>
      <c r="I35" s="206"/>
      <c r="J35" s="208"/>
      <c r="K35" s="209"/>
    </row>
    <row r="36" spans="2:11" ht="15" customHeight="1">
      <c r="B36" s="115" t="s">
        <v>36</v>
      </c>
      <c r="C36" s="126"/>
      <c r="D36" s="208">
        <v>33236466.826869801</v>
      </c>
      <c r="E36" s="209">
        <v>38.565602966957201</v>
      </c>
      <c r="F36" s="210"/>
      <c r="G36" s="208">
        <v>16481292.802275401</v>
      </c>
      <c r="H36" s="209">
        <v>35.813695211120802</v>
      </c>
      <c r="I36" s="206"/>
      <c r="J36" s="208">
        <v>16223870.2825944</v>
      </c>
      <c r="K36" s="209">
        <v>40.806001955339497</v>
      </c>
    </row>
    <row r="37" spans="2:11" ht="15" customHeight="1">
      <c r="B37" s="115" t="s">
        <v>37</v>
      </c>
      <c r="C37" s="126"/>
      <c r="D37" s="208">
        <v>26154268.804059599</v>
      </c>
      <c r="E37" s="209">
        <v>30.397757828078198</v>
      </c>
      <c r="F37" s="210"/>
      <c r="G37" s="208">
        <v>13801285.7055123</v>
      </c>
      <c r="H37" s="209">
        <v>29.976037844116199</v>
      </c>
      <c r="I37" s="206"/>
      <c r="J37" s="208">
        <v>11894121.7996889</v>
      </c>
      <c r="K37" s="209">
        <v>29.915739614220499</v>
      </c>
    </row>
    <row r="38" spans="2:11" ht="15" customHeight="1">
      <c r="B38" s="115" t="s">
        <v>38</v>
      </c>
      <c r="C38" s="126"/>
      <c r="D38" s="208">
        <v>23230105.460628401</v>
      </c>
      <c r="E38" s="209">
        <v>26.895429121610199</v>
      </c>
      <c r="F38" s="210"/>
      <c r="G38" s="208">
        <v>13310002.0709021</v>
      </c>
      <c r="H38" s="209">
        <v>28.820524646047701</v>
      </c>
      <c r="I38" s="206"/>
      <c r="J38" s="208">
        <v>9478467.1363257598</v>
      </c>
      <c r="K38" s="209">
        <v>23.804687717475201</v>
      </c>
    </row>
    <row r="39" spans="2:11" ht="15" customHeight="1">
      <c r="B39" s="115" t="s">
        <v>65</v>
      </c>
      <c r="C39" s="126"/>
      <c r="D39" s="208">
        <v>664872.11362253304</v>
      </c>
      <c r="E39" s="209">
        <v>0.76745038061631499</v>
      </c>
      <c r="F39" s="210"/>
      <c r="G39" s="208">
        <v>399601.53236358397</v>
      </c>
      <c r="H39" s="209">
        <v>0.85980711927456599</v>
      </c>
      <c r="I39" s="206"/>
      <c r="J39" s="208">
        <v>199827.28568836901</v>
      </c>
      <c r="K39" s="209">
        <v>0.49869031525963198</v>
      </c>
    </row>
    <row r="40" spans="2:11" ht="6.95" customHeight="1">
      <c r="B40" s="127"/>
      <c r="C40" s="126"/>
      <c r="D40" s="213"/>
      <c r="E40" s="213"/>
      <c r="F40" s="221"/>
      <c r="G40" s="213"/>
      <c r="H40" s="213"/>
      <c r="I40" s="213"/>
      <c r="J40" s="213"/>
      <c r="K40" s="213"/>
    </row>
    <row r="41" spans="2:11" ht="30" customHeight="1">
      <c r="B41" s="171" t="s">
        <v>98</v>
      </c>
      <c r="C41" s="126"/>
      <c r="D41" s="202"/>
      <c r="E41" s="203"/>
      <c r="F41" s="204"/>
      <c r="G41" s="202"/>
      <c r="H41" s="203"/>
      <c r="I41" s="205"/>
      <c r="J41" s="202"/>
      <c r="K41" s="203"/>
    </row>
    <row r="42" spans="2:11" ht="6.95" customHeight="1">
      <c r="B42" s="171"/>
      <c r="C42" s="44"/>
      <c r="D42" s="208"/>
      <c r="E42" s="209"/>
      <c r="F42" s="210"/>
      <c r="G42" s="208"/>
      <c r="H42" s="209"/>
      <c r="I42" s="206"/>
      <c r="J42" s="208"/>
      <c r="K42" s="209"/>
    </row>
    <row r="43" spans="2:11" ht="15" customHeight="1">
      <c r="B43" s="115" t="s">
        <v>36</v>
      </c>
      <c r="C43" s="126"/>
      <c r="D43" s="208">
        <v>35671256.169930898</v>
      </c>
      <c r="E43" s="209">
        <v>41.5132330088922</v>
      </c>
      <c r="F43" s="210"/>
      <c r="G43" s="208">
        <v>17207557.268456299</v>
      </c>
      <c r="H43" s="209">
        <v>37.4118209018133</v>
      </c>
      <c r="I43" s="206"/>
      <c r="J43" s="208">
        <v>17964701.065088101</v>
      </c>
      <c r="K43" s="209">
        <v>45.308754041180897</v>
      </c>
    </row>
    <row r="44" spans="2:11" ht="15" customHeight="1">
      <c r="B44" s="115" t="s">
        <v>37</v>
      </c>
      <c r="C44" s="126"/>
      <c r="D44" s="208">
        <v>23836466.867592402</v>
      </c>
      <c r="E44" s="209">
        <v>27.6337730459617</v>
      </c>
      <c r="F44" s="210"/>
      <c r="G44" s="208">
        <v>13022579.329813</v>
      </c>
      <c r="H44" s="209">
        <v>28.318727526755399</v>
      </c>
      <c r="I44" s="206"/>
      <c r="J44" s="208">
        <v>10402081.1234878</v>
      </c>
      <c r="K44" s="209">
        <v>26.062979971605301</v>
      </c>
    </row>
    <row r="45" spans="2:11" ht="15" customHeight="1">
      <c r="B45" s="115" t="s">
        <v>38</v>
      </c>
      <c r="C45" s="126"/>
      <c r="D45" s="208">
        <v>23656577.707782499</v>
      </c>
      <c r="E45" s="209">
        <v>27.351291476508099</v>
      </c>
      <c r="F45" s="210"/>
      <c r="G45" s="208">
        <v>13717057.310417</v>
      </c>
      <c r="H45" s="209">
        <v>29.630288265366101</v>
      </c>
      <c r="I45" s="206"/>
      <c r="J45" s="208">
        <v>9474648.0992328897</v>
      </c>
      <c r="K45" s="209">
        <v>23.812130397793101</v>
      </c>
    </row>
    <row r="46" spans="2:11" ht="15" customHeight="1">
      <c r="B46" s="115" t="s">
        <v>65</v>
      </c>
      <c r="C46" s="126"/>
      <c r="D46" s="208">
        <v>172146.03493180801</v>
      </c>
      <c r="E46" s="209">
        <v>0.19878485174852201</v>
      </c>
      <c r="F46" s="210"/>
      <c r="G46" s="208">
        <v>109444.106612082</v>
      </c>
      <c r="H46" s="209">
        <v>0.235955442352411</v>
      </c>
      <c r="I46" s="206"/>
      <c r="J46" s="208">
        <v>43613.259139106602</v>
      </c>
      <c r="K46" s="209">
        <v>0.108272266602517</v>
      </c>
    </row>
    <row r="47" spans="2:11" ht="6.95" customHeight="1">
      <c r="B47" s="127"/>
      <c r="C47" s="126"/>
      <c r="D47" s="213"/>
      <c r="E47" s="213"/>
      <c r="F47" s="221"/>
      <c r="G47" s="213"/>
      <c r="H47" s="213"/>
      <c r="I47" s="213"/>
      <c r="J47" s="213"/>
      <c r="K47" s="213"/>
    </row>
    <row r="48" spans="2:11" ht="30" customHeight="1">
      <c r="B48" s="171" t="s">
        <v>89</v>
      </c>
      <c r="C48" s="126"/>
      <c r="D48" s="202"/>
      <c r="E48" s="203"/>
      <c r="F48" s="204"/>
      <c r="G48" s="202"/>
      <c r="H48" s="203"/>
      <c r="I48" s="205"/>
      <c r="J48" s="202"/>
      <c r="K48" s="203"/>
    </row>
    <row r="49" spans="2:11" ht="6.95" customHeight="1">
      <c r="B49" s="171"/>
      <c r="C49" s="44"/>
      <c r="D49" s="208"/>
      <c r="E49" s="209"/>
      <c r="F49" s="210"/>
      <c r="G49" s="208"/>
      <c r="H49" s="209"/>
      <c r="I49" s="206"/>
      <c r="J49" s="208"/>
      <c r="K49" s="209"/>
    </row>
    <row r="50" spans="2:11" ht="15" customHeight="1">
      <c r="B50" s="115" t="s">
        <v>36</v>
      </c>
      <c r="C50" s="126"/>
      <c r="D50" s="208">
        <v>29755727.447304402</v>
      </c>
      <c r="E50" s="209">
        <v>34.5827515827038</v>
      </c>
      <c r="F50" s="210"/>
      <c r="G50" s="208">
        <v>15037011.399999</v>
      </c>
      <c r="H50" s="209">
        <v>32.700110259926397</v>
      </c>
      <c r="I50" s="206"/>
      <c r="J50" s="208">
        <v>14275924.253131101</v>
      </c>
      <c r="K50" s="209">
        <v>35.912526545779201</v>
      </c>
    </row>
    <row r="51" spans="2:11" ht="15" customHeight="1">
      <c r="B51" s="115" t="s">
        <v>37</v>
      </c>
      <c r="C51" s="126"/>
      <c r="D51" s="208">
        <v>23513219.2342638</v>
      </c>
      <c r="E51" s="209">
        <v>27.239452818027399</v>
      </c>
      <c r="F51" s="210"/>
      <c r="G51" s="208">
        <v>12489740.932310101</v>
      </c>
      <c r="H51" s="209">
        <v>27.0840014137246</v>
      </c>
      <c r="I51" s="206"/>
      <c r="J51" s="208">
        <v>10586854.2682686</v>
      </c>
      <c r="K51" s="209">
        <v>26.5310381544504</v>
      </c>
    </row>
    <row r="52" spans="2:11" ht="15" customHeight="1">
      <c r="B52" s="115" t="s">
        <v>38</v>
      </c>
      <c r="C52" s="126"/>
      <c r="D52" s="208">
        <v>29867989.138025202</v>
      </c>
      <c r="E52" s="209">
        <v>34.610811809935299</v>
      </c>
      <c r="F52" s="210"/>
      <c r="G52" s="208">
        <v>16464323.385547301</v>
      </c>
      <c r="H52" s="209">
        <v>35.673779524029896</v>
      </c>
      <c r="I52" s="206"/>
      <c r="J52" s="208">
        <v>12902940.426916501</v>
      </c>
      <c r="K52" s="209">
        <v>32.491608093654499</v>
      </c>
    </row>
    <row r="53" spans="2:11" ht="15" customHeight="1">
      <c r="B53" s="115" t="s">
        <v>65</v>
      </c>
      <c r="C53" s="126"/>
      <c r="D53" s="208">
        <v>141083.190505493</v>
      </c>
      <c r="E53" s="209">
        <v>0.16248631896784599</v>
      </c>
      <c r="F53" s="210"/>
      <c r="G53" s="208">
        <v>69945.016133611702</v>
      </c>
      <c r="H53" s="209">
        <v>0.15031412840696601</v>
      </c>
      <c r="I53" s="206"/>
      <c r="J53" s="208">
        <v>46867.336172322903</v>
      </c>
      <c r="K53" s="209">
        <v>0.11707832893904301</v>
      </c>
    </row>
    <row r="54" spans="2:11" ht="6.95" customHeight="1">
      <c r="B54" s="129"/>
      <c r="C54" s="130"/>
      <c r="D54" s="213"/>
      <c r="E54" s="213"/>
      <c r="F54" s="223"/>
      <c r="G54" s="213"/>
      <c r="H54" s="213"/>
      <c r="I54" s="213"/>
      <c r="J54" s="213"/>
      <c r="K54" s="213"/>
    </row>
    <row r="55" spans="2:11" ht="15" customHeight="1">
      <c r="B55" s="177" t="s">
        <v>0</v>
      </c>
      <c r="C55" s="44"/>
      <c r="D55" s="202">
        <v>27919808.370060898</v>
      </c>
      <c r="E55" s="203">
        <v>100</v>
      </c>
      <c r="F55" s="204"/>
      <c r="G55" s="202">
        <v>15147712.0036007</v>
      </c>
      <c r="H55" s="203">
        <v>100</v>
      </c>
      <c r="I55" s="205"/>
      <c r="J55" s="202">
        <v>12466861.324348001</v>
      </c>
      <c r="K55" s="203">
        <v>100</v>
      </c>
    </row>
    <row r="56" spans="2:11" ht="6.95" customHeight="1">
      <c r="B56" s="125"/>
      <c r="C56" s="44"/>
      <c r="D56" s="208"/>
      <c r="E56" s="209"/>
      <c r="F56" s="204"/>
      <c r="G56" s="208"/>
      <c r="H56" s="209"/>
      <c r="I56" s="205"/>
      <c r="J56" s="208"/>
      <c r="K56" s="209"/>
    </row>
    <row r="57" spans="2:11" ht="30" customHeight="1">
      <c r="B57" s="171" t="s">
        <v>97</v>
      </c>
      <c r="C57" s="44"/>
      <c r="D57" s="202"/>
      <c r="E57" s="203"/>
      <c r="F57" s="204"/>
      <c r="G57" s="202"/>
      <c r="H57" s="203"/>
      <c r="I57" s="205"/>
      <c r="J57" s="202"/>
      <c r="K57" s="203"/>
    </row>
    <row r="58" spans="2:11" ht="6.95" customHeight="1">
      <c r="B58" s="171"/>
      <c r="C58" s="44"/>
      <c r="D58" s="208"/>
      <c r="E58" s="209"/>
      <c r="F58" s="210"/>
      <c r="G58" s="208"/>
      <c r="H58" s="209"/>
      <c r="I58" s="206"/>
      <c r="J58" s="208"/>
      <c r="K58" s="209"/>
    </row>
    <row r="59" spans="2:11" ht="15" customHeight="1">
      <c r="B59" s="115" t="s">
        <v>36</v>
      </c>
      <c r="C59" s="44"/>
      <c r="D59" s="208">
        <v>11987411.9222089</v>
      </c>
      <c r="E59" s="209">
        <v>41.516394438734501</v>
      </c>
      <c r="F59" s="210"/>
      <c r="G59" s="208">
        <v>6312669.4277368197</v>
      </c>
      <c r="H59" s="209">
        <v>40.0706053580546</v>
      </c>
      <c r="I59" s="206"/>
      <c r="J59" s="208">
        <v>5455801.40100268</v>
      </c>
      <c r="K59" s="209">
        <v>42.009733030819802</v>
      </c>
    </row>
    <row r="60" spans="2:11" ht="15" customHeight="1">
      <c r="B60" s="115" t="s">
        <v>37</v>
      </c>
      <c r="C60" s="126"/>
      <c r="D60" s="208">
        <v>5923522.7782810898</v>
      </c>
      <c r="E60" s="209">
        <v>20.598164925709401</v>
      </c>
      <c r="F60" s="210"/>
      <c r="G60" s="208">
        <v>3276686.38991602</v>
      </c>
      <c r="H60" s="209">
        <v>20.812441615440299</v>
      </c>
      <c r="I60" s="206"/>
      <c r="J60" s="208">
        <v>2459439.7538756798</v>
      </c>
      <c r="K60" s="209">
        <v>18.676512229957002</v>
      </c>
    </row>
    <row r="61" spans="2:11" ht="15" customHeight="1">
      <c r="B61" s="115" t="s">
        <v>38</v>
      </c>
      <c r="C61" s="126"/>
      <c r="D61" s="208">
        <v>9009048.5187246501</v>
      </c>
      <c r="E61" s="209">
        <v>31.06511648047</v>
      </c>
      <c r="F61" s="210"/>
      <c r="G61" s="208">
        <v>4818843.21532124</v>
      </c>
      <c r="H61" s="209">
        <v>30.461403998212699</v>
      </c>
      <c r="I61" s="206"/>
      <c r="J61" s="208">
        <v>3965036.22557654</v>
      </c>
      <c r="K61" s="209">
        <v>30.408919856231702</v>
      </c>
    </row>
    <row r="62" spans="2:11" ht="15" customHeight="1">
      <c r="B62" s="115" t="s">
        <v>65</v>
      </c>
      <c r="C62" s="126"/>
      <c r="D62" s="208">
        <v>325918.65145570203</v>
      </c>
      <c r="E62" s="209">
        <v>1.0898459333282</v>
      </c>
      <c r="F62" s="210"/>
      <c r="G62" s="208">
        <v>213158.661150953</v>
      </c>
      <c r="H62" s="209">
        <v>1.30124243814125</v>
      </c>
      <c r="I62" s="206"/>
      <c r="J62" s="208">
        <v>84215.540368481801</v>
      </c>
      <c r="K62" s="209">
        <v>0.61475262654325402</v>
      </c>
    </row>
    <row r="63" spans="2:11" ht="6.95" customHeight="1">
      <c r="B63" s="127"/>
      <c r="C63" s="126"/>
      <c r="D63" s="213"/>
      <c r="E63" s="213"/>
      <c r="F63" s="221"/>
      <c r="G63" s="213"/>
      <c r="H63" s="213"/>
      <c r="I63" s="213"/>
      <c r="J63" s="213"/>
      <c r="K63" s="213"/>
    </row>
    <row r="64" spans="2:11" ht="15" customHeight="1">
      <c r="B64" s="171" t="s">
        <v>12</v>
      </c>
      <c r="C64" s="128"/>
      <c r="D64" s="202"/>
      <c r="E64" s="203"/>
      <c r="F64" s="204"/>
      <c r="G64" s="202"/>
      <c r="H64" s="203"/>
      <c r="I64" s="205"/>
      <c r="J64" s="202"/>
      <c r="K64" s="203"/>
    </row>
    <row r="65" spans="2:11" ht="6.95" customHeight="1">
      <c r="B65" s="171"/>
      <c r="C65" s="44"/>
      <c r="D65" s="208"/>
      <c r="E65" s="209"/>
      <c r="F65" s="210"/>
      <c r="G65" s="208"/>
      <c r="H65" s="209"/>
      <c r="I65" s="206"/>
      <c r="J65" s="208"/>
      <c r="K65" s="209"/>
    </row>
    <row r="66" spans="2:11" ht="15" customHeight="1">
      <c r="B66" s="115" t="s">
        <v>36</v>
      </c>
      <c r="C66" s="126"/>
      <c r="D66" s="208">
        <v>13924849.5734873</v>
      </c>
      <c r="E66" s="209">
        <v>48.095274920456198</v>
      </c>
      <c r="F66" s="210"/>
      <c r="G66" s="208">
        <v>7213591.0832696604</v>
      </c>
      <c r="H66" s="209">
        <v>45.736789113145903</v>
      </c>
      <c r="I66" s="206"/>
      <c r="J66" s="208">
        <v>6471367.3023614297</v>
      </c>
      <c r="K66" s="209">
        <v>49.480823088191102</v>
      </c>
    </row>
    <row r="67" spans="2:11" ht="15" customHeight="1">
      <c r="B67" s="115" t="s">
        <v>37</v>
      </c>
      <c r="C67" s="126"/>
      <c r="D67" s="208">
        <v>7481769.07244677</v>
      </c>
      <c r="E67" s="209">
        <v>25.9279417911991</v>
      </c>
      <c r="F67" s="210"/>
      <c r="G67" s="208">
        <v>4008448.7591928099</v>
      </c>
      <c r="H67" s="209">
        <v>25.244271370796699</v>
      </c>
      <c r="I67" s="206"/>
      <c r="J67" s="208">
        <v>3311260.5652789902</v>
      </c>
      <c r="K67" s="209">
        <v>25.431838251921199</v>
      </c>
    </row>
    <row r="68" spans="2:11" ht="15" customHeight="1">
      <c r="B68" s="115" t="s">
        <v>38</v>
      </c>
      <c r="C68" s="126"/>
      <c r="D68" s="208">
        <v>5674158.0923758401</v>
      </c>
      <c r="E68" s="209">
        <v>19.489839448055399</v>
      </c>
      <c r="F68" s="210"/>
      <c r="G68" s="208">
        <v>3344712.5391625301</v>
      </c>
      <c r="H68" s="209">
        <v>21.205495374630299</v>
      </c>
      <c r="I68" s="206"/>
      <c r="J68" s="208">
        <v>2110863.7961855601</v>
      </c>
      <c r="K68" s="209">
        <v>16.005539255856799</v>
      </c>
    </row>
    <row r="69" spans="2:11" ht="15" customHeight="1">
      <c r="B69" s="115" t="s">
        <v>65</v>
      </c>
      <c r="C69" s="126"/>
      <c r="D69" s="208">
        <v>79861.826135091702</v>
      </c>
      <c r="E69" s="209">
        <v>0.26483699476121603</v>
      </c>
      <c r="F69" s="210"/>
      <c r="G69" s="208">
        <v>41842.300977637002</v>
      </c>
      <c r="H69" s="209">
        <v>0.25248854773101997</v>
      </c>
      <c r="I69" s="206"/>
      <c r="J69" s="208">
        <v>17783.781886674798</v>
      </c>
      <c r="K69" s="209">
        <v>0.13105546873201601</v>
      </c>
    </row>
    <row r="70" spans="2:11" ht="6.95" customHeight="1">
      <c r="B70" s="127"/>
      <c r="C70" s="126"/>
      <c r="D70" s="216"/>
      <c r="E70" s="216"/>
      <c r="F70" s="222"/>
      <c r="G70" s="216"/>
      <c r="H70" s="216"/>
      <c r="I70" s="217"/>
      <c r="J70" s="216"/>
      <c r="K70" s="216"/>
    </row>
    <row r="71" spans="2:11" ht="30" customHeight="1">
      <c r="B71" s="171" t="s">
        <v>99</v>
      </c>
      <c r="C71" s="126"/>
      <c r="D71" s="202"/>
      <c r="E71" s="203"/>
      <c r="F71" s="204"/>
      <c r="G71" s="202"/>
      <c r="H71" s="203"/>
      <c r="I71" s="205"/>
      <c r="J71" s="202"/>
      <c r="K71" s="203"/>
    </row>
    <row r="72" spans="2:11" ht="6.95" customHeight="1">
      <c r="B72" s="171"/>
      <c r="C72" s="44"/>
      <c r="D72" s="208"/>
      <c r="E72" s="209"/>
      <c r="F72" s="210"/>
      <c r="G72" s="208"/>
      <c r="H72" s="209"/>
      <c r="I72" s="206"/>
      <c r="J72" s="208"/>
      <c r="K72" s="209"/>
    </row>
    <row r="73" spans="2:11" ht="15" customHeight="1">
      <c r="B73" s="115" t="s">
        <v>36</v>
      </c>
      <c r="C73" s="126"/>
      <c r="D73" s="208">
        <v>12307350.3276667</v>
      </c>
      <c r="E73" s="209">
        <v>42.478168106895197</v>
      </c>
      <c r="F73" s="210"/>
      <c r="G73" s="208">
        <v>7098639.9132254599</v>
      </c>
      <c r="H73" s="209">
        <v>44.888643290356498</v>
      </c>
      <c r="I73" s="206"/>
      <c r="J73" s="208">
        <v>4952325.6128241196</v>
      </c>
      <c r="K73" s="209">
        <v>37.9470276880526</v>
      </c>
    </row>
    <row r="74" spans="2:11" ht="15" customHeight="1">
      <c r="B74" s="115" t="s">
        <v>37</v>
      </c>
      <c r="C74" s="126"/>
      <c r="D74" s="208">
        <v>5915846.70115148</v>
      </c>
      <c r="E74" s="209">
        <v>20.4233475453136</v>
      </c>
      <c r="F74" s="210"/>
      <c r="G74" s="208">
        <v>3126340.2082374101</v>
      </c>
      <c r="H74" s="209">
        <v>19.7380851905898</v>
      </c>
      <c r="I74" s="206"/>
      <c r="J74" s="208">
        <v>2597003.5338558699</v>
      </c>
      <c r="K74" s="209">
        <v>19.810772726083101</v>
      </c>
    </row>
    <row r="75" spans="2:11" ht="15" customHeight="1">
      <c r="B75" s="115" t="s">
        <v>38</v>
      </c>
      <c r="C75" s="126"/>
      <c r="D75" s="208">
        <v>8632444.3375460207</v>
      </c>
      <c r="E75" s="209">
        <v>29.827689741997499</v>
      </c>
      <c r="F75" s="210"/>
      <c r="G75" s="208">
        <v>4181092.82738068</v>
      </c>
      <c r="H75" s="209">
        <v>26.509039103162099</v>
      </c>
      <c r="I75" s="206"/>
      <c r="J75" s="208">
        <v>4245339.4914839501</v>
      </c>
      <c r="K75" s="209">
        <v>32.398801220037598</v>
      </c>
    </row>
    <row r="76" spans="2:11" ht="15" customHeight="1">
      <c r="B76" s="115" t="s">
        <v>65</v>
      </c>
      <c r="C76" s="126"/>
      <c r="D76" s="208">
        <v>282111.99207101198</v>
      </c>
      <c r="E76" s="209">
        <v>0.94836826490138304</v>
      </c>
      <c r="F76" s="210"/>
      <c r="G76" s="208">
        <v>158769.07154687701</v>
      </c>
      <c r="H76" s="209">
        <v>0.96753417130768904</v>
      </c>
      <c r="I76" s="206"/>
      <c r="J76" s="208">
        <v>90278.917419131598</v>
      </c>
      <c r="K76" s="209">
        <v>0.66850787786072596</v>
      </c>
    </row>
    <row r="77" spans="2:11" ht="6.95" customHeight="1">
      <c r="B77" s="127"/>
      <c r="C77" s="126"/>
      <c r="D77" s="216"/>
      <c r="E77" s="216"/>
      <c r="F77" s="222"/>
      <c r="G77" s="216"/>
      <c r="H77" s="216"/>
      <c r="I77" s="217"/>
      <c r="J77" s="216"/>
      <c r="K77" s="216"/>
    </row>
    <row r="78" spans="2:11" ht="30" customHeight="1">
      <c r="B78" s="171" t="s">
        <v>100</v>
      </c>
      <c r="C78" s="126"/>
      <c r="D78" s="202"/>
      <c r="E78" s="203"/>
      <c r="F78" s="204"/>
      <c r="G78" s="202"/>
      <c r="H78" s="203"/>
      <c r="I78" s="205"/>
      <c r="J78" s="202"/>
      <c r="K78" s="203"/>
    </row>
    <row r="79" spans="2:11" ht="6.95" customHeight="1">
      <c r="B79" s="171"/>
      <c r="C79" s="44"/>
      <c r="D79" s="208"/>
      <c r="E79" s="209"/>
      <c r="F79" s="210"/>
      <c r="G79" s="208"/>
      <c r="H79" s="209"/>
      <c r="I79" s="206"/>
      <c r="J79" s="208"/>
      <c r="K79" s="209"/>
    </row>
    <row r="80" spans="2:11" ht="15" customHeight="1">
      <c r="B80" s="115" t="s">
        <v>36</v>
      </c>
      <c r="C80" s="126"/>
      <c r="D80" s="208">
        <v>9431801.1447400898</v>
      </c>
      <c r="E80" s="209">
        <v>32.684400982926199</v>
      </c>
      <c r="F80" s="210"/>
      <c r="G80" s="208">
        <v>4601671.6254542004</v>
      </c>
      <c r="H80" s="209">
        <v>29.084319758960898</v>
      </c>
      <c r="I80" s="206"/>
      <c r="J80" s="208">
        <v>4610294.9124129703</v>
      </c>
      <c r="K80" s="209">
        <v>35.4579062006082</v>
      </c>
    </row>
    <row r="81" spans="2:11" ht="15" customHeight="1">
      <c r="B81" s="115" t="s">
        <v>37</v>
      </c>
      <c r="C81" s="126"/>
      <c r="D81" s="208">
        <v>7896540.6362153199</v>
      </c>
      <c r="E81" s="209">
        <v>27.507976272136101</v>
      </c>
      <c r="F81" s="210"/>
      <c r="G81" s="208">
        <v>4434894.8636271702</v>
      </c>
      <c r="H81" s="209">
        <v>28.139007870535799</v>
      </c>
      <c r="I81" s="206"/>
      <c r="J81" s="208">
        <v>3280823.46192207</v>
      </c>
      <c r="K81" s="209">
        <v>25.238129969095102</v>
      </c>
    </row>
    <row r="82" spans="2:11" ht="15" customHeight="1">
      <c r="B82" s="115" t="s">
        <v>38</v>
      </c>
      <c r="C82" s="126"/>
      <c r="D82" s="208">
        <v>9376870.4180912897</v>
      </c>
      <c r="E82" s="209">
        <v>32.062219468819698</v>
      </c>
      <c r="F82" s="210"/>
      <c r="G82" s="208">
        <v>5234401.7718531601</v>
      </c>
      <c r="H82" s="209">
        <v>33.027982690312498</v>
      </c>
      <c r="I82" s="206"/>
      <c r="J82" s="208">
        <v>3881166.6660671602</v>
      </c>
      <c r="K82" s="209">
        <v>29.347390559324101</v>
      </c>
    </row>
    <row r="83" spans="2:11" ht="15" customHeight="1">
      <c r="B83" s="115" t="s">
        <v>65</v>
      </c>
      <c r="C83" s="126"/>
      <c r="D83" s="208">
        <v>425524.55473932403</v>
      </c>
      <c r="E83" s="209">
        <v>1.4258685983017301</v>
      </c>
      <c r="F83" s="210"/>
      <c r="G83" s="208">
        <v>259909.32199278401</v>
      </c>
      <c r="H83" s="209">
        <v>1.59174392790456</v>
      </c>
      <c r="I83" s="206"/>
      <c r="J83" s="208">
        <v>111697.280095717</v>
      </c>
      <c r="K83" s="209">
        <v>0.82635129539887697</v>
      </c>
    </row>
    <row r="84" spans="2:11" ht="6.95" customHeight="1">
      <c r="B84" s="127"/>
      <c r="C84" s="126"/>
      <c r="D84" s="213"/>
      <c r="E84" s="213"/>
      <c r="F84" s="221"/>
      <c r="G84" s="213"/>
      <c r="H84" s="213"/>
      <c r="I84" s="213"/>
      <c r="J84" s="213"/>
      <c r="K84" s="213"/>
    </row>
    <row r="85" spans="2:11" ht="30" customHeight="1">
      <c r="B85" s="171" t="s">
        <v>98</v>
      </c>
      <c r="C85" s="126"/>
      <c r="D85" s="202"/>
      <c r="E85" s="203"/>
      <c r="F85" s="204"/>
      <c r="G85" s="202"/>
      <c r="H85" s="203"/>
      <c r="I85" s="205"/>
      <c r="J85" s="202"/>
      <c r="K85" s="203"/>
    </row>
    <row r="86" spans="2:11" ht="6.95" customHeight="1">
      <c r="B86" s="171"/>
      <c r="C86" s="44"/>
      <c r="D86" s="208"/>
      <c r="E86" s="209"/>
      <c r="F86" s="210"/>
      <c r="G86" s="208"/>
      <c r="H86" s="209"/>
      <c r="I86" s="206"/>
      <c r="J86" s="208"/>
      <c r="K86" s="209"/>
    </row>
    <row r="87" spans="2:11" ht="15" customHeight="1">
      <c r="B87" s="115" t="s">
        <v>36</v>
      </c>
      <c r="C87" s="126"/>
      <c r="D87" s="208">
        <v>9514087.1448606104</v>
      </c>
      <c r="E87" s="209">
        <v>33.332048988362303</v>
      </c>
      <c r="F87" s="210"/>
      <c r="G87" s="208">
        <v>4724715.5438523702</v>
      </c>
      <c r="H87" s="209">
        <v>30.020316644486002</v>
      </c>
      <c r="I87" s="206"/>
      <c r="J87" s="208">
        <v>4612729.1640062397</v>
      </c>
      <c r="K87" s="209">
        <v>35.799572067518</v>
      </c>
    </row>
    <row r="88" spans="2:11" ht="15" customHeight="1">
      <c r="B88" s="115" t="s">
        <v>37</v>
      </c>
      <c r="C88" s="126"/>
      <c r="D88" s="208">
        <v>7469597.9541398296</v>
      </c>
      <c r="E88" s="209">
        <v>25.6966735720864</v>
      </c>
      <c r="F88" s="210"/>
      <c r="G88" s="208">
        <v>4307732.8712321501</v>
      </c>
      <c r="H88" s="209">
        <v>27.2926921209685</v>
      </c>
      <c r="I88" s="206"/>
      <c r="J88" s="208">
        <v>2962898.7846824802</v>
      </c>
      <c r="K88" s="209">
        <v>22.4730376769514</v>
      </c>
    </row>
    <row r="89" spans="2:11" ht="15" customHeight="1">
      <c r="B89" s="115" t="s">
        <v>38</v>
      </c>
      <c r="C89" s="126"/>
      <c r="D89" s="208">
        <v>10092730.227429399</v>
      </c>
      <c r="E89" s="209">
        <v>34.399243482983202</v>
      </c>
      <c r="F89" s="210"/>
      <c r="G89" s="208">
        <v>5524162.0770461503</v>
      </c>
      <c r="H89" s="209">
        <v>34.7499846652127</v>
      </c>
      <c r="I89" s="206"/>
      <c r="J89" s="208">
        <v>4315576.2375853704</v>
      </c>
      <c r="K89" s="209">
        <v>32.574747005311998</v>
      </c>
    </row>
    <row r="90" spans="2:11" ht="15" customHeight="1">
      <c r="B90" s="115" t="s">
        <v>65</v>
      </c>
      <c r="C90" s="126"/>
      <c r="D90" s="208">
        <v>99528.782100959594</v>
      </c>
      <c r="E90" s="209">
        <v>0.333409172901312</v>
      </c>
      <c r="F90" s="210"/>
      <c r="G90" s="208">
        <v>68496.114512188098</v>
      </c>
      <c r="H90" s="209">
        <v>0.42291384636116702</v>
      </c>
      <c r="I90" s="206"/>
      <c r="J90" s="208">
        <v>15977.201525234201</v>
      </c>
      <c r="K90" s="209">
        <v>0.11554776875714</v>
      </c>
    </row>
    <row r="91" spans="2:11" ht="6.95" customHeight="1">
      <c r="B91" s="127"/>
      <c r="C91" s="126"/>
      <c r="D91" s="213"/>
      <c r="E91" s="213"/>
      <c r="F91" s="221"/>
      <c r="G91" s="213"/>
      <c r="H91" s="213"/>
      <c r="I91" s="213"/>
      <c r="J91" s="213"/>
      <c r="K91" s="213"/>
    </row>
    <row r="92" spans="2:11" ht="30" customHeight="1">
      <c r="B92" s="171" t="s">
        <v>89</v>
      </c>
      <c r="C92" s="126"/>
      <c r="D92" s="202"/>
      <c r="E92" s="203"/>
      <c r="F92" s="204"/>
      <c r="G92" s="202"/>
      <c r="H92" s="203"/>
      <c r="I92" s="205"/>
      <c r="J92" s="202"/>
      <c r="K92" s="203"/>
    </row>
    <row r="93" spans="2:11" ht="6.95" customHeight="1">
      <c r="B93" s="171"/>
      <c r="C93" s="44"/>
      <c r="D93" s="208"/>
      <c r="E93" s="209"/>
      <c r="F93" s="210"/>
      <c r="G93" s="208"/>
      <c r="H93" s="209"/>
      <c r="I93" s="206"/>
      <c r="J93" s="208"/>
      <c r="K93" s="209"/>
    </row>
    <row r="94" spans="2:11" ht="15" customHeight="1">
      <c r="B94" s="115" t="s">
        <v>36</v>
      </c>
      <c r="C94" s="126"/>
      <c r="D94" s="208">
        <v>8454155.4375617802</v>
      </c>
      <c r="E94" s="209">
        <v>29.459419694727401</v>
      </c>
      <c r="F94" s="210"/>
      <c r="G94" s="208">
        <v>4328039.0072898204</v>
      </c>
      <c r="H94" s="209">
        <v>27.523951570278399</v>
      </c>
      <c r="I94" s="206"/>
      <c r="J94" s="208">
        <v>3964253.3011501399</v>
      </c>
      <c r="K94" s="209">
        <v>30.476666763573999</v>
      </c>
    </row>
    <row r="95" spans="2:11" ht="15" customHeight="1">
      <c r="B95" s="115" t="s">
        <v>37</v>
      </c>
      <c r="C95" s="126"/>
      <c r="D95" s="208">
        <v>6585381.0000783298</v>
      </c>
      <c r="E95" s="209">
        <v>22.680083150662199</v>
      </c>
      <c r="F95" s="210"/>
      <c r="G95" s="208">
        <v>3735317.85902014</v>
      </c>
      <c r="H95" s="209">
        <v>23.553738171758301</v>
      </c>
      <c r="I95" s="206"/>
      <c r="J95" s="208">
        <v>2624494.8916448001</v>
      </c>
      <c r="K95" s="209">
        <v>19.8751958415227</v>
      </c>
    </row>
    <row r="96" spans="2:11" ht="15" customHeight="1">
      <c r="B96" s="115" t="s">
        <v>38</v>
      </c>
      <c r="C96" s="126"/>
      <c r="D96" s="208">
        <v>12080849.886120999</v>
      </c>
      <c r="E96" s="209">
        <v>41.552387139197798</v>
      </c>
      <c r="F96" s="210"/>
      <c r="G96" s="208">
        <v>6521228.3770826496</v>
      </c>
      <c r="H96" s="209">
        <v>41.224517609841598</v>
      </c>
      <c r="I96" s="206"/>
      <c r="J96" s="208">
        <v>5267842.4890357796</v>
      </c>
      <c r="K96" s="209">
        <v>40.258456963001699</v>
      </c>
    </row>
    <row r="97" spans="2:11" ht="15" customHeight="1">
      <c r="B97" s="115" t="s">
        <v>65</v>
      </c>
      <c r="C97" s="126"/>
      <c r="D97" s="208">
        <v>78210.924749558893</v>
      </c>
      <c r="E97" s="209">
        <v>0.25764030952886202</v>
      </c>
      <c r="F97" s="210"/>
      <c r="G97" s="208">
        <v>34073.031643784903</v>
      </c>
      <c r="H97" s="209">
        <v>0.20607031281843599</v>
      </c>
      <c r="I97" s="206"/>
      <c r="J97" s="208">
        <v>25177.021574284601</v>
      </c>
      <c r="K97" s="209">
        <v>0.186882603568713</v>
      </c>
    </row>
    <row r="98" spans="2:11" ht="6.95" customHeight="1">
      <c r="B98" s="129"/>
      <c r="C98" s="129"/>
      <c r="D98" s="216"/>
      <c r="E98" s="216"/>
      <c r="F98" s="222"/>
      <c r="G98" s="216"/>
      <c r="H98" s="216"/>
      <c r="I98" s="217"/>
      <c r="J98" s="216"/>
      <c r="K98" s="216"/>
    </row>
    <row r="99" spans="2:11" s="141" customFormat="1" ht="15" customHeight="1">
      <c r="B99" s="177" t="s">
        <v>1</v>
      </c>
      <c r="C99" s="44"/>
      <c r="D99" s="202">
        <v>54724471.783623897</v>
      </c>
      <c r="E99" s="203">
        <v>100</v>
      </c>
      <c r="F99" s="204"/>
      <c r="G99" s="202">
        <v>28733115.775626201</v>
      </c>
      <c r="H99" s="203">
        <v>100</v>
      </c>
      <c r="I99" s="205"/>
      <c r="J99" s="202">
        <v>25428611.494824</v>
      </c>
      <c r="K99" s="203">
        <v>100</v>
      </c>
    </row>
    <row r="100" spans="2:11" ht="6.95" customHeight="1">
      <c r="B100" s="125"/>
      <c r="C100" s="44"/>
      <c r="D100" s="208"/>
      <c r="E100" s="209"/>
      <c r="F100" s="204"/>
      <c r="G100" s="208"/>
      <c r="H100" s="209"/>
      <c r="I100" s="205"/>
      <c r="J100" s="208"/>
      <c r="K100" s="209"/>
    </row>
    <row r="101" spans="2:11" ht="30" customHeight="1">
      <c r="B101" s="171" t="s">
        <v>97</v>
      </c>
      <c r="C101" s="44"/>
      <c r="D101" s="202"/>
      <c r="E101" s="203"/>
      <c r="F101" s="204"/>
      <c r="G101" s="202"/>
      <c r="H101" s="203"/>
      <c r="I101" s="205"/>
      <c r="J101" s="202"/>
      <c r="K101" s="203"/>
    </row>
    <row r="102" spans="2:11" ht="6.95" customHeight="1">
      <c r="B102" s="171"/>
      <c r="C102" s="44"/>
      <c r="D102" s="208"/>
      <c r="E102" s="209"/>
      <c r="F102" s="210"/>
      <c r="G102" s="208"/>
      <c r="H102" s="209"/>
      <c r="I102" s="206"/>
      <c r="J102" s="208"/>
      <c r="K102" s="209"/>
    </row>
    <row r="103" spans="2:11" ht="15" customHeight="1">
      <c r="B103" s="115" t="s">
        <v>36</v>
      </c>
      <c r="C103" s="44"/>
      <c r="D103" s="208">
        <v>20387761.188028201</v>
      </c>
      <c r="E103" s="209">
        <v>36.592199355352101</v>
      </c>
      <c r="F103" s="210"/>
      <c r="G103" s="208">
        <v>10132004.534848601</v>
      </c>
      <c r="H103" s="209">
        <v>34.495033738541899</v>
      </c>
      <c r="I103" s="206"/>
      <c r="J103" s="208">
        <v>9869041.1010890994</v>
      </c>
      <c r="K103" s="209">
        <v>37.795133152570699</v>
      </c>
    </row>
    <row r="104" spans="2:11" ht="15" customHeight="1">
      <c r="B104" s="115" t="s">
        <v>37</v>
      </c>
      <c r="C104" s="126"/>
      <c r="D104" s="208">
        <v>13235728.5537431</v>
      </c>
      <c r="E104" s="209">
        <v>23.5535166368178</v>
      </c>
      <c r="F104" s="210"/>
      <c r="G104" s="208">
        <v>6466037.48209331</v>
      </c>
      <c r="H104" s="209">
        <v>21.769618601915901</v>
      </c>
      <c r="I104" s="206"/>
      <c r="J104" s="208">
        <v>6461223.1657395102</v>
      </c>
      <c r="K104" s="209">
        <v>24.6525130398344</v>
      </c>
    </row>
    <row r="105" spans="2:11" ht="15" customHeight="1">
      <c r="B105" s="115" t="s">
        <v>38</v>
      </c>
      <c r="C105" s="126"/>
      <c r="D105" s="208">
        <v>19993444.884751901</v>
      </c>
      <c r="E105" s="209">
        <v>35.804421886781</v>
      </c>
      <c r="F105" s="210"/>
      <c r="G105" s="208">
        <v>11356842.7323987</v>
      </c>
      <c r="H105" s="209">
        <v>38.332366995931302</v>
      </c>
      <c r="I105" s="206"/>
      <c r="J105" s="208">
        <v>8290263.49002147</v>
      </c>
      <c r="K105" s="209">
        <v>31.643642226276398</v>
      </c>
    </row>
    <row r="106" spans="2:11" ht="15" customHeight="1">
      <c r="B106" s="115" t="s">
        <v>65</v>
      </c>
      <c r="C106" s="126"/>
      <c r="D106" s="208">
        <v>116801.182396619</v>
      </c>
      <c r="E106" s="209">
        <v>0.20583671348712301</v>
      </c>
      <c r="F106" s="210"/>
      <c r="G106" s="208">
        <v>64897.472635646598</v>
      </c>
      <c r="H106" s="209">
        <v>0.21506656523059201</v>
      </c>
      <c r="I106" s="206"/>
      <c r="J106" s="208">
        <v>25754.748328952901</v>
      </c>
      <c r="K106" s="209">
        <v>9.7122390106921905E-2</v>
      </c>
    </row>
    <row r="107" spans="2:11" ht="6.95" customHeight="1">
      <c r="B107" s="127"/>
      <c r="C107" s="126"/>
      <c r="D107" s="213"/>
      <c r="E107" s="213"/>
      <c r="F107" s="221"/>
      <c r="G107" s="213"/>
      <c r="H107" s="213"/>
      <c r="I107" s="213"/>
      <c r="J107" s="213"/>
      <c r="K107" s="213"/>
    </row>
    <row r="108" spans="2:11" ht="15" customHeight="1">
      <c r="B108" s="171" t="s">
        <v>12</v>
      </c>
      <c r="C108" s="128"/>
      <c r="D108" s="202"/>
      <c r="E108" s="203"/>
      <c r="F108" s="204"/>
      <c r="G108" s="202"/>
      <c r="H108" s="203"/>
      <c r="I108" s="205"/>
      <c r="J108" s="202"/>
      <c r="K108" s="203"/>
    </row>
    <row r="109" spans="2:11" ht="6.95" customHeight="1">
      <c r="B109" s="171"/>
      <c r="C109" s="44"/>
      <c r="D109" s="208"/>
      <c r="E109" s="209"/>
      <c r="F109" s="210"/>
      <c r="G109" s="208"/>
      <c r="H109" s="209"/>
      <c r="I109" s="206"/>
      <c r="J109" s="208"/>
      <c r="K109" s="209"/>
    </row>
    <row r="110" spans="2:11" ht="15" customHeight="1">
      <c r="B110" s="115" t="s">
        <v>36</v>
      </c>
      <c r="C110" s="126"/>
      <c r="D110" s="208">
        <v>23055535.729237799</v>
      </c>
      <c r="E110" s="209">
        <v>41.2700466456225</v>
      </c>
      <c r="F110" s="210"/>
      <c r="G110" s="208">
        <v>11385834.306786699</v>
      </c>
      <c r="H110" s="209">
        <v>38.6960880861593</v>
      </c>
      <c r="I110" s="206"/>
      <c r="J110" s="208">
        <v>11250727.953618599</v>
      </c>
      <c r="K110" s="209">
        <v>43.143884734338599</v>
      </c>
    </row>
    <row r="111" spans="2:11" ht="15" customHeight="1">
      <c r="B111" s="115" t="s">
        <v>37</v>
      </c>
      <c r="C111" s="126"/>
      <c r="D111" s="208">
        <v>17786372.014479902</v>
      </c>
      <c r="E111" s="209">
        <v>31.788869300944398</v>
      </c>
      <c r="F111" s="210"/>
      <c r="G111" s="208">
        <v>9597555.7902581897</v>
      </c>
      <c r="H111" s="209">
        <v>32.3633391160404</v>
      </c>
      <c r="I111" s="206"/>
      <c r="J111" s="208">
        <v>7862521.49898085</v>
      </c>
      <c r="K111" s="209">
        <v>30.091627665678299</v>
      </c>
    </row>
    <row r="112" spans="2:11" ht="15" customHeight="1">
      <c r="B112" s="115" t="s">
        <v>38</v>
      </c>
      <c r="C112" s="126"/>
      <c r="D112" s="208">
        <v>12846046.265094301</v>
      </c>
      <c r="E112" s="209">
        <v>22.9568462877053</v>
      </c>
      <c r="F112" s="210"/>
      <c r="G112" s="208">
        <v>7029709.1450679302</v>
      </c>
      <c r="H112" s="209">
        <v>23.7125200142995</v>
      </c>
      <c r="I112" s="206"/>
      <c r="J112" s="208">
        <v>5553609.1533902297</v>
      </c>
      <c r="K112" s="209">
        <v>21.086235635124599</v>
      </c>
    </row>
    <row r="113" spans="2:11" ht="15" customHeight="1">
      <c r="B113" s="115" t="s">
        <v>65</v>
      </c>
      <c r="C113" s="126"/>
      <c r="D113" s="208">
        <v>28132.198486831901</v>
      </c>
      <c r="E113" s="209">
        <v>4.9523228377815198E-2</v>
      </c>
      <c r="F113" s="210"/>
      <c r="G113" s="208">
        <v>10044.9270615819</v>
      </c>
      <c r="H113" s="209">
        <v>3.33912404805718E-2</v>
      </c>
      <c r="I113" s="206"/>
      <c r="J113" s="208">
        <v>6481.2737820980101</v>
      </c>
      <c r="K113" s="209">
        <v>2.4288927903878099E-2</v>
      </c>
    </row>
    <row r="114" spans="2:11" ht="6.95" customHeight="1">
      <c r="B114" s="127"/>
      <c r="C114" s="126"/>
      <c r="D114" s="216"/>
      <c r="E114" s="216"/>
      <c r="F114" s="222"/>
      <c r="G114" s="216"/>
      <c r="H114" s="216"/>
      <c r="I114" s="217"/>
      <c r="J114" s="216"/>
      <c r="K114" s="216"/>
    </row>
    <row r="115" spans="2:11" ht="30" customHeight="1">
      <c r="B115" s="171" t="s">
        <v>99</v>
      </c>
      <c r="C115" s="126"/>
      <c r="D115" s="202"/>
      <c r="E115" s="203"/>
      <c r="F115" s="204"/>
      <c r="G115" s="202"/>
      <c r="H115" s="203"/>
      <c r="I115" s="205"/>
      <c r="J115" s="202"/>
      <c r="K115" s="203"/>
    </row>
    <row r="116" spans="2:11" ht="6.95" customHeight="1">
      <c r="B116" s="171"/>
      <c r="C116" s="44"/>
      <c r="D116" s="208"/>
      <c r="E116" s="209"/>
      <c r="F116" s="210"/>
      <c r="G116" s="208"/>
      <c r="H116" s="209"/>
      <c r="I116" s="206"/>
      <c r="J116" s="208"/>
      <c r="K116" s="209"/>
    </row>
    <row r="117" spans="2:11" ht="15" customHeight="1">
      <c r="B117" s="115" t="s">
        <v>36</v>
      </c>
      <c r="C117" s="126"/>
      <c r="D117" s="208">
        <v>26419028.088923</v>
      </c>
      <c r="E117" s="209">
        <v>47.408481394628197</v>
      </c>
      <c r="F117" s="210"/>
      <c r="G117" s="208">
        <v>14034610.650697</v>
      </c>
      <c r="H117" s="209">
        <v>47.732295169844598</v>
      </c>
      <c r="I117" s="206"/>
      <c r="J117" s="208">
        <v>11976511.5704863</v>
      </c>
      <c r="K117" s="209">
        <v>45.915008181733498</v>
      </c>
    </row>
    <row r="118" spans="2:11" ht="15" customHeight="1">
      <c r="B118" s="115" t="s">
        <v>37</v>
      </c>
      <c r="C118" s="126"/>
      <c r="D118" s="208">
        <v>14298895.681557</v>
      </c>
      <c r="E118" s="209">
        <v>25.459029153769102</v>
      </c>
      <c r="F118" s="210"/>
      <c r="G118" s="208">
        <v>7646284.4159356104</v>
      </c>
      <c r="H118" s="209">
        <v>25.7120786740509</v>
      </c>
      <c r="I118" s="206"/>
      <c r="J118" s="208">
        <v>6352289.31726267</v>
      </c>
      <c r="K118" s="209">
        <v>24.145749768582299</v>
      </c>
    </row>
    <row r="119" spans="2:11" ht="15" customHeight="1">
      <c r="B119" s="115" t="s">
        <v>38</v>
      </c>
      <c r="C119" s="126"/>
      <c r="D119" s="208">
        <v>12680772.672526101</v>
      </c>
      <c r="E119" s="209">
        <v>22.631607100966299</v>
      </c>
      <c r="F119" s="210"/>
      <c r="G119" s="208">
        <v>6191372.0794172799</v>
      </c>
      <c r="H119" s="209">
        <v>20.855725885864398</v>
      </c>
      <c r="I119" s="206"/>
      <c r="J119" s="208">
        <v>6215481.6011136696</v>
      </c>
      <c r="K119" s="209">
        <v>23.780584580696701</v>
      </c>
    </row>
    <row r="120" spans="2:11" ht="15" customHeight="1">
      <c r="B120" s="115" t="s">
        <v>65</v>
      </c>
      <c r="C120" s="126"/>
      <c r="D120" s="208">
        <v>177559.11890169201</v>
      </c>
      <c r="E120" s="209">
        <v>0.31445384416800798</v>
      </c>
      <c r="F120" s="210"/>
      <c r="G120" s="208">
        <v>62285.801207704499</v>
      </c>
      <c r="H120" s="209">
        <v>0.20662358006508799</v>
      </c>
      <c r="I120" s="206"/>
      <c r="J120" s="208">
        <v>82054.274373486405</v>
      </c>
      <c r="K120" s="209">
        <v>0.310875916198878</v>
      </c>
    </row>
    <row r="121" spans="2:11" ht="6.95" customHeight="1">
      <c r="B121" s="127"/>
      <c r="C121" s="126"/>
      <c r="D121" s="216"/>
      <c r="E121" s="216"/>
      <c r="F121" s="222"/>
      <c r="G121" s="216"/>
      <c r="H121" s="216"/>
      <c r="I121" s="217"/>
      <c r="J121" s="216"/>
      <c r="K121" s="216"/>
    </row>
    <row r="122" spans="2:11" ht="30" customHeight="1">
      <c r="B122" s="171" t="s">
        <v>100</v>
      </c>
      <c r="C122" s="126"/>
      <c r="D122" s="202"/>
      <c r="E122" s="203"/>
      <c r="F122" s="204"/>
      <c r="G122" s="202"/>
      <c r="H122" s="203"/>
      <c r="I122" s="205"/>
      <c r="J122" s="202"/>
      <c r="K122" s="203"/>
    </row>
    <row r="123" spans="2:11" ht="6.95" customHeight="1">
      <c r="B123" s="171"/>
      <c r="C123" s="44"/>
      <c r="D123" s="208"/>
      <c r="E123" s="209"/>
      <c r="F123" s="210"/>
      <c r="G123" s="208"/>
      <c r="H123" s="209"/>
      <c r="I123" s="206"/>
      <c r="J123" s="208"/>
      <c r="K123" s="209"/>
    </row>
    <row r="124" spans="2:11" ht="15" customHeight="1">
      <c r="B124" s="115" t="s">
        <v>36</v>
      </c>
      <c r="C124" s="126"/>
      <c r="D124" s="208">
        <v>22905168.8801907</v>
      </c>
      <c r="E124" s="209">
        <v>40.989963388131699</v>
      </c>
      <c r="F124" s="210"/>
      <c r="G124" s="208">
        <v>11368535.221387099</v>
      </c>
      <c r="H124" s="209">
        <v>38.630790934191303</v>
      </c>
      <c r="I124" s="206"/>
      <c r="J124" s="208">
        <v>11140637.328651501</v>
      </c>
      <c r="K124" s="209">
        <v>42.5045628530832</v>
      </c>
    </row>
    <row r="125" spans="2:11" ht="15" customHeight="1">
      <c r="B125" s="115" t="s">
        <v>37</v>
      </c>
      <c r="C125" s="126"/>
      <c r="D125" s="208">
        <v>17487262.324206699</v>
      </c>
      <c r="E125" s="209">
        <v>31.301278759153899</v>
      </c>
      <c r="F125" s="210"/>
      <c r="G125" s="208">
        <v>8912838.6185557004</v>
      </c>
      <c r="H125" s="209">
        <v>30.112831039410199</v>
      </c>
      <c r="I125" s="206"/>
      <c r="J125" s="208">
        <v>8210032.57087008</v>
      </c>
      <c r="K125" s="209">
        <v>31.4113642803805</v>
      </c>
    </row>
    <row r="126" spans="2:11" ht="15" customHeight="1">
      <c r="B126" s="115" t="s">
        <v>38</v>
      </c>
      <c r="C126" s="126"/>
      <c r="D126" s="208">
        <v>13130585.7886017</v>
      </c>
      <c r="E126" s="209">
        <v>23.458626388000301</v>
      </c>
      <c r="F126" s="210"/>
      <c r="G126" s="208">
        <v>7619034.67046363</v>
      </c>
      <c r="H126" s="209">
        <v>25.672543367174701</v>
      </c>
      <c r="I126" s="206"/>
      <c r="J126" s="208">
        <v>5226029.8249717597</v>
      </c>
      <c r="K126" s="209">
        <v>19.974927538169698</v>
      </c>
    </row>
    <row r="127" spans="2:11" ht="15" customHeight="1">
      <c r="B127" s="115" t="s">
        <v>65</v>
      </c>
      <c r="C127" s="126"/>
      <c r="D127" s="208">
        <v>169103.19986173301</v>
      </c>
      <c r="E127" s="209">
        <v>0.298177167522093</v>
      </c>
      <c r="F127" s="210"/>
      <c r="G127" s="208">
        <v>81557.700904337107</v>
      </c>
      <c r="H127" s="209">
        <v>0.27142260139121799</v>
      </c>
      <c r="I127" s="206"/>
      <c r="J127" s="208">
        <v>49956.125517980698</v>
      </c>
      <c r="K127" s="209">
        <v>0.188588221428164</v>
      </c>
    </row>
    <row r="128" spans="2:11" ht="6.95" customHeight="1">
      <c r="B128" s="127"/>
      <c r="C128" s="126"/>
      <c r="D128" s="213"/>
      <c r="E128" s="213"/>
      <c r="F128" s="221"/>
      <c r="G128" s="213"/>
      <c r="H128" s="213"/>
      <c r="I128" s="213"/>
      <c r="J128" s="213"/>
      <c r="K128" s="213"/>
    </row>
    <row r="129" spans="2:11" ht="30" customHeight="1">
      <c r="B129" s="171" t="s">
        <v>98</v>
      </c>
      <c r="C129" s="126"/>
      <c r="D129" s="202"/>
      <c r="E129" s="203"/>
      <c r="F129" s="204"/>
      <c r="G129" s="202"/>
      <c r="H129" s="203"/>
      <c r="I129" s="205"/>
      <c r="J129" s="202"/>
      <c r="K129" s="203"/>
    </row>
    <row r="130" spans="2:11" ht="6.95" customHeight="1">
      <c r="B130" s="171"/>
      <c r="C130" s="44"/>
      <c r="D130" s="208"/>
      <c r="E130" s="209"/>
      <c r="F130" s="210"/>
      <c r="G130" s="208"/>
      <c r="H130" s="209"/>
      <c r="I130" s="206"/>
      <c r="J130" s="208"/>
      <c r="K130" s="209"/>
    </row>
    <row r="131" spans="2:11" ht="15" customHeight="1">
      <c r="B131" s="115" t="s">
        <v>36</v>
      </c>
      <c r="C131" s="126"/>
      <c r="D131" s="208">
        <v>25135929.839015499</v>
      </c>
      <c r="E131" s="209">
        <v>45.066626325300597</v>
      </c>
      <c r="F131" s="210"/>
      <c r="G131" s="208">
        <v>11957385.310825501</v>
      </c>
      <c r="H131" s="209">
        <v>40.5774767207377</v>
      </c>
      <c r="I131" s="206"/>
      <c r="J131" s="208">
        <v>12800290.705052501</v>
      </c>
      <c r="K131" s="209">
        <v>49.070200957399599</v>
      </c>
    </row>
    <row r="132" spans="2:11" ht="15" customHeight="1">
      <c r="B132" s="115" t="s">
        <v>37</v>
      </c>
      <c r="C132" s="126"/>
      <c r="D132" s="208">
        <v>15667969.194435799</v>
      </c>
      <c r="E132" s="209">
        <v>27.975553927051799</v>
      </c>
      <c r="F132" s="210"/>
      <c r="G132" s="208">
        <v>8257110.4956393903</v>
      </c>
      <c r="H132" s="209">
        <v>27.9525768465002</v>
      </c>
      <c r="I132" s="206"/>
      <c r="J132" s="208">
        <v>7101408.2106927801</v>
      </c>
      <c r="K132" s="209">
        <v>27.054413556820499</v>
      </c>
    </row>
    <row r="133" spans="2:11" ht="15" customHeight="1">
      <c r="B133" s="115" t="s">
        <v>38</v>
      </c>
      <c r="C133" s="126"/>
      <c r="D133" s="208">
        <v>12822654.925792299</v>
      </c>
      <c r="E133" s="209">
        <v>22.8773656727769</v>
      </c>
      <c r="F133" s="210"/>
      <c r="G133" s="208">
        <v>7723882.8652657801</v>
      </c>
      <c r="H133" s="209">
        <v>25.948887425097201</v>
      </c>
      <c r="I133" s="206"/>
      <c r="J133" s="208">
        <v>4794427.1814976996</v>
      </c>
      <c r="K133" s="209">
        <v>18.333191663955201</v>
      </c>
    </row>
    <row r="134" spans="2:11" ht="15" customHeight="1">
      <c r="B134" s="115" t="s">
        <v>65</v>
      </c>
      <c r="C134" s="126"/>
      <c r="D134" s="208">
        <v>48413.673947620402</v>
      </c>
      <c r="E134" s="209">
        <v>8.5350205655223693E-2</v>
      </c>
      <c r="F134" s="210"/>
      <c r="G134" s="208">
        <v>20615.384994904402</v>
      </c>
      <c r="H134" s="209">
        <v>6.8548202803507402E-2</v>
      </c>
      <c r="I134" s="206"/>
      <c r="J134" s="208">
        <v>15649.4055272196</v>
      </c>
      <c r="K134" s="209">
        <v>5.8715593966008603E-2</v>
      </c>
    </row>
    <row r="135" spans="2:11" ht="6.95" customHeight="1">
      <c r="B135" s="127"/>
      <c r="C135" s="126"/>
      <c r="D135" s="213"/>
      <c r="E135" s="213"/>
      <c r="F135" s="221"/>
      <c r="G135" s="213"/>
      <c r="H135" s="213"/>
      <c r="I135" s="213"/>
      <c r="J135" s="213"/>
      <c r="K135" s="213"/>
    </row>
    <row r="136" spans="2:11" ht="30" customHeight="1">
      <c r="B136" s="171" t="s">
        <v>89</v>
      </c>
      <c r="C136" s="126"/>
      <c r="D136" s="202"/>
      <c r="E136" s="203"/>
      <c r="F136" s="204"/>
      <c r="G136" s="202"/>
      <c r="H136" s="203"/>
      <c r="I136" s="205"/>
      <c r="J136" s="202"/>
      <c r="K136" s="203"/>
    </row>
    <row r="137" spans="2:11" ht="6.95" customHeight="1">
      <c r="B137" s="171"/>
      <c r="C137" s="44"/>
      <c r="D137" s="208"/>
      <c r="E137" s="209"/>
      <c r="F137" s="210"/>
      <c r="G137" s="208"/>
      <c r="H137" s="209"/>
      <c r="I137" s="206"/>
      <c r="J137" s="208"/>
      <c r="K137" s="209"/>
    </row>
    <row r="138" spans="2:11" ht="15" customHeight="1">
      <c r="B138" s="115" t="s">
        <v>36</v>
      </c>
      <c r="C138" s="126"/>
      <c r="D138" s="208">
        <v>20453598.591451701</v>
      </c>
      <c r="E138" s="209">
        <v>36.565965174496803</v>
      </c>
      <c r="F138" s="210"/>
      <c r="G138" s="208">
        <v>10230049.0511114</v>
      </c>
      <c r="H138" s="209">
        <v>34.718983838530598</v>
      </c>
      <c r="I138" s="206"/>
      <c r="J138" s="208">
        <v>9865618.5254745092</v>
      </c>
      <c r="K138" s="209">
        <v>37.626564351268499</v>
      </c>
    </row>
    <row r="139" spans="2:11" ht="15" customHeight="1">
      <c r="B139" s="115" t="s">
        <v>37</v>
      </c>
      <c r="C139" s="126"/>
      <c r="D139" s="208">
        <v>16217057.2925693</v>
      </c>
      <c r="E139" s="209">
        <v>28.967855504751402</v>
      </c>
      <c r="F139" s="210"/>
      <c r="G139" s="208">
        <v>8287240.8857544903</v>
      </c>
      <c r="H139" s="209">
        <v>28.0223600549878</v>
      </c>
      <c r="I139" s="206"/>
      <c r="J139" s="208">
        <v>7626214.93048691</v>
      </c>
      <c r="K139" s="209">
        <v>29.069696592962298</v>
      </c>
    </row>
    <row r="140" spans="2:11" ht="15" customHeight="1">
      <c r="B140" s="115" t="s">
        <v>38</v>
      </c>
      <c r="C140" s="126"/>
      <c r="D140" s="208">
        <v>16917252.220196899</v>
      </c>
      <c r="E140" s="209">
        <v>30.2456906527561</v>
      </c>
      <c r="F140" s="210"/>
      <c r="G140" s="208">
        <v>9432778.8643263094</v>
      </c>
      <c r="H140" s="209">
        <v>31.7458114932918</v>
      </c>
      <c r="I140" s="206"/>
      <c r="J140" s="208">
        <v>7166385.3421444297</v>
      </c>
      <c r="K140" s="209">
        <v>27.503962624290601</v>
      </c>
    </row>
    <row r="141" spans="2:11" ht="15" customHeight="1">
      <c r="B141" s="115" t="s">
        <v>65</v>
      </c>
      <c r="C141" s="126"/>
      <c r="D141" s="208">
        <v>36011.228841363001</v>
      </c>
      <c r="E141" s="209">
        <v>6.3408549139766804E-2</v>
      </c>
      <c r="F141" s="210"/>
      <c r="G141" s="208">
        <v>15793.8395562642</v>
      </c>
      <c r="H141" s="209">
        <v>5.2330177354667697E-2</v>
      </c>
      <c r="I141" s="206"/>
      <c r="J141" s="208">
        <v>8801.3182858561995</v>
      </c>
      <c r="K141" s="209">
        <v>3.3022499099859E-2</v>
      </c>
    </row>
    <row r="142" spans="2:11" ht="6.95" customHeight="1">
      <c r="B142" s="12"/>
      <c r="C142" s="12"/>
      <c r="D142" s="159"/>
      <c r="E142" s="68"/>
      <c r="F142" s="45"/>
      <c r="G142" s="159"/>
      <c r="H142" s="68"/>
      <c r="I142" s="68"/>
      <c r="J142" s="161"/>
      <c r="K142" s="68"/>
    </row>
    <row r="143" spans="2:11" ht="6.95" customHeight="1">
      <c r="B143" s="66"/>
      <c r="C143" s="66"/>
      <c r="D143" s="160"/>
      <c r="E143" s="67"/>
      <c r="F143" s="67"/>
      <c r="G143" s="160"/>
    </row>
    <row r="144" spans="2:11" customFormat="1" ht="12" customHeight="1">
      <c r="B144" s="247" t="s">
        <v>77</v>
      </c>
      <c r="C144" s="247"/>
      <c r="D144" s="247"/>
      <c r="E144" s="247"/>
      <c r="F144" s="247"/>
      <c r="G144" s="247"/>
      <c r="J144" s="152"/>
    </row>
  </sheetData>
  <mergeCells count="6">
    <mergeCell ref="B144:G144"/>
    <mergeCell ref="B7:B9"/>
    <mergeCell ref="D7:E8"/>
    <mergeCell ref="G7:K7"/>
    <mergeCell ref="G8:H8"/>
    <mergeCell ref="J8:K8"/>
  </mergeCells>
  <hyperlinks>
    <hyperlink ref="K1" location="ÍNDICE!A1" tooltip="Ir a ÍNDICE" display="ÍNDICE" xr:uid="{E71862BA-CE50-4E6D-8A89-2AEF6682EF6A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4703-BA49-491F-8D36-A82E5E90ECEB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4" t="s">
        <v>117</v>
      </c>
      <c r="C5" s="104"/>
      <c r="D5" s="104"/>
      <c r="E5" s="104"/>
      <c r="F5" s="104"/>
      <c r="G5" s="104"/>
      <c r="H5" s="97"/>
      <c r="J5" s="155"/>
      <c r="K5" s="99" t="s">
        <v>25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11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8" t="s">
        <v>6</v>
      </c>
      <c r="C11" s="25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</row>
    <row r="12" spans="2:17" ht="6.95" customHeight="1">
      <c r="B12" s="18"/>
      <c r="C12" s="25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3" t="s">
        <v>42</v>
      </c>
      <c r="C13" s="29"/>
      <c r="D13" s="208">
        <v>50432110.943586603</v>
      </c>
      <c r="E13" s="209">
        <v>58.741039930141099</v>
      </c>
      <c r="F13" s="210"/>
      <c r="G13" s="208">
        <v>25074064.535061799</v>
      </c>
      <c r="H13" s="209">
        <v>54.797611799772099</v>
      </c>
      <c r="I13" s="206"/>
      <c r="J13" s="208">
        <v>24747425.8760865</v>
      </c>
      <c r="K13" s="209">
        <v>62.548706456684997</v>
      </c>
    </row>
    <row r="14" spans="2:17" ht="15" customHeight="1">
      <c r="B14" s="83" t="s">
        <v>43</v>
      </c>
      <c r="C14" s="28"/>
      <c r="D14" s="208">
        <v>33605372.5344496</v>
      </c>
      <c r="E14" s="209">
        <v>38.909766889194799</v>
      </c>
      <c r="F14" s="210"/>
      <c r="G14" s="208">
        <v>19548913.2317001</v>
      </c>
      <c r="H14" s="209">
        <v>42.344260489418602</v>
      </c>
      <c r="I14" s="206"/>
      <c r="J14" s="208">
        <v>13595078.8523212</v>
      </c>
      <c r="K14" s="209">
        <v>34.170968892795301</v>
      </c>
    </row>
    <row r="15" spans="2:17" ht="6.95" customHeight="1">
      <c r="B15" s="23"/>
      <c r="C15" s="30"/>
      <c r="D15" s="206"/>
      <c r="E15" s="206"/>
      <c r="F15" s="220"/>
      <c r="G15" s="206"/>
      <c r="H15" s="206"/>
      <c r="I15" s="206"/>
      <c r="J15" s="206"/>
      <c r="K15" s="206"/>
    </row>
    <row r="16" spans="2:17" ht="15" customHeight="1">
      <c r="B16" s="18" t="s">
        <v>0</v>
      </c>
      <c r="C16" s="28"/>
      <c r="D16" s="202">
        <v>27919808.370060898</v>
      </c>
      <c r="E16" s="203">
        <v>100</v>
      </c>
      <c r="F16" s="204"/>
      <c r="G16" s="202">
        <v>15147712.0036007</v>
      </c>
      <c r="H16" s="203">
        <v>100</v>
      </c>
      <c r="I16" s="205"/>
      <c r="J16" s="202">
        <v>12466861.324348001</v>
      </c>
      <c r="K16" s="203">
        <v>100</v>
      </c>
    </row>
    <row r="17" spans="2:11" ht="6.95" customHeight="1">
      <c r="B17" s="18"/>
      <c r="C17" s="28"/>
      <c r="D17" s="208"/>
      <c r="E17" s="209"/>
      <c r="F17" s="210"/>
      <c r="G17" s="208"/>
      <c r="H17" s="209"/>
      <c r="I17" s="206"/>
      <c r="J17" s="208"/>
      <c r="K17" s="209"/>
    </row>
    <row r="18" spans="2:11" ht="15" customHeight="1">
      <c r="B18" s="83" t="s">
        <v>42</v>
      </c>
      <c r="C18" s="28"/>
      <c r="D18" s="208">
        <v>15380311.7131761</v>
      </c>
      <c r="E18" s="209">
        <v>54.041223265381902</v>
      </c>
      <c r="F18" s="210"/>
      <c r="G18" s="208">
        <v>7864452.9842803497</v>
      </c>
      <c r="H18" s="209">
        <v>50.781738191326298</v>
      </c>
      <c r="I18" s="206"/>
      <c r="J18" s="208">
        <v>7250422.3026630003</v>
      </c>
      <c r="K18" s="209">
        <v>56.661477059633597</v>
      </c>
    </row>
    <row r="19" spans="2:11" ht="15" customHeight="1">
      <c r="B19" s="83" t="s">
        <v>43</v>
      </c>
      <c r="C19" s="28"/>
      <c r="D19" s="208">
        <v>12163650.358221199</v>
      </c>
      <c r="E19" s="209">
        <v>41.676584854632402</v>
      </c>
      <c r="F19" s="210"/>
      <c r="G19" s="208">
        <v>7021694.6435382701</v>
      </c>
      <c r="H19" s="209">
        <v>44.021096260077698</v>
      </c>
      <c r="I19" s="206"/>
      <c r="J19" s="208">
        <v>4951820.4218145097</v>
      </c>
      <c r="K19" s="209">
        <v>37.5315465983998</v>
      </c>
    </row>
    <row r="20" spans="2:11" ht="6.95" customHeight="1">
      <c r="B20" s="21"/>
      <c r="C20" s="31"/>
      <c r="D20" s="206"/>
      <c r="E20" s="206"/>
      <c r="F20" s="220"/>
      <c r="G20" s="206"/>
      <c r="H20" s="206"/>
      <c r="I20" s="206"/>
      <c r="J20" s="206"/>
      <c r="K20" s="206"/>
    </row>
    <row r="21" spans="2:11" ht="15" customHeight="1">
      <c r="B21" s="18" t="s">
        <v>1</v>
      </c>
      <c r="C21" s="28"/>
      <c r="D21" s="202">
        <v>54724471.783623897</v>
      </c>
      <c r="E21" s="203">
        <v>100</v>
      </c>
      <c r="F21" s="204"/>
      <c r="G21" s="202">
        <v>28733115.775626201</v>
      </c>
      <c r="H21" s="203">
        <v>100</v>
      </c>
      <c r="I21" s="205"/>
      <c r="J21" s="202">
        <v>25428611.494824</v>
      </c>
      <c r="K21" s="203">
        <v>100</v>
      </c>
    </row>
    <row r="22" spans="2:11" ht="6.95" customHeight="1">
      <c r="B22" s="18"/>
      <c r="C22" s="28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3" t="s">
        <v>42</v>
      </c>
      <c r="C23" s="28"/>
      <c r="D23" s="208">
        <v>33617832.583186097</v>
      </c>
      <c r="E23" s="209">
        <v>60.429016998623901</v>
      </c>
      <c r="F23" s="210"/>
      <c r="G23" s="208">
        <v>16418129.350735901</v>
      </c>
      <c r="H23" s="209">
        <v>56.009036170138003</v>
      </c>
      <c r="I23" s="206"/>
      <c r="J23" s="208">
        <v>16780051.806708299</v>
      </c>
      <c r="K23" s="209">
        <v>64.503290266543402</v>
      </c>
    </row>
    <row r="24" spans="2:11" ht="15" customHeight="1">
      <c r="B24" s="83" t="s">
        <v>43</v>
      </c>
      <c r="C24" s="28"/>
      <c r="D24" s="208">
        <v>20496162.906946301</v>
      </c>
      <c r="E24" s="209">
        <v>36.662200412415601</v>
      </c>
      <c r="F24" s="210"/>
      <c r="G24" s="208">
        <v>11951429.279376701</v>
      </c>
      <c r="H24" s="209">
        <v>40.466727769513497</v>
      </c>
      <c r="I24" s="206"/>
      <c r="J24" s="208">
        <v>8206853.0201092903</v>
      </c>
      <c r="K24" s="209">
        <v>31.4139977088442</v>
      </c>
    </row>
    <row r="25" spans="2:11" ht="6.95" customHeight="1">
      <c r="B25" s="16"/>
      <c r="C25" s="16"/>
      <c r="D25" s="153"/>
      <c r="E25" s="42"/>
      <c r="F25" s="17"/>
      <c r="G25" s="153"/>
      <c r="H25" s="42"/>
      <c r="I25" s="42"/>
      <c r="J25" s="153"/>
      <c r="K25" s="42"/>
    </row>
    <row r="26" spans="2:11" ht="6.95" customHeight="1">
      <c r="B26" s="13"/>
      <c r="C26" s="13"/>
      <c r="E26" s="59"/>
      <c r="F26" s="59"/>
    </row>
    <row r="27" spans="2:11" ht="12" customHeight="1">
      <c r="B27" s="247" t="s">
        <v>77</v>
      </c>
      <c r="C27" s="247"/>
      <c r="D27" s="247"/>
      <c r="E27" s="247"/>
      <c r="F27" s="247"/>
      <c r="G27" s="247"/>
    </row>
    <row r="28" spans="2:11" ht="6.95" customHeight="1"/>
    <row r="52" ht="6.95" customHeight="1"/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100186BD-0111-4534-93D0-CD8EB451C20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D837-7355-4DFE-9A85-2E47BA1E08F0}">
  <dimension ref="B1:Q52"/>
  <sheetViews>
    <sheetView showGridLines="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50" customFormat="1" ht="30" customHeight="1">
      <c r="B5" s="255" t="s">
        <v>124</v>
      </c>
      <c r="C5" s="255"/>
      <c r="D5" s="255"/>
      <c r="E5" s="255"/>
      <c r="F5" s="255"/>
      <c r="G5" s="255"/>
      <c r="H5" s="52"/>
      <c r="J5" s="154"/>
      <c r="K5" s="148" t="s">
        <v>26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20.100000000000001" customHeight="1">
      <c r="B7" s="248" t="s">
        <v>90</v>
      </c>
      <c r="C7" s="54"/>
      <c r="D7" s="251" t="s">
        <v>130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20.100000000000001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33605372.5344496</v>
      </c>
      <c r="E11" s="203">
        <v>100</v>
      </c>
      <c r="F11" s="204"/>
      <c r="G11" s="202">
        <v>19548913.2317001</v>
      </c>
      <c r="H11" s="203">
        <v>100</v>
      </c>
      <c r="I11" s="205"/>
      <c r="J11" s="202">
        <v>13595078.8523212</v>
      </c>
      <c r="K11" s="203">
        <v>100</v>
      </c>
    </row>
    <row r="12" spans="2:17" ht="6.95" customHeight="1">
      <c r="B12" s="33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44</v>
      </c>
      <c r="C13" s="27"/>
      <c r="D13" s="208">
        <v>17313659.890911002</v>
      </c>
      <c r="E13" s="209">
        <v>50.611582807001</v>
      </c>
      <c r="F13" s="210"/>
      <c r="G13" s="208">
        <v>9968758.9155666996</v>
      </c>
      <c r="H13" s="209">
        <v>49.817495070325499</v>
      </c>
      <c r="I13" s="206"/>
      <c r="J13" s="208">
        <v>6999615.1356341802</v>
      </c>
      <c r="K13" s="209">
        <v>50.094203381654097</v>
      </c>
    </row>
    <row r="14" spans="2:17" ht="15" customHeight="1">
      <c r="B14" s="85" t="s">
        <v>45</v>
      </c>
      <c r="C14" s="26"/>
      <c r="D14" s="208">
        <v>14359797.569265701</v>
      </c>
      <c r="E14" s="209">
        <v>41.8200104210188</v>
      </c>
      <c r="F14" s="210"/>
      <c r="G14" s="208">
        <v>8593316.0470470507</v>
      </c>
      <c r="H14" s="209">
        <v>42.7966717397046</v>
      </c>
      <c r="I14" s="206"/>
      <c r="J14" s="208">
        <v>5469246.6505201701</v>
      </c>
      <c r="K14" s="209">
        <v>38.784292267721298</v>
      </c>
    </row>
    <row r="15" spans="2:17" ht="15" customHeight="1">
      <c r="B15" s="85" t="s">
        <v>46</v>
      </c>
      <c r="C15" s="26"/>
      <c r="D15" s="208">
        <v>23567717.4442515</v>
      </c>
      <c r="E15" s="209">
        <v>68.887696805470299</v>
      </c>
      <c r="F15" s="210"/>
      <c r="G15" s="208">
        <v>14077577.0124183</v>
      </c>
      <c r="H15" s="209">
        <v>70.644913257621994</v>
      </c>
      <c r="I15" s="206"/>
      <c r="J15" s="208">
        <v>9106203.7848307006</v>
      </c>
      <c r="K15" s="209">
        <v>64.867512124261907</v>
      </c>
    </row>
    <row r="16" spans="2:17" ht="15" customHeight="1">
      <c r="B16" s="84" t="s">
        <v>47</v>
      </c>
      <c r="C16" s="26"/>
      <c r="D16" s="208">
        <v>4321541.9495279798</v>
      </c>
      <c r="E16" s="209">
        <v>12.561329499898701</v>
      </c>
      <c r="F16" s="210"/>
      <c r="G16" s="208">
        <v>2051959.4481661599</v>
      </c>
      <c r="H16" s="209">
        <v>10.1642786541298</v>
      </c>
      <c r="I16" s="206"/>
      <c r="J16" s="208">
        <v>2093026.8463198701</v>
      </c>
      <c r="K16" s="209">
        <v>14.800976358512401</v>
      </c>
    </row>
    <row r="17" spans="2:11" ht="30" customHeight="1">
      <c r="B17" s="110" t="s">
        <v>91</v>
      </c>
      <c r="C17" s="26"/>
      <c r="D17" s="208">
        <v>5613496.0321497396</v>
      </c>
      <c r="E17" s="209">
        <v>16.2537903629573</v>
      </c>
      <c r="F17" s="210"/>
      <c r="G17" s="208">
        <v>2455114.1864113798</v>
      </c>
      <c r="H17" s="209">
        <v>12.109179439819099</v>
      </c>
      <c r="I17" s="206"/>
      <c r="J17" s="208">
        <v>2984642.5537381601</v>
      </c>
      <c r="K17" s="209">
        <v>20.8267062397145</v>
      </c>
    </row>
    <row r="18" spans="2:11" ht="30" customHeight="1">
      <c r="B18" s="110" t="s">
        <v>92</v>
      </c>
      <c r="C18" s="26"/>
      <c r="D18" s="208">
        <v>3444735.09579327</v>
      </c>
      <c r="E18" s="209">
        <v>9.9388706561451805</v>
      </c>
      <c r="F18" s="210"/>
      <c r="G18" s="208">
        <v>1911030.7993270401</v>
      </c>
      <c r="H18" s="209">
        <v>9.4569934930124209</v>
      </c>
      <c r="I18" s="206"/>
      <c r="J18" s="208">
        <v>1386983.58092584</v>
      </c>
      <c r="K18" s="209">
        <v>9.6986866773587899</v>
      </c>
    </row>
    <row r="19" spans="2:11" ht="15" customHeight="1">
      <c r="B19" s="84" t="s">
        <v>48</v>
      </c>
      <c r="C19" s="26"/>
      <c r="D19" s="208">
        <v>2928166.2245345698</v>
      </c>
      <c r="E19" s="209">
        <v>8.4330312575269293</v>
      </c>
      <c r="F19" s="210"/>
      <c r="G19" s="208">
        <v>1516973.2664612799</v>
      </c>
      <c r="H19" s="209">
        <v>7.4711800176283196</v>
      </c>
      <c r="I19" s="206"/>
      <c r="J19" s="208">
        <v>1255783.8514133999</v>
      </c>
      <c r="K19" s="209">
        <v>8.7897964126076094</v>
      </c>
    </row>
    <row r="20" spans="2:11" ht="6.95" customHeight="1">
      <c r="B20" s="33"/>
      <c r="C20" s="36"/>
      <c r="D20" s="206"/>
      <c r="E20" s="206"/>
      <c r="F20" s="224"/>
      <c r="G20" s="206"/>
      <c r="H20" s="206"/>
      <c r="I20" s="206"/>
      <c r="J20" s="206"/>
      <c r="K20" s="206"/>
    </row>
    <row r="21" spans="2:11" ht="15" customHeight="1">
      <c r="B21" s="179" t="s">
        <v>0</v>
      </c>
      <c r="C21" s="26"/>
      <c r="D21" s="202">
        <v>12163650.358221199</v>
      </c>
      <c r="E21" s="203">
        <v>100</v>
      </c>
      <c r="F21" s="204"/>
      <c r="G21" s="202">
        <v>7021694.6435382701</v>
      </c>
      <c r="H21" s="203">
        <v>100</v>
      </c>
      <c r="I21" s="205"/>
      <c r="J21" s="202">
        <v>4951820.4218145097</v>
      </c>
      <c r="K21" s="203">
        <v>100</v>
      </c>
    </row>
    <row r="22" spans="2:11" ht="6.95" customHeight="1">
      <c r="B22" s="33"/>
      <c r="C22" s="26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4" t="s">
        <v>44</v>
      </c>
      <c r="C23" s="26"/>
      <c r="D23" s="208">
        <v>6823280.7642389899</v>
      </c>
      <c r="E23" s="209">
        <v>54.774399944701102</v>
      </c>
      <c r="F23" s="210"/>
      <c r="G23" s="208">
        <v>3728666.6382541</v>
      </c>
      <c r="H23" s="209">
        <v>51.7095617271276</v>
      </c>
      <c r="I23" s="206"/>
      <c r="J23" s="208">
        <v>2911145.5393602601</v>
      </c>
      <c r="K23" s="209">
        <v>56.8433704696711</v>
      </c>
    </row>
    <row r="24" spans="2:11" ht="15" customHeight="1">
      <c r="B24" s="85" t="s">
        <v>45</v>
      </c>
      <c r="C24" s="26"/>
      <c r="D24" s="208">
        <v>5409579.5230043</v>
      </c>
      <c r="E24" s="209">
        <v>42.871851354938698</v>
      </c>
      <c r="F24" s="210"/>
      <c r="G24" s="208">
        <v>3214559.1570861498</v>
      </c>
      <c r="H24" s="209">
        <v>43.672766616054098</v>
      </c>
      <c r="I24" s="206"/>
      <c r="J24" s="208">
        <v>2021417.0180194101</v>
      </c>
      <c r="K24" s="209">
        <v>38.7759744127912</v>
      </c>
    </row>
    <row r="25" spans="2:11" ht="15" customHeight="1">
      <c r="B25" s="85" t="s">
        <v>46</v>
      </c>
      <c r="C25" s="26"/>
      <c r="D25" s="208">
        <v>8826073.4157621209</v>
      </c>
      <c r="E25" s="209">
        <v>70.643999261122403</v>
      </c>
      <c r="F25" s="210"/>
      <c r="G25" s="208">
        <v>5114497.0191895701</v>
      </c>
      <c r="H25" s="209">
        <v>70.505348862279007</v>
      </c>
      <c r="I25" s="206"/>
      <c r="J25" s="208">
        <v>3548631.66063515</v>
      </c>
      <c r="K25" s="209">
        <v>68.488285309666296</v>
      </c>
    </row>
    <row r="26" spans="2:11" ht="15" customHeight="1">
      <c r="B26" s="84" t="s">
        <v>47</v>
      </c>
      <c r="C26" s="26"/>
      <c r="D26" s="208">
        <v>1436659.7941717</v>
      </c>
      <c r="E26" s="209">
        <v>11.3258514877785</v>
      </c>
      <c r="F26" s="210"/>
      <c r="G26" s="208">
        <v>609658.82751760504</v>
      </c>
      <c r="H26" s="209">
        <v>8.2094001353161605</v>
      </c>
      <c r="I26" s="206"/>
      <c r="J26" s="208">
        <v>753477.95390979399</v>
      </c>
      <c r="K26" s="209">
        <v>14.2786717796131</v>
      </c>
    </row>
    <row r="27" spans="2:11" ht="30" customHeight="1">
      <c r="B27" s="110" t="s">
        <v>91</v>
      </c>
      <c r="C27" s="26"/>
      <c r="D27" s="208">
        <v>2035220.7418565899</v>
      </c>
      <c r="E27" s="209">
        <v>15.9251534814967</v>
      </c>
      <c r="F27" s="210"/>
      <c r="G27" s="208">
        <v>753296.12040824001</v>
      </c>
      <c r="H27" s="209">
        <v>10.181588356307</v>
      </c>
      <c r="I27" s="206"/>
      <c r="J27" s="208">
        <v>1167915.80319147</v>
      </c>
      <c r="K27" s="209">
        <v>21.615524653008201</v>
      </c>
    </row>
    <row r="28" spans="2:11" ht="30" customHeight="1">
      <c r="B28" s="110" t="s">
        <v>92</v>
      </c>
      <c r="C28" s="26"/>
      <c r="D28" s="208">
        <v>844846.45448693703</v>
      </c>
      <c r="E28" s="209">
        <v>6.5548179474299602</v>
      </c>
      <c r="F28" s="210"/>
      <c r="G28" s="208">
        <v>435907.74884165102</v>
      </c>
      <c r="H28" s="209">
        <v>5.8871219364368903</v>
      </c>
      <c r="I28" s="206"/>
      <c r="J28" s="208">
        <v>344665.57377199898</v>
      </c>
      <c r="K28" s="209">
        <v>6.3043428587963097</v>
      </c>
    </row>
    <row r="29" spans="2:11" ht="15" customHeight="1">
      <c r="B29" s="84" t="s">
        <v>48</v>
      </c>
      <c r="C29" s="26"/>
      <c r="D29" s="208">
        <v>706339.47640803806</v>
      </c>
      <c r="E29" s="209">
        <v>5.4554543211882001</v>
      </c>
      <c r="F29" s="210"/>
      <c r="G29" s="208">
        <v>390719.01221170998</v>
      </c>
      <c r="H29" s="209">
        <v>5.22374103874541</v>
      </c>
      <c r="I29" s="206"/>
      <c r="J29" s="208">
        <v>266168.65596986498</v>
      </c>
      <c r="K29" s="209">
        <v>4.8339186620114996</v>
      </c>
    </row>
    <row r="30" spans="2:11" ht="6.95" customHeight="1">
      <c r="B30" s="37"/>
      <c r="C30" s="36"/>
      <c r="D30" s="206"/>
      <c r="E30" s="206"/>
      <c r="F30" s="224"/>
      <c r="G30" s="206"/>
      <c r="H30" s="206"/>
      <c r="I30" s="206"/>
      <c r="J30" s="206"/>
      <c r="K30" s="206"/>
    </row>
    <row r="31" spans="2:11" ht="15" customHeight="1">
      <c r="B31" s="179" t="s">
        <v>0</v>
      </c>
      <c r="C31" s="26"/>
      <c r="D31" s="202">
        <v>20496162.906946301</v>
      </c>
      <c r="E31" s="203">
        <v>100</v>
      </c>
      <c r="F31" s="204"/>
      <c r="G31" s="202">
        <v>11951429.279376701</v>
      </c>
      <c r="H31" s="203">
        <v>100</v>
      </c>
      <c r="I31" s="205"/>
      <c r="J31" s="202">
        <v>8206853.0201092903</v>
      </c>
      <c r="K31" s="203">
        <v>100</v>
      </c>
    </row>
    <row r="32" spans="2:11" ht="6.95" customHeight="1">
      <c r="B32" s="33"/>
      <c r="C32" s="26"/>
      <c r="D32" s="208"/>
      <c r="E32" s="209"/>
      <c r="F32" s="210"/>
      <c r="G32" s="208"/>
      <c r="H32" s="209"/>
      <c r="I32" s="206"/>
      <c r="J32" s="208"/>
      <c r="K32" s="209"/>
    </row>
    <row r="33" spans="2:11" ht="15" customHeight="1">
      <c r="B33" s="84" t="s">
        <v>44</v>
      </c>
      <c r="C33" s="26"/>
      <c r="D33" s="208">
        <v>9853421.2224298995</v>
      </c>
      <c r="E33" s="209">
        <v>46.8412488215263</v>
      </c>
      <c r="F33" s="210"/>
      <c r="G33" s="208">
        <v>5840464.0547684496</v>
      </c>
      <c r="H33" s="209">
        <v>47.247446501464601</v>
      </c>
      <c r="I33" s="206"/>
      <c r="J33" s="208">
        <v>3767989.6427876698</v>
      </c>
      <c r="K33" s="209">
        <v>44.134897156835898</v>
      </c>
    </row>
    <row r="34" spans="2:11" ht="15" customHeight="1">
      <c r="B34" s="85" t="s">
        <v>45</v>
      </c>
      <c r="C34" s="26"/>
      <c r="D34" s="208">
        <v>8441139.0878579598</v>
      </c>
      <c r="E34" s="209">
        <v>39.989212798397901</v>
      </c>
      <c r="F34" s="210"/>
      <c r="G34" s="208">
        <v>5034767.1900038598</v>
      </c>
      <c r="H34" s="209">
        <v>40.770117394259103</v>
      </c>
      <c r="I34" s="206"/>
      <c r="J34" s="208">
        <v>3201817.2909580702</v>
      </c>
      <c r="K34" s="209">
        <v>36.975454275094599</v>
      </c>
    </row>
    <row r="35" spans="2:11" ht="15" customHeight="1">
      <c r="B35" s="85" t="s">
        <v>46</v>
      </c>
      <c r="C35" s="26"/>
      <c r="D35" s="208">
        <v>14003481.018929699</v>
      </c>
      <c r="E35" s="209">
        <v>66.748780994224603</v>
      </c>
      <c r="F35" s="210"/>
      <c r="G35" s="208">
        <v>8490067.0328097008</v>
      </c>
      <c r="H35" s="209">
        <v>69.443707147444002</v>
      </c>
      <c r="I35" s="206"/>
      <c r="J35" s="208">
        <v>5227002.6655029701</v>
      </c>
      <c r="K35" s="209">
        <v>60.9269540537978</v>
      </c>
    </row>
    <row r="36" spans="2:11" ht="15" customHeight="1">
      <c r="B36" s="84" t="s">
        <v>47</v>
      </c>
      <c r="C36" s="26"/>
      <c r="D36" s="208">
        <v>2664354.3558819201</v>
      </c>
      <c r="E36" s="209">
        <v>12.5497816519292</v>
      </c>
      <c r="F36" s="210"/>
      <c r="G36" s="208">
        <v>1316159.0772194699</v>
      </c>
      <c r="H36" s="209">
        <v>10.5124392775353</v>
      </c>
      <c r="I36" s="206"/>
      <c r="J36" s="208">
        <v>1195807.68860355</v>
      </c>
      <c r="K36" s="209">
        <v>13.8223268761769</v>
      </c>
    </row>
    <row r="37" spans="2:11" ht="30" customHeight="1">
      <c r="B37" s="110" t="s">
        <v>91</v>
      </c>
      <c r="C37" s="26"/>
      <c r="D37" s="208">
        <v>3324244.5541928001</v>
      </c>
      <c r="E37" s="209">
        <v>15.5896231846503</v>
      </c>
      <c r="F37" s="210"/>
      <c r="G37" s="208">
        <v>1542647.9471180099</v>
      </c>
      <c r="H37" s="209">
        <v>12.233377241263801</v>
      </c>
      <c r="I37" s="206"/>
      <c r="J37" s="208">
        <v>1665001.04590989</v>
      </c>
      <c r="K37" s="209">
        <v>18.870645361681401</v>
      </c>
    </row>
    <row r="38" spans="2:11" ht="30" customHeight="1">
      <c r="B38" s="110" t="s">
        <v>92</v>
      </c>
      <c r="C38" s="26"/>
      <c r="D38" s="208">
        <v>2433761.7354519102</v>
      </c>
      <c r="E38" s="209">
        <v>11.3390853484684</v>
      </c>
      <c r="F38" s="210"/>
      <c r="G38" s="208">
        <v>1351858.3271666099</v>
      </c>
      <c r="H38" s="209">
        <v>10.762668832654301</v>
      </c>
      <c r="I38" s="206"/>
      <c r="J38" s="208">
        <v>957375.46664602798</v>
      </c>
      <c r="K38" s="209">
        <v>10.89882512218</v>
      </c>
    </row>
    <row r="39" spans="2:11" ht="15" customHeight="1">
      <c r="B39" s="84" t="s">
        <v>48</v>
      </c>
      <c r="C39" s="26"/>
      <c r="D39" s="208">
        <v>2064672.6628771799</v>
      </c>
      <c r="E39" s="209">
        <v>9.6508612654601507</v>
      </c>
      <c r="F39" s="210"/>
      <c r="G39" s="208">
        <v>1019028.80196835</v>
      </c>
      <c r="H39" s="209">
        <v>8.1136707016619791</v>
      </c>
      <c r="I39" s="206"/>
      <c r="J39" s="208">
        <v>906117.880713113</v>
      </c>
      <c r="K39" s="209">
        <v>10.371221759974301</v>
      </c>
    </row>
    <row r="40" spans="2:11" ht="6.95" customHeight="1">
      <c r="B40" s="38"/>
      <c r="C40" s="38"/>
      <c r="D40" s="153"/>
      <c r="E40" s="42"/>
      <c r="F40" s="39"/>
      <c r="G40" s="153"/>
      <c r="H40" s="42"/>
      <c r="I40" s="42"/>
      <c r="J40" s="153"/>
      <c r="K40" s="42"/>
    </row>
    <row r="41" spans="2:11" ht="6.95" customHeight="1">
      <c r="B41" s="33"/>
      <c r="C41" s="33"/>
      <c r="E41" s="32"/>
      <c r="F41" s="32"/>
    </row>
    <row r="42" spans="2:11" ht="12" customHeight="1">
      <c r="B42" s="79" t="s">
        <v>32</v>
      </c>
      <c r="C42" s="46"/>
      <c r="E42" s="76"/>
      <c r="F42" s="76"/>
    </row>
    <row r="43" spans="2:11" ht="12" customHeight="1">
      <c r="B43" s="247" t="s">
        <v>77</v>
      </c>
      <c r="C43" s="247"/>
      <c r="D43" s="247"/>
      <c r="E43" s="247"/>
      <c r="F43" s="247"/>
      <c r="G43" s="247"/>
    </row>
    <row r="52" ht="6.95" customHeight="1"/>
  </sheetData>
  <mergeCells count="7">
    <mergeCell ref="B43:G4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279F9FC2-8D6B-4030-954F-6D1D9D0E7CC9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B940-773D-45A5-A0DC-A4704714FEC8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35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15" customHeight="1">
      <c r="B5" s="103" t="s">
        <v>120</v>
      </c>
      <c r="C5" s="101"/>
      <c r="D5" s="151"/>
      <c r="E5" s="102"/>
      <c r="F5" s="102"/>
      <c r="G5" s="151"/>
      <c r="H5" s="97"/>
      <c r="J5" s="155"/>
      <c r="K5" s="99" t="s">
        <v>27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101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13"/>
      <c r="C10" s="13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131" t="s">
        <v>6</v>
      </c>
      <c r="C11" s="34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</row>
    <row r="12" spans="2:17" ht="6.95" customHeight="1">
      <c r="B12" s="131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49</v>
      </c>
      <c r="C13" s="27"/>
      <c r="D13" s="208">
        <v>4783856.6755637499</v>
      </c>
      <c r="E13" s="209">
        <v>5.5291783806956198</v>
      </c>
      <c r="F13" s="210"/>
      <c r="G13" s="208">
        <v>2010503.6583898</v>
      </c>
      <c r="H13" s="209">
        <v>4.3339803949600499</v>
      </c>
      <c r="I13" s="206"/>
      <c r="J13" s="208">
        <v>2596505.79544678</v>
      </c>
      <c r="K13" s="209">
        <v>6.5037351378532797</v>
      </c>
    </row>
    <row r="14" spans="2:17" ht="15" customHeight="1">
      <c r="B14" s="85" t="s">
        <v>50</v>
      </c>
      <c r="C14" s="26"/>
      <c r="D14" s="208">
        <v>79841193.738141507</v>
      </c>
      <c r="E14" s="209">
        <v>93.430968009276199</v>
      </c>
      <c r="F14" s="210"/>
      <c r="G14" s="208">
        <v>42918495.439442098</v>
      </c>
      <c r="H14" s="209">
        <v>94.476762619908897</v>
      </c>
      <c r="I14" s="206"/>
      <c r="J14" s="208">
        <v>36046949.271008298</v>
      </c>
      <c r="K14" s="209">
        <v>91.809595394938398</v>
      </c>
    </row>
    <row r="15" spans="2:17" ht="6.95" customHeight="1">
      <c r="B15" s="132"/>
      <c r="C15" s="133"/>
      <c r="D15" s="217"/>
      <c r="E15" s="217"/>
      <c r="F15" s="225"/>
      <c r="G15" s="217"/>
      <c r="H15" s="217"/>
      <c r="I15" s="217"/>
      <c r="J15" s="217"/>
      <c r="K15" s="217"/>
    </row>
    <row r="16" spans="2:17" ht="15" customHeight="1">
      <c r="B16" s="180" t="s">
        <v>0</v>
      </c>
      <c r="C16" s="26"/>
      <c r="D16" s="202">
        <v>27919808.370060898</v>
      </c>
      <c r="E16" s="203">
        <v>100</v>
      </c>
      <c r="F16" s="204"/>
      <c r="G16" s="202">
        <v>15147712.0036007</v>
      </c>
      <c r="H16" s="203">
        <v>100</v>
      </c>
      <c r="I16" s="205"/>
      <c r="J16" s="202">
        <v>12466861.324348001</v>
      </c>
      <c r="K16" s="203">
        <v>100</v>
      </c>
    </row>
    <row r="17" spans="2:11" ht="6.95" customHeight="1">
      <c r="B17" s="131"/>
      <c r="C17" s="26"/>
      <c r="D17" s="208"/>
      <c r="E17" s="209"/>
      <c r="F17" s="210"/>
      <c r="G17" s="208"/>
      <c r="H17" s="209"/>
      <c r="I17" s="206"/>
      <c r="J17" s="208"/>
      <c r="K17" s="209"/>
    </row>
    <row r="18" spans="2:11" ht="15" customHeight="1">
      <c r="B18" s="84" t="s">
        <v>49</v>
      </c>
      <c r="C18" s="26"/>
      <c r="D18" s="208">
        <v>763905.87483128195</v>
      </c>
      <c r="E18" s="209">
        <v>2.6083270347002099</v>
      </c>
      <c r="F18" s="210"/>
      <c r="G18" s="208">
        <v>296205.83169617399</v>
      </c>
      <c r="H18" s="209">
        <v>1.84516951269949</v>
      </c>
      <c r="I18" s="206"/>
      <c r="J18" s="208">
        <v>380501.85939309699</v>
      </c>
      <c r="K18" s="209">
        <v>2.88591151732901</v>
      </c>
    </row>
    <row r="19" spans="2:11" ht="15" customHeight="1">
      <c r="B19" s="85" t="s">
        <v>50</v>
      </c>
      <c r="C19" s="26"/>
      <c r="D19" s="208">
        <v>27024133.1187701</v>
      </c>
      <c r="E19" s="209">
        <v>96.138725052391493</v>
      </c>
      <c r="F19" s="210"/>
      <c r="G19" s="208">
        <v>14744204.2907722</v>
      </c>
      <c r="H19" s="209">
        <v>96.519596038747693</v>
      </c>
      <c r="I19" s="206"/>
      <c r="J19" s="208">
        <v>11982667.7113492</v>
      </c>
      <c r="K19" s="209">
        <v>95.035208208239297</v>
      </c>
    </row>
    <row r="20" spans="2:11" ht="6.95" customHeight="1">
      <c r="B20" s="134"/>
      <c r="C20" s="135"/>
      <c r="D20" s="217"/>
      <c r="E20" s="217"/>
      <c r="F20" s="225"/>
      <c r="G20" s="217"/>
      <c r="H20" s="217"/>
      <c r="I20" s="217"/>
      <c r="J20" s="217"/>
      <c r="K20" s="217"/>
    </row>
    <row r="21" spans="2:11" ht="15" customHeight="1">
      <c r="B21" s="180" t="s">
        <v>1</v>
      </c>
      <c r="C21" s="26"/>
      <c r="D21" s="202">
        <v>54724471.783623897</v>
      </c>
      <c r="E21" s="203">
        <v>100</v>
      </c>
      <c r="F21" s="204"/>
      <c r="G21" s="202">
        <v>28733115.775626201</v>
      </c>
      <c r="H21" s="203">
        <v>100</v>
      </c>
      <c r="I21" s="205"/>
      <c r="J21" s="202">
        <v>25428611.494824</v>
      </c>
      <c r="K21" s="203">
        <v>100</v>
      </c>
    </row>
    <row r="22" spans="2:11" ht="6.95" customHeight="1">
      <c r="B22" s="131"/>
      <c r="C22" s="26"/>
      <c r="D22" s="208"/>
      <c r="E22" s="209"/>
      <c r="F22" s="210"/>
      <c r="G22" s="208"/>
      <c r="H22" s="209"/>
      <c r="I22" s="206"/>
      <c r="J22" s="208"/>
      <c r="K22" s="209"/>
    </row>
    <row r="23" spans="2:11" ht="15" customHeight="1">
      <c r="B23" s="84" t="s">
        <v>49</v>
      </c>
      <c r="C23" s="26"/>
      <c r="D23" s="208">
        <v>3856579.5356171899</v>
      </c>
      <c r="E23" s="209">
        <v>6.8232639205043402</v>
      </c>
      <c r="F23" s="210"/>
      <c r="G23" s="208">
        <v>1604269.1119092701</v>
      </c>
      <c r="H23" s="209">
        <v>5.3481053364504101</v>
      </c>
      <c r="I23" s="206"/>
      <c r="J23" s="208">
        <v>2097108.2636958801</v>
      </c>
      <c r="K23" s="209">
        <v>7.94956868329737</v>
      </c>
    </row>
    <row r="24" spans="2:11" ht="15" customHeight="1">
      <c r="B24" s="85" t="s">
        <v>50</v>
      </c>
      <c r="C24" s="26"/>
      <c r="D24" s="208">
        <v>50522566.687133603</v>
      </c>
      <c r="E24" s="209">
        <v>91.758304201931097</v>
      </c>
      <c r="F24" s="210"/>
      <c r="G24" s="208">
        <v>26919994.4857856</v>
      </c>
      <c r="H24" s="209">
        <v>93.031943346567701</v>
      </c>
      <c r="I24" s="206"/>
      <c r="J24" s="208">
        <v>23070426.3313867</v>
      </c>
      <c r="K24" s="209">
        <v>89.768848095141195</v>
      </c>
    </row>
    <row r="25" spans="2:11" ht="6.95" customHeight="1">
      <c r="B25" s="16"/>
      <c r="C25" s="16"/>
      <c r="D25" s="153"/>
      <c r="E25" s="42"/>
      <c r="F25" s="17"/>
      <c r="G25" s="153"/>
      <c r="H25" s="42"/>
      <c r="I25" s="42"/>
      <c r="J25" s="153"/>
      <c r="K25" s="42"/>
    </row>
    <row r="26" spans="2:11" ht="6.95" customHeight="1">
      <c r="B26" s="13"/>
      <c r="C26" s="13"/>
      <c r="E26" s="59"/>
      <c r="F26" s="59"/>
    </row>
    <row r="27" spans="2:11" ht="12" customHeight="1">
      <c r="B27" s="111" t="s">
        <v>62</v>
      </c>
      <c r="C27" s="59"/>
      <c r="D27" s="157"/>
      <c r="E27" s="59"/>
      <c r="F27" s="59"/>
      <c r="G27" s="157"/>
    </row>
    <row r="28" spans="2:11" ht="12" customHeight="1">
      <c r="B28" s="247" t="s">
        <v>77</v>
      </c>
      <c r="C28" s="247"/>
      <c r="D28" s="247"/>
      <c r="E28" s="247"/>
      <c r="F28" s="247"/>
      <c r="G28" s="247"/>
    </row>
    <row r="52" ht="6.95" customHeight="1"/>
  </sheetData>
  <mergeCells count="6">
    <mergeCell ref="B28:G28"/>
    <mergeCell ref="B7:B9"/>
    <mergeCell ref="D7:E8"/>
    <mergeCell ref="G7:K7"/>
    <mergeCell ref="G8:H8"/>
    <mergeCell ref="J8:K8"/>
  </mergeCells>
  <hyperlinks>
    <hyperlink ref="K1" location="ÍNDICE!A1" tooltip="Ir a ÍNDICE" display="ÍNDICE" xr:uid="{D2DDA863-8210-485B-93ED-6D30976D0DC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1B84-B1E4-4D1C-9506-9BF228C58576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5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125</v>
      </c>
      <c r="C5" s="256"/>
      <c r="D5" s="256"/>
      <c r="E5" s="256"/>
      <c r="F5" s="256"/>
      <c r="G5" s="256"/>
      <c r="H5" s="97"/>
      <c r="J5" s="155"/>
      <c r="K5" s="99" t="s">
        <v>28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93</v>
      </c>
      <c r="C7" s="54"/>
      <c r="D7" s="251" t="s">
        <v>108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s="105" customFormat="1" ht="15" customHeight="1">
      <c r="B11" s="80" t="s">
        <v>2</v>
      </c>
      <c r="C11" s="34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</row>
    <row r="12" spans="2:17" ht="6.95" customHeight="1">
      <c r="B12" s="33"/>
      <c r="C12" s="34"/>
      <c r="D12" s="208"/>
      <c r="E12" s="209"/>
      <c r="F12" s="204"/>
      <c r="G12" s="208"/>
      <c r="H12" s="209"/>
      <c r="I12" s="205"/>
      <c r="J12" s="208"/>
      <c r="K12" s="209"/>
    </row>
    <row r="13" spans="2:17" s="105" customFormat="1" ht="15" customHeight="1">
      <c r="B13" s="181" t="s">
        <v>16</v>
      </c>
      <c r="C13" s="27"/>
      <c r="D13" s="202">
        <v>48308790.012792699</v>
      </c>
      <c r="E13" s="203">
        <v>56.198115423656198</v>
      </c>
      <c r="F13" s="204"/>
      <c r="G13" s="202">
        <v>23642589.5792812</v>
      </c>
      <c r="H13" s="203">
        <v>51.476925674739398</v>
      </c>
      <c r="I13" s="205"/>
      <c r="J13" s="202">
        <v>24077054.2324747</v>
      </c>
      <c r="K13" s="203">
        <v>60.826278602006802</v>
      </c>
    </row>
    <row r="14" spans="2:17" ht="7.15" customHeight="1">
      <c r="B14" s="81"/>
      <c r="C14" s="27"/>
      <c r="D14" s="208"/>
      <c r="E14" s="209"/>
      <c r="F14" s="210"/>
      <c r="G14" s="208"/>
      <c r="H14" s="209"/>
      <c r="I14" s="206"/>
      <c r="J14" s="208"/>
      <c r="K14" s="209"/>
    </row>
    <row r="15" spans="2:17" ht="15" customHeight="1">
      <c r="B15" s="182" t="s">
        <v>13</v>
      </c>
      <c r="C15" s="107"/>
      <c r="D15" s="208">
        <v>25058181.017482299</v>
      </c>
      <c r="E15" s="209">
        <v>51.110279837868902</v>
      </c>
      <c r="F15" s="210"/>
      <c r="G15" s="208">
        <v>11407634.912632501</v>
      </c>
      <c r="H15" s="209">
        <v>47.140585010722901</v>
      </c>
      <c r="I15" s="206"/>
      <c r="J15" s="208">
        <v>13253523.9851193</v>
      </c>
      <c r="K15" s="209">
        <v>53.935575800406603</v>
      </c>
    </row>
    <row r="16" spans="2:17" ht="30" customHeight="1">
      <c r="B16" s="183" t="s">
        <v>94</v>
      </c>
      <c r="C16" s="107"/>
      <c r="D16" s="208">
        <v>28944423.998157401</v>
      </c>
      <c r="E16" s="209">
        <v>58.800505584373397</v>
      </c>
      <c r="F16" s="210"/>
      <c r="G16" s="208">
        <v>13827710.7358185</v>
      </c>
      <c r="H16" s="209">
        <v>57.049535963283802</v>
      </c>
      <c r="I16" s="206"/>
      <c r="J16" s="208">
        <v>14634079.506560501</v>
      </c>
      <c r="K16" s="209">
        <v>59.3448955451302</v>
      </c>
    </row>
    <row r="17" spans="2:11" ht="15" customHeight="1">
      <c r="B17" s="182" t="s">
        <v>14</v>
      </c>
      <c r="C17" s="107"/>
      <c r="D17" s="208">
        <v>13205654.779849701</v>
      </c>
      <c r="E17" s="209">
        <v>26.667355001718299</v>
      </c>
      <c r="F17" s="210"/>
      <c r="G17" s="208">
        <v>6290352.8572673798</v>
      </c>
      <c r="H17" s="209">
        <v>25.768388014570199</v>
      </c>
      <c r="I17" s="206"/>
      <c r="J17" s="208">
        <v>6621654.1933671897</v>
      </c>
      <c r="K17" s="209">
        <v>26.5820811633006</v>
      </c>
    </row>
    <row r="18" spans="2:11" ht="15" customHeight="1">
      <c r="B18" s="183" t="s">
        <v>15</v>
      </c>
      <c r="C18" s="107"/>
      <c r="D18" s="208">
        <v>20555941.354490299</v>
      </c>
      <c r="E18" s="209">
        <v>41.845641591532797</v>
      </c>
      <c r="F18" s="210"/>
      <c r="G18" s="208">
        <v>10097509.7398737</v>
      </c>
      <c r="H18" s="209">
        <v>41.714150769933902</v>
      </c>
      <c r="I18" s="206"/>
      <c r="J18" s="208">
        <v>10036566.2168318</v>
      </c>
      <c r="K18" s="209">
        <v>40.7432506531595</v>
      </c>
    </row>
    <row r="19" spans="2:11" ht="7.15" customHeight="1">
      <c r="B19" s="82"/>
      <c r="C19" s="26"/>
      <c r="D19" s="226"/>
      <c r="E19" s="226"/>
      <c r="F19" s="226"/>
      <c r="G19" s="226"/>
      <c r="H19" s="226"/>
      <c r="I19" s="206"/>
      <c r="J19" s="226"/>
      <c r="K19" s="226"/>
    </row>
    <row r="20" spans="2:11" s="105" customFormat="1" ht="15" customHeight="1">
      <c r="B20" s="181" t="s">
        <v>17</v>
      </c>
      <c r="C20" s="26"/>
      <c r="D20" s="202">
        <v>35783838.919214003</v>
      </c>
      <c r="E20" s="203">
        <v>41.508972917003199</v>
      </c>
      <c r="F20" s="204"/>
      <c r="G20" s="202">
        <v>20961932.084598102</v>
      </c>
      <c r="H20" s="203">
        <v>45.590950116660899</v>
      </c>
      <c r="I20" s="205"/>
      <c r="J20" s="202">
        <v>14285790.517906399</v>
      </c>
      <c r="K20" s="203">
        <v>35.9396906950358</v>
      </c>
    </row>
    <row r="21" spans="2:11" ht="6.95" customHeight="1">
      <c r="B21" s="6"/>
      <c r="C21" s="26"/>
      <c r="D21" s="206"/>
      <c r="E21" s="206"/>
      <c r="F21" s="227"/>
      <c r="G21" s="206"/>
      <c r="H21" s="206"/>
      <c r="I21" s="206"/>
      <c r="J21" s="206"/>
      <c r="K21" s="206"/>
    </row>
    <row r="22" spans="2:11" s="105" customFormat="1" ht="15" customHeight="1">
      <c r="B22" s="184" t="s">
        <v>0</v>
      </c>
      <c r="C22" s="26"/>
      <c r="D22" s="202">
        <v>27919808.370060898</v>
      </c>
      <c r="E22" s="203">
        <v>100</v>
      </c>
      <c r="F22" s="204"/>
      <c r="G22" s="202">
        <v>15147712.0036007</v>
      </c>
      <c r="H22" s="203">
        <v>100</v>
      </c>
      <c r="I22" s="205"/>
      <c r="J22" s="202">
        <v>12466861.324348001</v>
      </c>
      <c r="K22" s="203">
        <v>100</v>
      </c>
    </row>
    <row r="23" spans="2:11" ht="6.95" customHeight="1">
      <c r="B23" s="136"/>
      <c r="C23" s="26"/>
      <c r="D23" s="208"/>
      <c r="E23" s="209"/>
      <c r="F23" s="204"/>
      <c r="G23" s="208"/>
      <c r="H23" s="209"/>
      <c r="I23" s="205"/>
      <c r="J23" s="208"/>
      <c r="K23" s="209"/>
    </row>
    <row r="24" spans="2:11" s="105" customFormat="1" ht="15" customHeight="1">
      <c r="B24" s="181" t="s">
        <v>16</v>
      </c>
      <c r="C24" s="27"/>
      <c r="D24" s="202">
        <v>15215874.3995161</v>
      </c>
      <c r="E24" s="203">
        <v>53.208118295334501</v>
      </c>
      <c r="F24" s="204"/>
      <c r="G24" s="202">
        <v>7633971.6519174902</v>
      </c>
      <c r="H24" s="203">
        <v>48.920199729493902</v>
      </c>
      <c r="I24" s="205"/>
      <c r="J24" s="202">
        <v>7352139.7926634904</v>
      </c>
      <c r="K24" s="203">
        <v>57.062600051203503</v>
      </c>
    </row>
    <row r="25" spans="2:11" ht="7.15" customHeight="1">
      <c r="B25" s="81"/>
      <c r="C25" s="27"/>
      <c r="D25" s="208"/>
      <c r="E25" s="209"/>
      <c r="F25" s="210"/>
      <c r="G25" s="208"/>
      <c r="H25" s="209"/>
      <c r="I25" s="206"/>
      <c r="J25" s="208"/>
      <c r="K25" s="209"/>
    </row>
    <row r="26" spans="2:11" ht="15" customHeight="1">
      <c r="B26" s="182" t="s">
        <v>13</v>
      </c>
      <c r="C26" s="107"/>
      <c r="D26" s="208">
        <v>8354959.3938007904</v>
      </c>
      <c r="E26" s="209">
        <v>53.2651312402757</v>
      </c>
      <c r="F26" s="210"/>
      <c r="G26" s="208">
        <v>3893578.5272145201</v>
      </c>
      <c r="H26" s="209">
        <v>48.634973993390503</v>
      </c>
      <c r="I26" s="206"/>
      <c r="J26" s="208">
        <v>4307898.01167408</v>
      </c>
      <c r="K26" s="209">
        <v>56.634116729436201</v>
      </c>
    </row>
    <row r="27" spans="2:11" ht="30" customHeight="1">
      <c r="B27" s="183" t="s">
        <v>94</v>
      </c>
      <c r="C27" s="107"/>
      <c r="D27" s="208">
        <v>8595668.2617299203</v>
      </c>
      <c r="E27" s="209">
        <v>54.081977031193702</v>
      </c>
      <c r="F27" s="210"/>
      <c r="G27" s="208">
        <v>4415419.4008468101</v>
      </c>
      <c r="H27" s="209">
        <v>55.624091929356297</v>
      </c>
      <c r="I27" s="206"/>
      <c r="J27" s="208">
        <v>3954876.5955830901</v>
      </c>
      <c r="K27" s="209">
        <v>50.391297048942803</v>
      </c>
    </row>
    <row r="28" spans="2:11" ht="15" customHeight="1">
      <c r="B28" s="182" t="s">
        <v>14</v>
      </c>
      <c r="C28" s="107"/>
      <c r="D28" s="208">
        <v>4698938.5792920804</v>
      </c>
      <c r="E28" s="209">
        <v>28.804398967080399</v>
      </c>
      <c r="F28" s="210"/>
      <c r="G28" s="208">
        <v>2163228.4952405901</v>
      </c>
      <c r="H28" s="209">
        <v>26.476434060533201</v>
      </c>
      <c r="I28" s="206"/>
      <c r="J28" s="208">
        <v>2335620.2146757902</v>
      </c>
      <c r="K28" s="209">
        <v>29.3370542889826</v>
      </c>
    </row>
    <row r="29" spans="2:11" ht="15" customHeight="1">
      <c r="B29" s="183" t="s">
        <v>15</v>
      </c>
      <c r="C29" s="107"/>
      <c r="D29" s="208">
        <v>7807349.2582821902</v>
      </c>
      <c r="E29" s="209">
        <v>49.562891152591398</v>
      </c>
      <c r="F29" s="210"/>
      <c r="G29" s="208">
        <v>3952009.38484718</v>
      </c>
      <c r="H29" s="209">
        <v>49.801218576544699</v>
      </c>
      <c r="I29" s="206"/>
      <c r="J29" s="208">
        <v>3631774.0671157502</v>
      </c>
      <c r="K29" s="209">
        <v>47.116892317388199</v>
      </c>
    </row>
    <row r="30" spans="2:11" ht="6.95" customHeight="1">
      <c r="B30" s="82"/>
      <c r="C30" s="107"/>
      <c r="D30" s="226"/>
      <c r="E30" s="226"/>
      <c r="F30" s="226"/>
      <c r="G30" s="226"/>
      <c r="H30" s="226"/>
      <c r="I30" s="206"/>
      <c r="J30" s="226"/>
      <c r="K30" s="226"/>
    </row>
    <row r="31" spans="2:11" s="105" customFormat="1" ht="15" customHeight="1">
      <c r="B31" s="181" t="s">
        <v>17</v>
      </c>
      <c r="C31" s="26"/>
      <c r="D31" s="202">
        <v>12326983.618243299</v>
      </c>
      <c r="E31" s="203">
        <v>42.538198085105499</v>
      </c>
      <c r="F31" s="204"/>
      <c r="G31" s="202">
        <v>7264269.4264111696</v>
      </c>
      <c r="H31" s="203">
        <v>46.090998376553401</v>
      </c>
      <c r="I31" s="205"/>
      <c r="J31" s="202">
        <v>4833287.0469447598</v>
      </c>
      <c r="K31" s="203">
        <v>36.927157664197502</v>
      </c>
    </row>
    <row r="32" spans="2:11" ht="6.95" customHeight="1">
      <c r="B32" s="137"/>
      <c r="C32" s="26"/>
      <c r="D32" s="206"/>
      <c r="E32" s="206"/>
      <c r="F32" s="228"/>
      <c r="G32" s="206"/>
      <c r="H32" s="206"/>
      <c r="I32" s="206"/>
      <c r="J32" s="206"/>
      <c r="K32" s="206"/>
    </row>
    <row r="33" spans="2:11" s="105" customFormat="1" ht="15" customHeight="1">
      <c r="B33" s="184" t="s">
        <v>1</v>
      </c>
      <c r="C33" s="26"/>
      <c r="D33" s="202">
        <v>54724471.783623897</v>
      </c>
      <c r="E33" s="203">
        <v>100</v>
      </c>
      <c r="F33" s="204"/>
      <c r="G33" s="202">
        <v>28733115.775626201</v>
      </c>
      <c r="H33" s="203">
        <v>100</v>
      </c>
      <c r="I33" s="205"/>
      <c r="J33" s="202">
        <v>25428611.494824</v>
      </c>
      <c r="K33" s="203">
        <v>100</v>
      </c>
    </row>
    <row r="34" spans="2:11" ht="6.95" customHeight="1">
      <c r="B34" s="136"/>
      <c r="C34" s="26"/>
      <c r="D34" s="208"/>
      <c r="E34" s="209"/>
      <c r="F34" s="204"/>
      <c r="G34" s="208"/>
      <c r="H34" s="209"/>
      <c r="I34" s="205"/>
      <c r="J34" s="208"/>
      <c r="K34" s="209"/>
    </row>
    <row r="35" spans="2:11" s="105" customFormat="1" ht="15" customHeight="1">
      <c r="B35" s="181" t="s">
        <v>16</v>
      </c>
      <c r="C35" s="27"/>
      <c r="D35" s="202">
        <v>31703818.067632999</v>
      </c>
      <c r="E35" s="203">
        <v>57.040699380869803</v>
      </c>
      <c r="F35" s="204"/>
      <c r="G35" s="202">
        <v>15283579.8401736</v>
      </c>
      <c r="H35" s="203">
        <v>51.957245623332597</v>
      </c>
      <c r="I35" s="205"/>
      <c r="J35" s="202">
        <v>16017201.767194601</v>
      </c>
      <c r="K35" s="203">
        <v>61.759430589194203</v>
      </c>
    </row>
    <row r="36" spans="2:11" ht="7.15" customHeight="1">
      <c r="B36" s="81"/>
      <c r="C36" s="27"/>
      <c r="D36" s="208"/>
      <c r="E36" s="209"/>
      <c r="F36" s="210"/>
      <c r="G36" s="208"/>
      <c r="H36" s="209"/>
      <c r="I36" s="206"/>
      <c r="J36" s="208"/>
      <c r="K36" s="209"/>
    </row>
    <row r="37" spans="2:11" ht="15" customHeight="1">
      <c r="B37" s="182" t="s">
        <v>13</v>
      </c>
      <c r="C37" s="107"/>
      <c r="D37" s="208">
        <v>15898578.301713601</v>
      </c>
      <c r="E37" s="209">
        <v>49.075748113877303</v>
      </c>
      <c r="F37" s="210"/>
      <c r="G37" s="208">
        <v>7101298.98646018</v>
      </c>
      <c r="H37" s="209">
        <v>45.016425867369101</v>
      </c>
      <c r="I37" s="206"/>
      <c r="J37" s="208">
        <v>8470692.6558753494</v>
      </c>
      <c r="K37" s="209">
        <v>51.416660525828</v>
      </c>
    </row>
    <row r="38" spans="2:11" ht="30" customHeight="1">
      <c r="B38" s="183" t="s">
        <v>94</v>
      </c>
      <c r="C38" s="107"/>
      <c r="D38" s="208">
        <v>19560124.8596109</v>
      </c>
      <c r="E38" s="209">
        <v>60.286072707141599</v>
      </c>
      <c r="F38" s="210"/>
      <c r="G38" s="208">
        <v>8957889.6108207107</v>
      </c>
      <c r="H38" s="209">
        <v>56.6343077973793</v>
      </c>
      <c r="I38" s="206"/>
      <c r="J38" s="208">
        <v>10264363.351473801</v>
      </c>
      <c r="K38" s="209">
        <v>62.486729311228103</v>
      </c>
    </row>
    <row r="39" spans="2:11" ht="15" customHeight="1">
      <c r="B39" s="182" t="s">
        <v>14</v>
      </c>
      <c r="C39" s="107"/>
      <c r="D39" s="208">
        <v>8095059.1000140402</v>
      </c>
      <c r="E39" s="209">
        <v>24.7377582141199</v>
      </c>
      <c r="F39" s="210"/>
      <c r="G39" s="208">
        <v>3854769.1257240698</v>
      </c>
      <c r="H39" s="209">
        <v>24.251094075496901</v>
      </c>
      <c r="I39" s="206"/>
      <c r="J39" s="208">
        <v>4040829.1800196399</v>
      </c>
      <c r="K39" s="209">
        <v>24.0271050719345</v>
      </c>
    </row>
    <row r="40" spans="2:11" ht="15" customHeight="1">
      <c r="B40" s="183" t="s">
        <v>15</v>
      </c>
      <c r="C40" s="107"/>
      <c r="D40" s="208">
        <v>12086063.693161801</v>
      </c>
      <c r="E40" s="209">
        <v>37.192918914304002</v>
      </c>
      <c r="F40" s="210"/>
      <c r="G40" s="208">
        <v>5755856.04678162</v>
      </c>
      <c r="H40" s="209">
        <v>36.3876446083151</v>
      </c>
      <c r="I40" s="206"/>
      <c r="J40" s="208">
        <v>6021904.8492488498</v>
      </c>
      <c r="K40" s="209">
        <v>36.465204059828501</v>
      </c>
    </row>
    <row r="41" spans="2:11" ht="7.15" customHeight="1">
      <c r="B41" s="82"/>
      <c r="C41" s="26"/>
      <c r="D41" s="226"/>
      <c r="E41" s="226"/>
      <c r="F41" s="226"/>
      <c r="G41" s="226"/>
      <c r="H41" s="226"/>
      <c r="I41" s="206"/>
      <c r="J41" s="226"/>
      <c r="K41" s="226"/>
    </row>
    <row r="42" spans="2:11" s="105" customFormat="1" ht="15" customHeight="1">
      <c r="B42" s="181" t="s">
        <v>17</v>
      </c>
      <c r="C42" s="26"/>
      <c r="D42" s="202">
        <v>22481319.675751202</v>
      </c>
      <c r="E42" s="203">
        <v>40.233089164320702</v>
      </c>
      <c r="F42" s="204"/>
      <c r="G42" s="202">
        <v>13073002.498209201</v>
      </c>
      <c r="H42" s="203">
        <v>44.412614454100698</v>
      </c>
      <c r="I42" s="205"/>
      <c r="J42" s="202">
        <v>9017637.0158447791</v>
      </c>
      <c r="K42" s="203">
        <v>34.452238191621703</v>
      </c>
    </row>
    <row r="43" spans="2:11" ht="6.95" customHeight="1">
      <c r="B43" s="38"/>
      <c r="C43" s="38"/>
      <c r="D43" s="153"/>
      <c r="E43" s="42"/>
      <c r="F43" s="39"/>
      <c r="G43" s="153"/>
      <c r="H43" s="42"/>
      <c r="I43" s="42"/>
      <c r="J43" s="153"/>
      <c r="K43" s="42"/>
    </row>
    <row r="44" spans="2:11" ht="6.95" customHeight="1">
      <c r="B44" s="77"/>
      <c r="C44" s="77"/>
      <c r="D44" s="156"/>
      <c r="E44" s="78"/>
      <c r="F44" s="78"/>
      <c r="G44" s="156"/>
      <c r="H44" s="62"/>
      <c r="I44" s="62"/>
      <c r="J44" s="156"/>
      <c r="K44" s="62"/>
    </row>
    <row r="45" spans="2:11" ht="12" customHeight="1">
      <c r="B45" s="108" t="s">
        <v>64</v>
      </c>
      <c r="C45" s="46"/>
      <c r="E45" s="76"/>
      <c r="F45" s="76"/>
    </row>
    <row r="46" spans="2:11" ht="12" customHeight="1">
      <c r="B46" s="108" t="s">
        <v>33</v>
      </c>
      <c r="C46" s="40"/>
      <c r="E46" s="41"/>
      <c r="F46" s="41"/>
    </row>
    <row r="47" spans="2:11" ht="12" customHeight="1">
      <c r="B47" s="247" t="s">
        <v>77</v>
      </c>
      <c r="C47" s="247"/>
      <c r="D47" s="247"/>
      <c r="E47" s="247"/>
      <c r="F47" s="247"/>
      <c r="G47" s="247"/>
    </row>
    <row r="52" ht="6.95" customHeight="1"/>
  </sheetData>
  <mergeCells count="7">
    <mergeCell ref="B47:G47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C82E518D-214D-461C-A1F4-694F21DDA1A3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1B95-1167-4FF1-ACC8-D7072BB57D7B}">
  <dimension ref="B1:Q52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126</v>
      </c>
      <c r="C5" s="256"/>
      <c r="D5" s="256"/>
      <c r="E5" s="256"/>
      <c r="F5" s="256"/>
      <c r="G5" s="256"/>
      <c r="H5" s="97"/>
      <c r="J5" s="155"/>
      <c r="K5" s="99" t="s">
        <v>19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15" customHeight="1">
      <c r="B7" s="248" t="s">
        <v>102</v>
      </c>
      <c r="C7" s="54"/>
      <c r="D7" s="251" t="s">
        <v>104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15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</row>
    <row r="12" spans="2:17" ht="6.95" customHeight="1">
      <c r="B12" s="33"/>
      <c r="C12" s="34"/>
      <c r="D12" s="208"/>
      <c r="E12" s="209"/>
      <c r="F12" s="210"/>
      <c r="G12" s="208"/>
      <c r="H12" s="209"/>
      <c r="I12" s="206"/>
      <c r="J12" s="208"/>
      <c r="K12" s="209"/>
    </row>
    <row r="13" spans="2:17" ht="15" customHeight="1">
      <c r="B13" s="84" t="s">
        <v>51</v>
      </c>
      <c r="C13" s="27"/>
      <c r="D13" s="208">
        <v>24161547.405797899</v>
      </c>
      <c r="E13" s="209">
        <v>28.003230420488698</v>
      </c>
      <c r="F13" s="210"/>
      <c r="G13" s="208">
        <v>14481167.4064011</v>
      </c>
      <c r="H13" s="209">
        <v>31.285394069757</v>
      </c>
      <c r="I13" s="206"/>
      <c r="J13" s="208">
        <v>9315057.3993251305</v>
      </c>
      <c r="K13" s="209">
        <v>23.383175357284301</v>
      </c>
    </row>
    <row r="14" spans="2:17" ht="15" customHeight="1">
      <c r="B14" s="84" t="s">
        <v>52</v>
      </c>
      <c r="C14" s="26"/>
      <c r="D14" s="208">
        <v>16421331.6012426</v>
      </c>
      <c r="E14" s="209">
        <v>19.020088773422099</v>
      </c>
      <c r="F14" s="210"/>
      <c r="G14" s="208">
        <v>8080901.9585706098</v>
      </c>
      <c r="H14" s="209">
        <v>17.526154099787998</v>
      </c>
      <c r="I14" s="206"/>
      <c r="J14" s="208">
        <v>7994130.0398603799</v>
      </c>
      <c r="K14" s="209">
        <v>20.080907727341199</v>
      </c>
    </row>
    <row r="15" spans="2:17" ht="15" customHeight="1">
      <c r="B15" s="84" t="s">
        <v>53</v>
      </c>
      <c r="C15" s="26"/>
      <c r="D15" s="208">
        <v>22276873.3120545</v>
      </c>
      <c r="E15" s="209">
        <v>25.794159906985101</v>
      </c>
      <c r="F15" s="210"/>
      <c r="G15" s="208">
        <v>11373630.3726939</v>
      </c>
      <c r="H15" s="209">
        <v>24.661072368404099</v>
      </c>
      <c r="I15" s="206"/>
      <c r="J15" s="208">
        <v>10452942.576940199</v>
      </c>
      <c r="K15" s="209">
        <v>26.2932369038597</v>
      </c>
    </row>
    <row r="16" spans="2:17" ht="15" customHeight="1">
      <c r="B16" s="84" t="s">
        <v>54</v>
      </c>
      <c r="C16" s="26"/>
      <c r="D16" s="208">
        <v>8071958.4267763495</v>
      </c>
      <c r="E16" s="209">
        <v>9.3435289152971297</v>
      </c>
      <c r="F16" s="210"/>
      <c r="G16" s="208">
        <v>3833286.2597587402</v>
      </c>
      <c r="H16" s="209">
        <v>8.3059946157634403</v>
      </c>
      <c r="I16" s="206"/>
      <c r="J16" s="208">
        <v>4026381.1343161399</v>
      </c>
      <c r="K16" s="209">
        <v>10.046675391680299</v>
      </c>
    </row>
    <row r="17" spans="2:11" ht="15" customHeight="1">
      <c r="B17" s="84" t="s">
        <v>55</v>
      </c>
      <c r="C17" s="26"/>
      <c r="D17" s="208">
        <v>8281234.5193077</v>
      </c>
      <c r="E17" s="209">
        <v>9.5995003016504601</v>
      </c>
      <c r="F17" s="210"/>
      <c r="G17" s="208">
        <v>3830811.4708699598</v>
      </c>
      <c r="H17" s="209">
        <v>8.2894917982631409</v>
      </c>
      <c r="I17" s="206"/>
      <c r="J17" s="208">
        <v>4221665.3210015101</v>
      </c>
      <c r="K17" s="209">
        <v>10.568901345531099</v>
      </c>
    </row>
    <row r="18" spans="2:11" ht="15" customHeight="1">
      <c r="B18" s="84" t="s">
        <v>65</v>
      </c>
      <c r="C18" s="26"/>
      <c r="D18" s="208">
        <v>2892849.45025098</v>
      </c>
      <c r="E18" s="209">
        <v>3.34800376806766</v>
      </c>
      <c r="F18" s="210"/>
      <c r="G18" s="208">
        <v>1737600.95844382</v>
      </c>
      <c r="H18" s="209">
        <v>3.7551871451975298</v>
      </c>
      <c r="I18" s="206"/>
      <c r="J18" s="208">
        <v>1011817.05928235</v>
      </c>
      <c r="K18" s="209">
        <v>2.52538348118473</v>
      </c>
    </row>
    <row r="19" spans="2:11" ht="6.95" customHeight="1">
      <c r="B19" s="35"/>
      <c r="C19" s="36"/>
      <c r="D19" s="217"/>
      <c r="E19" s="217"/>
      <c r="F19" s="229"/>
      <c r="G19" s="217"/>
      <c r="H19" s="217"/>
      <c r="I19" s="217"/>
      <c r="J19" s="217"/>
      <c r="K19" s="217"/>
    </row>
    <row r="20" spans="2:11" ht="15" customHeight="1">
      <c r="B20" s="185" t="s">
        <v>0</v>
      </c>
      <c r="C20" s="26"/>
      <c r="D20" s="202">
        <v>27919808.370060898</v>
      </c>
      <c r="E20" s="203">
        <v>100</v>
      </c>
      <c r="F20" s="204"/>
      <c r="G20" s="202">
        <v>15147712.0036007</v>
      </c>
      <c r="H20" s="203">
        <v>100</v>
      </c>
      <c r="I20" s="205"/>
      <c r="J20" s="202">
        <v>12466861.324348001</v>
      </c>
      <c r="K20" s="203">
        <v>100</v>
      </c>
    </row>
    <row r="21" spans="2:11" ht="6.95" customHeight="1">
      <c r="B21" s="138"/>
      <c r="C21" s="26"/>
      <c r="D21" s="208"/>
      <c r="E21" s="209"/>
      <c r="F21" s="210"/>
      <c r="G21" s="208"/>
      <c r="H21" s="209"/>
      <c r="I21" s="206"/>
      <c r="J21" s="208"/>
      <c r="K21" s="209"/>
    </row>
    <row r="22" spans="2:11" ht="15" customHeight="1">
      <c r="B22" s="84" t="s">
        <v>51</v>
      </c>
      <c r="C22" s="27"/>
      <c r="D22" s="208">
        <v>9334464.9995404892</v>
      </c>
      <c r="E22" s="209">
        <v>31.9006664111192</v>
      </c>
      <c r="F22" s="210"/>
      <c r="G22" s="208">
        <v>5704043.9327634498</v>
      </c>
      <c r="H22" s="209">
        <v>35.679441546840302</v>
      </c>
      <c r="I22" s="206"/>
      <c r="J22" s="208">
        <v>3447863.7659643502</v>
      </c>
      <c r="K22" s="209">
        <v>25.984063287077799</v>
      </c>
    </row>
    <row r="23" spans="2:11" ht="15" customHeight="1">
      <c r="B23" s="84" t="s">
        <v>52</v>
      </c>
      <c r="C23" s="26"/>
      <c r="D23" s="208">
        <v>5578946.7407870097</v>
      </c>
      <c r="E23" s="209">
        <v>19.088242687850499</v>
      </c>
      <c r="F23" s="210"/>
      <c r="G23" s="208">
        <v>2671743.3217841</v>
      </c>
      <c r="H23" s="209">
        <v>16.804931781088602</v>
      </c>
      <c r="I23" s="206"/>
      <c r="J23" s="208">
        <v>2727663.3701089299</v>
      </c>
      <c r="K23" s="209">
        <v>20.7426640911427</v>
      </c>
    </row>
    <row r="24" spans="2:11" ht="15" customHeight="1">
      <c r="B24" s="84" t="s">
        <v>53</v>
      </c>
      <c r="C24" s="26"/>
      <c r="D24" s="208">
        <v>6436932.5725641502</v>
      </c>
      <c r="E24" s="209">
        <v>22.225466824715401</v>
      </c>
      <c r="F24" s="210"/>
      <c r="G24" s="208">
        <v>3394433.7146588801</v>
      </c>
      <c r="H24" s="209">
        <v>21.5160435024289</v>
      </c>
      <c r="I24" s="206"/>
      <c r="J24" s="208">
        <v>2836822.7103441898</v>
      </c>
      <c r="K24" s="209">
        <v>21.657855590054499</v>
      </c>
    </row>
    <row r="25" spans="2:11" ht="15" customHeight="1">
      <c r="B25" s="84" t="s">
        <v>54</v>
      </c>
      <c r="C25" s="26"/>
      <c r="D25" s="208">
        <v>1979742.99168159</v>
      </c>
      <c r="E25" s="209">
        <v>6.8074970943842299</v>
      </c>
      <c r="F25" s="210"/>
      <c r="G25" s="208">
        <v>908936.34523192095</v>
      </c>
      <c r="H25" s="209">
        <v>5.7414806889805199</v>
      </c>
      <c r="I25" s="206"/>
      <c r="J25" s="208">
        <v>979380.56603828399</v>
      </c>
      <c r="K25" s="209">
        <v>7.4046644311419598</v>
      </c>
    </row>
    <row r="26" spans="2:11" ht="15" customHeight="1">
      <c r="B26" s="84" t="s">
        <v>55</v>
      </c>
      <c r="C26" s="26"/>
      <c r="D26" s="208">
        <v>2209518.5219958201</v>
      </c>
      <c r="E26" s="209">
        <v>7.5619982823683998</v>
      </c>
      <c r="F26" s="210"/>
      <c r="G26" s="208">
        <v>1034418.88115282</v>
      </c>
      <c r="H26" s="209">
        <v>6.4620046848696999</v>
      </c>
      <c r="I26" s="206"/>
      <c r="J26" s="208">
        <v>1042267.0205464</v>
      </c>
      <c r="K26" s="209">
        <v>7.8973393365062901</v>
      </c>
    </row>
    <row r="27" spans="2:11" ht="15" customHeight="1">
      <c r="B27" s="84" t="s">
        <v>65</v>
      </c>
      <c r="C27" s="26"/>
      <c r="D27" s="208">
        <v>1038801.0816642001</v>
      </c>
      <c r="E27" s="209">
        <v>3.5388623182772498</v>
      </c>
      <c r="F27" s="210"/>
      <c r="G27" s="208">
        <v>549194.86119388498</v>
      </c>
      <c r="H27" s="209">
        <v>3.40777401327703</v>
      </c>
      <c r="I27" s="206"/>
      <c r="J27" s="208">
        <v>413853.32544399</v>
      </c>
      <c r="K27" s="209">
        <v>3.1127612978347901</v>
      </c>
    </row>
    <row r="28" spans="2:11" ht="6.95" customHeight="1">
      <c r="B28" s="138"/>
      <c r="C28" s="26"/>
      <c r="D28" s="217"/>
      <c r="E28" s="217"/>
      <c r="F28" s="230"/>
      <c r="G28" s="217"/>
      <c r="H28" s="217"/>
      <c r="I28" s="217"/>
      <c r="J28" s="217"/>
      <c r="K28" s="217"/>
    </row>
    <row r="29" spans="2:11" ht="15" customHeight="1">
      <c r="B29" s="185" t="s">
        <v>1</v>
      </c>
      <c r="C29" s="26"/>
      <c r="D29" s="202">
        <v>54724471.783623897</v>
      </c>
      <c r="E29" s="203">
        <v>100</v>
      </c>
      <c r="F29" s="204"/>
      <c r="G29" s="202">
        <v>28733115.775626201</v>
      </c>
      <c r="H29" s="203">
        <v>100</v>
      </c>
      <c r="I29" s="205"/>
      <c r="J29" s="202">
        <v>25428611.494824</v>
      </c>
      <c r="K29" s="203">
        <v>100</v>
      </c>
    </row>
    <row r="30" spans="2:11" ht="6.95" customHeight="1">
      <c r="B30" s="138"/>
      <c r="C30" s="26"/>
      <c r="D30" s="208"/>
      <c r="E30" s="209"/>
      <c r="F30" s="210"/>
      <c r="G30" s="208"/>
      <c r="H30" s="209"/>
      <c r="I30" s="206"/>
      <c r="J30" s="208"/>
      <c r="K30" s="209"/>
    </row>
    <row r="31" spans="2:11" ht="15" customHeight="1">
      <c r="B31" s="84" t="s">
        <v>51</v>
      </c>
      <c r="C31" s="27"/>
      <c r="D31" s="208">
        <v>14140563.6161613</v>
      </c>
      <c r="E31" s="209">
        <v>25.214801583942101</v>
      </c>
      <c r="F31" s="210"/>
      <c r="G31" s="208">
        <v>8347568.6183474297</v>
      </c>
      <c r="H31" s="209">
        <v>27.981494399687499</v>
      </c>
      <c r="I31" s="206"/>
      <c r="J31" s="208">
        <v>5515747.4829967599</v>
      </c>
      <c r="K31" s="209">
        <v>21.066211532919301</v>
      </c>
    </row>
    <row r="32" spans="2:11" ht="15" customHeight="1">
      <c r="B32" s="84" t="s">
        <v>52</v>
      </c>
      <c r="C32" s="26"/>
      <c r="D32" s="208">
        <v>10290432.270278299</v>
      </c>
      <c r="E32" s="209">
        <v>18.340071718361301</v>
      </c>
      <c r="F32" s="210"/>
      <c r="G32" s="208">
        <v>5095848.4693595404</v>
      </c>
      <c r="H32" s="209">
        <v>17.186773038136</v>
      </c>
      <c r="I32" s="206"/>
      <c r="J32" s="208">
        <v>4928268.9289633101</v>
      </c>
      <c r="K32" s="209">
        <v>18.7830386080248</v>
      </c>
    </row>
    <row r="33" spans="2:11" ht="15" customHeight="1">
      <c r="B33" s="84" t="s">
        <v>53</v>
      </c>
      <c r="C33" s="26"/>
      <c r="D33" s="208">
        <v>15102523.3419948</v>
      </c>
      <c r="E33" s="209">
        <v>27.013175671572998</v>
      </c>
      <c r="F33" s="210"/>
      <c r="G33" s="208">
        <v>7517695.4456682801</v>
      </c>
      <c r="H33" s="209">
        <v>25.4554782818573</v>
      </c>
      <c r="I33" s="206"/>
      <c r="J33" s="208">
        <v>7256197.5012311796</v>
      </c>
      <c r="K33" s="209">
        <v>27.8050778640382</v>
      </c>
    </row>
    <row r="34" spans="2:11" ht="15" customHeight="1">
      <c r="B34" s="84" t="s">
        <v>54</v>
      </c>
      <c r="C34" s="26"/>
      <c r="D34" s="208">
        <v>5796501.9828978796</v>
      </c>
      <c r="E34" s="209">
        <v>10.272706279935599</v>
      </c>
      <c r="F34" s="210"/>
      <c r="G34" s="208">
        <v>2764498.4852591199</v>
      </c>
      <c r="H34" s="209">
        <v>9.2889640360974397</v>
      </c>
      <c r="I34" s="206"/>
      <c r="J34" s="208">
        <v>2849031.7822374301</v>
      </c>
      <c r="K34" s="209">
        <v>10.7310632752285</v>
      </c>
    </row>
    <row r="35" spans="2:11" ht="15" customHeight="1">
      <c r="B35" s="84" t="s">
        <v>55</v>
      </c>
      <c r="C35" s="26"/>
      <c r="D35" s="208">
        <v>5754590.4117695196</v>
      </c>
      <c r="E35" s="209">
        <v>10.234125753277601</v>
      </c>
      <c r="F35" s="210"/>
      <c r="G35" s="208">
        <v>2608251.9337750399</v>
      </c>
      <c r="H35" s="209">
        <v>8.7691713744476196</v>
      </c>
      <c r="I35" s="206"/>
      <c r="J35" s="208">
        <v>2977513.4300421998</v>
      </c>
      <c r="K35" s="209">
        <v>11.262441906674701</v>
      </c>
    </row>
    <row r="36" spans="2:11" ht="15" customHeight="1">
      <c r="B36" s="84" t="s">
        <v>65</v>
      </c>
      <c r="C36" s="26"/>
      <c r="D36" s="208">
        <v>1684614.39254426</v>
      </c>
      <c r="E36" s="209">
        <v>2.9858236456094698</v>
      </c>
      <c r="F36" s="210"/>
      <c r="G36" s="208">
        <v>1067772.06316866</v>
      </c>
      <c r="H36" s="209">
        <v>3.5751244505848701</v>
      </c>
      <c r="I36" s="206"/>
      <c r="J36" s="208">
        <v>505035.34396102303</v>
      </c>
      <c r="K36" s="209">
        <v>1.9063472732248199</v>
      </c>
    </row>
    <row r="37" spans="2:11" ht="6.95" customHeight="1">
      <c r="B37" s="38"/>
      <c r="C37" s="38"/>
      <c r="D37" s="153"/>
      <c r="E37" s="42"/>
      <c r="F37" s="39"/>
      <c r="G37" s="153"/>
      <c r="H37" s="42"/>
      <c r="I37" s="42"/>
      <c r="J37" s="153"/>
      <c r="K37" s="42"/>
    </row>
    <row r="38" spans="2:11" ht="6.95" customHeight="1">
      <c r="B38" s="33"/>
      <c r="C38" s="33"/>
      <c r="E38" s="32"/>
      <c r="F38" s="32"/>
    </row>
    <row r="39" spans="2:11" ht="12" customHeight="1">
      <c r="B39" s="247" t="s">
        <v>77</v>
      </c>
      <c r="C39" s="247"/>
      <c r="D39" s="247"/>
      <c r="E39" s="247"/>
      <c r="F39" s="247"/>
      <c r="G39" s="247"/>
    </row>
    <row r="52" ht="6.95" customHeight="1"/>
  </sheetData>
  <mergeCells count="7">
    <mergeCell ref="B39:G39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1F12CECC-3FBE-4AF0-9115-A33D7D816663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2D60-AB4B-491F-A134-11BECE10D38C}">
  <dimension ref="B1:Q61"/>
  <sheetViews>
    <sheetView showGridLines="0" zoomScaleNormal="100" workbookViewId="0"/>
  </sheetViews>
  <sheetFormatPr baseColWidth="10" defaultColWidth="11.42578125" defaultRowHeight="15"/>
  <cols>
    <col min="1" max="1" width="1.7109375" customWidth="1"/>
    <col min="2" max="2" width="40.7109375" customWidth="1"/>
    <col min="3" max="3" width="1.7109375" customWidth="1"/>
    <col min="4" max="4" width="15.7109375" style="152" customWidth="1"/>
    <col min="5" max="5" width="15.7109375" customWidth="1"/>
    <col min="6" max="6" width="1.7109375" customWidth="1"/>
    <col min="7" max="7" width="15.7109375" style="152" customWidth="1"/>
    <col min="8" max="8" width="15.7109375" customWidth="1"/>
    <col min="9" max="9" width="1.7109375" customWidth="1"/>
    <col min="10" max="10" width="15.7109375" style="152" customWidth="1"/>
    <col min="11" max="11" width="15.7109375" customWidth="1"/>
  </cols>
  <sheetData>
    <row r="1" spans="2:17" s="47" customFormat="1" ht="15" customHeight="1">
      <c r="B1" s="257" t="s">
        <v>138</v>
      </c>
      <c r="C1" s="48"/>
      <c r="D1" s="48"/>
      <c r="K1" s="49" t="s">
        <v>30</v>
      </c>
    </row>
    <row r="2" spans="2:17" s="50" customFormat="1" ht="6.95" customHeight="1">
      <c r="B2" s="51"/>
      <c r="C2" s="51"/>
      <c r="D2" s="149"/>
      <c r="E2" s="51"/>
      <c r="F2" s="51"/>
      <c r="G2" s="149"/>
      <c r="H2" s="52"/>
      <c r="J2" s="154"/>
      <c r="K2" s="52"/>
    </row>
    <row r="3" spans="2:17" s="50" customFormat="1" ht="15" customHeight="1">
      <c r="B3" s="48" t="s">
        <v>136</v>
      </c>
      <c r="C3" s="51"/>
      <c r="D3" s="149"/>
      <c r="E3" s="51"/>
      <c r="F3" s="51"/>
      <c r="G3" s="149"/>
      <c r="H3" s="52"/>
      <c r="J3" s="154"/>
      <c r="K3" s="52"/>
    </row>
    <row r="4" spans="2:17" s="50" customFormat="1" ht="6.95" customHeight="1">
      <c r="B4" s="53"/>
      <c r="C4" s="53"/>
      <c r="D4" s="150"/>
      <c r="E4" s="53"/>
      <c r="F4" s="53"/>
      <c r="G4" s="150"/>
      <c r="H4" s="52"/>
      <c r="J4" s="154"/>
      <c r="K4" s="52"/>
    </row>
    <row r="5" spans="2:17" s="98" customFormat="1" ht="30" customHeight="1">
      <c r="B5" s="256" t="s">
        <v>128</v>
      </c>
      <c r="C5" s="256"/>
      <c r="D5" s="256"/>
      <c r="E5" s="256"/>
      <c r="F5" s="256"/>
      <c r="G5" s="256"/>
      <c r="H5" s="97"/>
      <c r="J5" s="155"/>
      <c r="K5" s="99" t="s">
        <v>72</v>
      </c>
    </row>
    <row r="6" spans="2:17" s="50" customFormat="1" ht="6.95" customHeight="1">
      <c r="D6" s="150"/>
      <c r="E6" s="53"/>
      <c r="F6" s="53"/>
      <c r="G6" s="150"/>
      <c r="H6" s="53"/>
      <c r="J6" s="154"/>
    </row>
    <row r="7" spans="2:17" ht="20.100000000000001" customHeight="1">
      <c r="B7" s="248" t="s">
        <v>127</v>
      </c>
      <c r="C7" s="54"/>
      <c r="D7" s="251" t="s">
        <v>108</v>
      </c>
      <c r="E7" s="251"/>
      <c r="F7" s="191"/>
      <c r="G7" s="253" t="s">
        <v>105</v>
      </c>
      <c r="H7" s="253"/>
      <c r="I7" s="253"/>
      <c r="J7" s="253"/>
      <c r="K7" s="253"/>
    </row>
    <row r="8" spans="2:17" s="55" customFormat="1" ht="20.100000000000001" customHeight="1">
      <c r="B8" s="249"/>
      <c r="C8" s="198"/>
      <c r="D8" s="252"/>
      <c r="E8" s="252"/>
      <c r="F8" s="192"/>
      <c r="G8" s="252" t="s">
        <v>106</v>
      </c>
      <c r="H8" s="252"/>
      <c r="I8" s="192"/>
      <c r="J8" s="252" t="s">
        <v>5</v>
      </c>
      <c r="K8" s="252"/>
      <c r="L8" s="56"/>
      <c r="M8" s="57"/>
      <c r="N8" s="57"/>
      <c r="O8" s="58"/>
      <c r="P8" s="57"/>
      <c r="Q8" s="57"/>
    </row>
    <row r="9" spans="2:17" ht="15" customHeight="1">
      <c r="B9" s="250"/>
      <c r="C9" s="39"/>
      <c r="D9" s="193" t="s">
        <v>107</v>
      </c>
      <c r="E9" s="194" t="s">
        <v>31</v>
      </c>
      <c r="F9" s="195"/>
      <c r="G9" s="193" t="s">
        <v>107</v>
      </c>
      <c r="H9" s="194" t="s">
        <v>31</v>
      </c>
      <c r="I9" s="195"/>
      <c r="J9" s="193" t="s">
        <v>107</v>
      </c>
      <c r="K9" s="194" t="s">
        <v>31</v>
      </c>
    </row>
    <row r="10" spans="2:17" ht="6.95" customHeight="1">
      <c r="B10" s="32"/>
      <c r="C10" s="32"/>
      <c r="D10" s="192"/>
      <c r="E10" s="196"/>
      <c r="F10" s="197"/>
      <c r="G10" s="192"/>
      <c r="H10" s="196"/>
      <c r="I10" s="197"/>
      <c r="J10" s="192"/>
      <c r="K10" s="196"/>
    </row>
    <row r="11" spans="2:17" ht="15" customHeight="1">
      <c r="B11" s="80" t="s">
        <v>2</v>
      </c>
      <c r="C11" s="34"/>
      <c r="D11" s="202">
        <v>85074250.450445905</v>
      </c>
      <c r="E11" s="203">
        <v>100</v>
      </c>
      <c r="F11" s="204"/>
      <c r="G11" s="202">
        <v>45189093.536525302</v>
      </c>
      <c r="H11" s="203">
        <v>100</v>
      </c>
      <c r="I11" s="205"/>
      <c r="J11" s="202">
        <v>38949471.211108603</v>
      </c>
      <c r="K11" s="203">
        <v>100</v>
      </c>
    </row>
    <row r="12" spans="2:17" ht="6.95" customHeight="1">
      <c r="B12" s="33"/>
      <c r="C12" s="34"/>
      <c r="D12" s="208"/>
      <c r="E12" s="209"/>
      <c r="F12" s="204"/>
      <c r="G12" s="208"/>
      <c r="H12" s="209"/>
      <c r="I12" s="205"/>
      <c r="J12" s="208"/>
      <c r="K12" s="209"/>
    </row>
    <row r="13" spans="2:17" ht="15" customHeight="1">
      <c r="B13" s="181" t="s">
        <v>75</v>
      </c>
      <c r="C13" s="27"/>
      <c r="D13" s="202">
        <v>9094753.0900839102</v>
      </c>
      <c r="E13" s="203">
        <v>10.524143740604901</v>
      </c>
      <c r="F13" s="204"/>
      <c r="G13" s="202">
        <v>4825108.8005165104</v>
      </c>
      <c r="H13" s="203">
        <v>10.428507661316599</v>
      </c>
      <c r="I13" s="205"/>
      <c r="J13" s="202">
        <v>4069593.2919344599</v>
      </c>
      <c r="K13" s="203">
        <v>10.1757784467521</v>
      </c>
    </row>
    <row r="14" spans="2:17" ht="6.95" customHeight="1">
      <c r="B14" s="81"/>
      <c r="C14" s="27"/>
      <c r="D14" s="208"/>
      <c r="E14" s="209"/>
      <c r="F14" s="210"/>
      <c r="G14" s="208"/>
      <c r="H14" s="209"/>
      <c r="I14" s="206"/>
      <c r="J14" s="208"/>
      <c r="K14" s="209"/>
    </row>
    <row r="15" spans="2:17" ht="30" customHeight="1">
      <c r="B15" s="200" t="s">
        <v>132</v>
      </c>
      <c r="C15" s="27"/>
      <c r="D15" s="208">
        <v>283813.00155661802</v>
      </c>
      <c r="E15" s="209">
        <v>2.8732770969033901</v>
      </c>
      <c r="F15" s="210"/>
      <c r="G15" s="208">
        <v>126778.939377252</v>
      </c>
      <c r="H15" s="209">
        <v>2.38495215478763</v>
      </c>
      <c r="I15" s="206"/>
      <c r="J15" s="208">
        <v>119337.91464703</v>
      </c>
      <c r="K15" s="209">
        <v>2.6353247863467799</v>
      </c>
    </row>
    <row r="16" spans="2:17" ht="30" customHeight="1">
      <c r="B16" s="200" t="s">
        <v>133</v>
      </c>
      <c r="C16" s="27"/>
      <c r="D16" s="208">
        <v>1158183.4799552001</v>
      </c>
      <c r="E16" s="209">
        <v>12.1265834337943</v>
      </c>
      <c r="F16" s="210"/>
      <c r="G16" s="208">
        <v>560068.09275957604</v>
      </c>
      <c r="H16" s="209">
        <v>10.861878267962901</v>
      </c>
      <c r="I16" s="206"/>
      <c r="J16" s="208">
        <v>542645.92176527402</v>
      </c>
      <c r="K16" s="209">
        <v>12.3397455567665</v>
      </c>
    </row>
    <row r="17" spans="2:11" ht="15" customHeight="1">
      <c r="B17" s="200" t="s">
        <v>44</v>
      </c>
      <c r="C17" s="26"/>
      <c r="D17" s="208">
        <v>2234491.98873254</v>
      </c>
      <c r="E17" s="209">
        <v>22.9934234559625</v>
      </c>
      <c r="F17" s="210"/>
      <c r="G17" s="208">
        <v>1070750.9149641499</v>
      </c>
      <c r="H17" s="209">
        <v>20.581739626859701</v>
      </c>
      <c r="I17" s="206"/>
      <c r="J17" s="208">
        <v>1044665.14865901</v>
      </c>
      <c r="K17" s="209">
        <v>23.547704954262699</v>
      </c>
    </row>
    <row r="18" spans="2:11" ht="15" customHeight="1">
      <c r="B18" s="200" t="s">
        <v>45</v>
      </c>
      <c r="C18" s="26"/>
      <c r="D18" s="208">
        <v>3582926.4006988802</v>
      </c>
      <c r="E18" s="209">
        <v>37.790019477951297</v>
      </c>
      <c r="F18" s="210"/>
      <c r="G18" s="208">
        <v>1926018.4679691701</v>
      </c>
      <c r="H18" s="209">
        <v>38.266266630527703</v>
      </c>
      <c r="I18" s="206"/>
      <c r="J18" s="208">
        <v>1532717.3319042199</v>
      </c>
      <c r="K18" s="209">
        <v>35.121542833556099</v>
      </c>
    </row>
    <row r="19" spans="2:11" ht="15" customHeight="1">
      <c r="B19" s="200" t="s">
        <v>47</v>
      </c>
      <c r="C19" s="26"/>
      <c r="D19" s="208">
        <v>619124.06680821499</v>
      </c>
      <c r="E19" s="209">
        <v>6.4146844348349701</v>
      </c>
      <c r="F19" s="210"/>
      <c r="G19" s="208">
        <v>234182.402610544</v>
      </c>
      <c r="H19" s="209">
        <v>4.3893163344419701</v>
      </c>
      <c r="I19" s="206"/>
      <c r="J19" s="208">
        <v>316846.32413766399</v>
      </c>
      <c r="K19" s="209">
        <v>7.3678523555887496</v>
      </c>
    </row>
    <row r="20" spans="2:11" ht="15" customHeight="1">
      <c r="B20" s="201" t="s">
        <v>134</v>
      </c>
      <c r="C20" s="26"/>
      <c r="D20" s="216">
        <v>392372.94417206902</v>
      </c>
      <c r="E20" s="216">
        <v>4.0108567991103099</v>
      </c>
      <c r="F20" s="216"/>
      <c r="G20" s="216">
        <v>271735.09178326401</v>
      </c>
      <c r="H20" s="216">
        <v>5.2113713050527899</v>
      </c>
      <c r="I20" s="217"/>
      <c r="J20" s="216">
        <v>67367.900773195099</v>
      </c>
      <c r="K20" s="216">
        <v>1.50755732681635</v>
      </c>
    </row>
    <row r="21" spans="2:11" ht="15" customHeight="1">
      <c r="B21" s="178" t="s">
        <v>129</v>
      </c>
      <c r="C21" s="26"/>
      <c r="D21" s="216">
        <v>1193966.4789063099</v>
      </c>
      <c r="E21" s="216">
        <v>12.314311208787499</v>
      </c>
      <c r="F21" s="216"/>
      <c r="G21" s="216">
        <v>553251.42705946299</v>
      </c>
      <c r="H21" s="216">
        <v>10.5970579166836</v>
      </c>
      <c r="I21" s="217"/>
      <c r="J21" s="216">
        <v>562342.52802676801</v>
      </c>
      <c r="K21" s="216">
        <v>12.562694478846399</v>
      </c>
    </row>
    <row r="22" spans="2:11" ht="15" customHeight="1">
      <c r="B22" s="178" t="s">
        <v>69</v>
      </c>
      <c r="C22" s="26"/>
      <c r="D22" s="216">
        <v>249341.75878869201</v>
      </c>
      <c r="E22" s="216">
        <v>2.58715922251019</v>
      </c>
      <c r="F22" s="216"/>
      <c r="G22" s="216">
        <v>131928.10090049199</v>
      </c>
      <c r="H22" s="216">
        <v>2.4881076062749599</v>
      </c>
      <c r="I22" s="217"/>
      <c r="J22" s="216">
        <v>47438.047147913298</v>
      </c>
      <c r="K22" s="216">
        <v>1.18910288228866</v>
      </c>
    </row>
    <row r="23" spans="2:11" ht="6.95" customHeight="1">
      <c r="B23" s="199"/>
      <c r="C23" s="26"/>
      <c r="D23" s="216"/>
      <c r="E23" s="216"/>
      <c r="F23" s="216"/>
      <c r="G23" s="216"/>
      <c r="H23" s="216"/>
      <c r="I23" s="217"/>
      <c r="J23" s="216"/>
      <c r="K23" s="216"/>
    </row>
    <row r="24" spans="2:11" ht="15" customHeight="1">
      <c r="B24" s="181" t="s">
        <v>76</v>
      </c>
      <c r="C24" s="26"/>
      <c r="D24" s="202">
        <v>75201025.857859403</v>
      </c>
      <c r="E24" s="203">
        <v>87.7519104161358</v>
      </c>
      <c r="F24" s="204"/>
      <c r="G24" s="202">
        <v>39929402.044857301</v>
      </c>
      <c r="H24" s="203">
        <v>87.555968835986306</v>
      </c>
      <c r="I24" s="205"/>
      <c r="J24" s="202">
        <v>34424225.324014597</v>
      </c>
      <c r="K24" s="203">
        <v>87.519737382904395</v>
      </c>
    </row>
    <row r="25" spans="2:11" ht="6.95" customHeight="1">
      <c r="B25" s="35"/>
      <c r="C25" s="36"/>
      <c r="D25" s="217"/>
      <c r="E25" s="217"/>
      <c r="F25" s="229"/>
      <c r="G25" s="217"/>
      <c r="H25" s="217"/>
      <c r="I25" s="217"/>
      <c r="J25" s="217"/>
      <c r="K25" s="217"/>
    </row>
    <row r="26" spans="2:11" ht="15" customHeight="1">
      <c r="B26" s="185" t="s">
        <v>0</v>
      </c>
      <c r="C26" s="26"/>
      <c r="D26" s="202">
        <v>27919808.370060898</v>
      </c>
      <c r="E26" s="203">
        <v>100</v>
      </c>
      <c r="F26" s="204"/>
      <c r="G26" s="202">
        <v>15147712.0036007</v>
      </c>
      <c r="H26" s="203">
        <v>100</v>
      </c>
      <c r="I26" s="205"/>
      <c r="J26" s="202">
        <v>12466861.324348001</v>
      </c>
      <c r="K26" s="203">
        <v>100</v>
      </c>
    </row>
    <row r="27" spans="2:11" ht="6.95" customHeight="1">
      <c r="B27" s="138"/>
      <c r="C27" s="26"/>
      <c r="D27" s="208"/>
      <c r="E27" s="209"/>
      <c r="F27" s="204"/>
      <c r="G27" s="208"/>
      <c r="H27" s="209"/>
      <c r="I27" s="205"/>
      <c r="J27" s="208"/>
      <c r="K27" s="209"/>
    </row>
    <row r="28" spans="2:11" ht="15" customHeight="1">
      <c r="B28" s="181" t="s">
        <v>75</v>
      </c>
      <c r="C28" s="27"/>
      <c r="D28" s="202">
        <v>5398142.93559827</v>
      </c>
      <c r="E28" s="203">
        <v>18.2478824734692</v>
      </c>
      <c r="F28" s="204"/>
      <c r="G28" s="202">
        <v>2809681.5366833899</v>
      </c>
      <c r="H28" s="203">
        <v>17.401978921587801</v>
      </c>
      <c r="I28" s="205"/>
      <c r="J28" s="202">
        <v>2467075.5257216999</v>
      </c>
      <c r="K28" s="203">
        <v>18.409292183298799</v>
      </c>
    </row>
    <row r="29" spans="2:11" ht="6.95" customHeight="1">
      <c r="B29" s="81"/>
      <c r="C29" s="27"/>
      <c r="D29" s="208"/>
      <c r="E29" s="209"/>
      <c r="F29" s="210"/>
      <c r="G29" s="208"/>
      <c r="H29" s="209"/>
      <c r="I29" s="206"/>
      <c r="J29" s="208"/>
      <c r="K29" s="209"/>
    </row>
    <row r="30" spans="2:11" ht="30" customHeight="1">
      <c r="B30" s="200" t="s">
        <v>132</v>
      </c>
      <c r="C30" s="27"/>
      <c r="D30" s="208">
        <v>58448.920820663101</v>
      </c>
      <c r="E30" s="209">
        <v>0.97170319030902397</v>
      </c>
      <c r="F30" s="210"/>
      <c r="G30" s="208">
        <v>20243.6547248852</v>
      </c>
      <c r="H30" s="209">
        <v>0.64289565222345202</v>
      </c>
      <c r="I30" s="206"/>
      <c r="J30" s="208">
        <v>11033.225743418499</v>
      </c>
      <c r="K30" s="209">
        <v>0.396712133615091</v>
      </c>
    </row>
    <row r="31" spans="2:11" ht="30" customHeight="1">
      <c r="B31" s="200" t="s">
        <v>133</v>
      </c>
      <c r="C31" s="27"/>
      <c r="D31" s="208">
        <v>637046.41048967303</v>
      </c>
      <c r="E31" s="209">
        <v>11.1227066408702</v>
      </c>
      <c r="F31" s="210"/>
      <c r="G31" s="208">
        <v>321192.02069004701</v>
      </c>
      <c r="H31" s="209">
        <v>10.7011081690135</v>
      </c>
      <c r="I31" s="206"/>
      <c r="J31" s="208">
        <v>275989.93344169599</v>
      </c>
      <c r="K31" s="209">
        <v>10.1940449426393</v>
      </c>
    </row>
    <row r="32" spans="2:11" ht="15" customHeight="1">
      <c r="B32" s="200" t="s">
        <v>44</v>
      </c>
      <c r="C32" s="26"/>
      <c r="D32" s="208">
        <v>1413597.3799783899</v>
      </c>
      <c r="E32" s="209">
        <v>23.783886049104201</v>
      </c>
      <c r="F32" s="210"/>
      <c r="G32" s="208">
        <v>640165.93459419697</v>
      </c>
      <c r="H32" s="209">
        <v>20.6057755569467</v>
      </c>
      <c r="I32" s="206"/>
      <c r="J32" s="208">
        <v>681538.68371893303</v>
      </c>
      <c r="K32" s="209">
        <v>24.4799707381388</v>
      </c>
    </row>
    <row r="33" spans="2:11" ht="15" customHeight="1">
      <c r="B33" s="200" t="s">
        <v>45</v>
      </c>
      <c r="C33" s="26"/>
      <c r="D33" s="208">
        <v>1935034.8806082001</v>
      </c>
      <c r="E33" s="209">
        <v>33.8845282084852</v>
      </c>
      <c r="F33" s="210"/>
      <c r="G33" s="208">
        <v>1015938.43700226</v>
      </c>
      <c r="H33" s="209">
        <v>34.205100353932103</v>
      </c>
      <c r="I33" s="206"/>
      <c r="J33" s="208">
        <v>857191.51144384395</v>
      </c>
      <c r="K33" s="209">
        <v>31.4474881363276</v>
      </c>
    </row>
    <row r="34" spans="2:11" ht="15" customHeight="1">
      <c r="B34" s="200" t="s">
        <v>47</v>
      </c>
      <c r="C34" s="26"/>
      <c r="D34" s="208">
        <v>424461.96944634803</v>
      </c>
      <c r="E34" s="209">
        <v>7.2400515556200604</v>
      </c>
      <c r="F34" s="210"/>
      <c r="G34" s="208">
        <v>159976.75745408799</v>
      </c>
      <c r="H34" s="209">
        <v>4.9339107264653501</v>
      </c>
      <c r="I34" s="206"/>
      <c r="J34" s="208">
        <v>209561.37335662101</v>
      </c>
      <c r="K34" s="209">
        <v>8.0052013541768403</v>
      </c>
    </row>
    <row r="35" spans="2:11" ht="15" customHeight="1">
      <c r="B35" s="201" t="s">
        <v>134</v>
      </c>
      <c r="C35" s="26"/>
      <c r="D35" s="208">
        <v>253064.82402439101</v>
      </c>
      <c r="E35" s="209">
        <v>4.1842411286096404</v>
      </c>
      <c r="F35" s="210"/>
      <c r="G35" s="208">
        <v>173232.46082439201</v>
      </c>
      <c r="H35" s="209">
        <v>5.5655886255641898</v>
      </c>
      <c r="I35" s="206"/>
      <c r="J35" s="208">
        <v>39498.050239672797</v>
      </c>
      <c r="K35" s="209">
        <v>1.3821024634274199</v>
      </c>
    </row>
    <row r="36" spans="2:11" ht="15" customHeight="1">
      <c r="B36" s="201" t="s">
        <v>135</v>
      </c>
      <c r="C36" s="26"/>
      <c r="D36" s="208">
        <v>650552.69216674694</v>
      </c>
      <c r="E36" s="209">
        <v>11.041846810357301</v>
      </c>
      <c r="F36" s="210"/>
      <c r="G36" s="208">
        <v>270064.379482969</v>
      </c>
      <c r="H36" s="209">
        <v>8.6391302497781499</v>
      </c>
      <c r="I36" s="206"/>
      <c r="J36" s="208">
        <v>325304.26822423202</v>
      </c>
      <c r="K36" s="209">
        <v>11.6081878846897</v>
      </c>
    </row>
    <row r="37" spans="2:11" ht="15" customHeight="1">
      <c r="B37" s="178" t="s">
        <v>69</v>
      </c>
      <c r="C37" s="26"/>
      <c r="D37" s="208">
        <v>132639.03915245199</v>
      </c>
      <c r="E37" s="209">
        <v>2.2751333417238402</v>
      </c>
      <c r="F37" s="210"/>
      <c r="G37" s="208">
        <v>94783.929524353996</v>
      </c>
      <c r="H37" s="209">
        <v>2.9630733376677001</v>
      </c>
      <c r="I37" s="206"/>
      <c r="J37" s="208">
        <v>0</v>
      </c>
      <c r="K37" s="209">
        <v>0</v>
      </c>
    </row>
    <row r="38" spans="2:11" ht="6.95" customHeight="1">
      <c r="B38" s="82"/>
      <c r="C38" s="26"/>
      <c r="D38" s="216"/>
      <c r="E38" s="216"/>
      <c r="F38" s="216"/>
      <c r="G38" s="216"/>
      <c r="H38" s="216"/>
      <c r="I38" s="217"/>
      <c r="J38" s="216"/>
      <c r="K38" s="216"/>
    </row>
    <row r="39" spans="2:11" ht="15" customHeight="1">
      <c r="B39" s="181" t="s">
        <v>76</v>
      </c>
      <c r="C39" s="26"/>
      <c r="D39" s="202">
        <v>22016267.0991215</v>
      </c>
      <c r="E39" s="203">
        <v>77.523893217708604</v>
      </c>
      <c r="F39" s="204"/>
      <c r="G39" s="202">
        <v>12054259.2700343</v>
      </c>
      <c r="H39" s="203">
        <v>78.153434506747999</v>
      </c>
      <c r="I39" s="205"/>
      <c r="J39" s="202">
        <v>9673700.4315544106</v>
      </c>
      <c r="K39" s="203">
        <v>75.904107081016406</v>
      </c>
    </row>
    <row r="40" spans="2:11" ht="6.95" customHeight="1">
      <c r="B40" s="138"/>
      <c r="C40" s="26"/>
      <c r="D40" s="217"/>
      <c r="E40" s="217"/>
      <c r="F40" s="230"/>
      <c r="G40" s="217"/>
      <c r="H40" s="217"/>
      <c r="I40" s="217"/>
      <c r="J40" s="217"/>
      <c r="K40" s="217"/>
    </row>
    <row r="41" spans="2:11" ht="15" customHeight="1">
      <c r="B41" s="138" t="s">
        <v>1</v>
      </c>
      <c r="C41" s="26"/>
      <c r="D41" s="202">
        <v>54724471.783623897</v>
      </c>
      <c r="E41" s="203">
        <v>100</v>
      </c>
      <c r="F41" s="204"/>
      <c r="G41" s="202">
        <v>28733115.775626201</v>
      </c>
      <c r="H41" s="203">
        <v>100</v>
      </c>
      <c r="I41" s="205"/>
      <c r="J41" s="202">
        <v>25428611.494824</v>
      </c>
      <c r="K41" s="203">
        <v>100</v>
      </c>
    </row>
    <row r="42" spans="2:11" ht="6.75" customHeight="1">
      <c r="B42" s="138"/>
      <c r="C42" s="26"/>
      <c r="D42" s="208"/>
      <c r="E42" s="209"/>
      <c r="F42" s="204"/>
      <c r="G42" s="208"/>
      <c r="H42" s="209"/>
      <c r="I42" s="205"/>
      <c r="J42" s="208"/>
      <c r="K42" s="209"/>
    </row>
    <row r="43" spans="2:11" ht="15" customHeight="1">
      <c r="B43" s="181" t="s">
        <v>75</v>
      </c>
      <c r="C43" s="27"/>
      <c r="D43" s="202">
        <v>3359590.37836025</v>
      </c>
      <c r="E43" s="203">
        <v>5.9746645659339803</v>
      </c>
      <c r="F43" s="204"/>
      <c r="G43" s="202">
        <v>1786712.3001293601</v>
      </c>
      <c r="H43" s="203">
        <v>5.9958753877043502</v>
      </c>
      <c r="I43" s="205"/>
      <c r="J43" s="202">
        <v>1407996.3344793499</v>
      </c>
      <c r="K43" s="203">
        <v>5.3508722070560601</v>
      </c>
    </row>
    <row r="44" spans="2:11" ht="6.95" customHeight="1">
      <c r="B44" s="81"/>
      <c r="C44" s="27"/>
      <c r="D44" s="208"/>
      <c r="E44" s="209"/>
      <c r="F44" s="210"/>
      <c r="G44" s="208"/>
      <c r="H44" s="209"/>
      <c r="I44" s="206"/>
      <c r="J44" s="208"/>
      <c r="K44" s="209"/>
    </row>
    <row r="45" spans="2:11" ht="30" customHeight="1">
      <c r="B45" s="200" t="s">
        <v>132</v>
      </c>
      <c r="C45" s="27"/>
      <c r="D45" s="208">
        <v>180265.17043660901</v>
      </c>
      <c r="E45" s="209">
        <v>4.80689347335165</v>
      </c>
      <c r="F45" s="210"/>
      <c r="G45" s="208">
        <v>81475.172658029798</v>
      </c>
      <c r="H45" s="209">
        <v>3.8155382979688199</v>
      </c>
      <c r="I45" s="206"/>
      <c r="J45" s="208">
        <v>72837.031230876702</v>
      </c>
      <c r="K45" s="209">
        <v>4.5077285070108504</v>
      </c>
    </row>
    <row r="46" spans="2:11" ht="30" customHeight="1">
      <c r="B46" s="200" t="s">
        <v>133</v>
      </c>
      <c r="C46" s="27"/>
      <c r="D46" s="208">
        <v>423084.50774897297</v>
      </c>
      <c r="E46" s="209">
        <v>11.3005824275346</v>
      </c>
      <c r="F46" s="210"/>
      <c r="G46" s="208">
        <v>182402.08950964801</v>
      </c>
      <c r="H46" s="209">
        <v>8.4938798272261007</v>
      </c>
      <c r="I46" s="206"/>
      <c r="J46" s="208">
        <v>201471.16765209101</v>
      </c>
      <c r="K46" s="209">
        <v>12.495610507940601</v>
      </c>
    </row>
    <row r="47" spans="2:11" ht="15" customHeight="1">
      <c r="B47" s="200" t="s">
        <v>44</v>
      </c>
      <c r="C47" s="26"/>
      <c r="D47" s="208">
        <v>702712.48820299201</v>
      </c>
      <c r="E47" s="209">
        <v>19.135064085256801</v>
      </c>
      <c r="F47" s="210"/>
      <c r="G47" s="208">
        <v>348592.50553756702</v>
      </c>
      <c r="H47" s="209">
        <v>17.2154906380119</v>
      </c>
      <c r="I47" s="206"/>
      <c r="J47" s="208">
        <v>281039.52324639901</v>
      </c>
      <c r="K47" s="209">
        <v>17.680185002734099</v>
      </c>
    </row>
    <row r="48" spans="2:11" ht="15" customHeight="1">
      <c r="B48" s="200" t="s">
        <v>45</v>
      </c>
      <c r="C48" s="26"/>
      <c r="D48" s="208">
        <v>1418622.27424859</v>
      </c>
      <c r="E48" s="209">
        <v>40.170081957134897</v>
      </c>
      <c r="F48" s="210"/>
      <c r="G48" s="208">
        <v>746120.55635339394</v>
      </c>
      <c r="H48" s="209">
        <v>39.629868210514097</v>
      </c>
      <c r="I48" s="206"/>
      <c r="J48" s="208">
        <v>551726.02935405995</v>
      </c>
      <c r="K48" s="209">
        <v>36.215119851196597</v>
      </c>
    </row>
    <row r="49" spans="2:11" ht="15" customHeight="1">
      <c r="B49" s="200" t="s">
        <v>47</v>
      </c>
      <c r="C49" s="26"/>
      <c r="D49" s="208">
        <v>121601.545668548</v>
      </c>
      <c r="E49" s="209">
        <v>3.2987361203338499</v>
      </c>
      <c r="F49" s="210"/>
      <c r="G49" s="208">
        <v>39837.695468670398</v>
      </c>
      <c r="H49" s="209">
        <v>1.9243392854038199</v>
      </c>
      <c r="I49" s="206"/>
      <c r="J49" s="208">
        <v>45268.878247469198</v>
      </c>
      <c r="K49" s="209">
        <v>2.94932013860043</v>
      </c>
    </row>
    <row r="50" spans="2:11" ht="15" customHeight="1">
      <c r="B50" s="201" t="s">
        <v>134</v>
      </c>
      <c r="C50" s="26"/>
      <c r="D50" s="208">
        <v>82321.245326900898</v>
      </c>
      <c r="E50" s="209">
        <v>2.2448374413640599</v>
      </c>
      <c r="F50" s="210"/>
      <c r="G50" s="208">
        <v>51783.1588215761</v>
      </c>
      <c r="H50" s="209">
        <v>2.5396615954278898</v>
      </c>
      <c r="I50" s="206"/>
      <c r="J50" s="208">
        <v>0</v>
      </c>
      <c r="K50" s="209">
        <v>2.5831524662254399E-2</v>
      </c>
    </row>
    <row r="51" spans="2:11" ht="15" customHeight="1">
      <c r="B51" s="201" t="s">
        <v>135</v>
      </c>
      <c r="C51" s="26"/>
      <c r="D51" s="208">
        <v>443212.89863534499</v>
      </c>
      <c r="E51" s="209">
        <v>11.982220930840301</v>
      </c>
      <c r="F51" s="210"/>
      <c r="G51" s="208">
        <v>209015.416900729</v>
      </c>
      <c r="H51" s="209">
        <v>10.365574496132901</v>
      </c>
      <c r="I51" s="206"/>
      <c r="J51" s="208">
        <v>180412.13638288699</v>
      </c>
      <c r="K51" s="209">
        <v>10.989818311316</v>
      </c>
    </row>
    <row r="52" spans="2:11">
      <c r="B52" s="201" t="s">
        <v>69</v>
      </c>
      <c r="C52" s="26"/>
      <c r="D52" s="208">
        <v>59628.398904458903</v>
      </c>
      <c r="E52" s="209">
        <v>1.61732965642717</v>
      </c>
      <c r="F52" s="210"/>
      <c r="G52" s="208">
        <v>3938.2503704567098</v>
      </c>
      <c r="H52" s="209">
        <v>0.19129903635091999</v>
      </c>
      <c r="I52" s="206"/>
      <c r="J52" s="208">
        <v>26744.795920235101</v>
      </c>
      <c r="K52" s="209">
        <v>1.6994579729981301</v>
      </c>
    </row>
    <row r="53" spans="2:11" ht="6.95" customHeight="1">
      <c r="B53" s="82"/>
      <c r="C53" s="26"/>
      <c r="D53" s="216"/>
      <c r="E53" s="216"/>
      <c r="F53" s="216"/>
      <c r="G53" s="216"/>
      <c r="H53" s="216"/>
      <c r="I53" s="217"/>
      <c r="J53" s="216"/>
      <c r="K53" s="216"/>
    </row>
    <row r="54" spans="2:11" ht="15" customHeight="1">
      <c r="B54" s="181" t="s">
        <v>76</v>
      </c>
      <c r="C54" s="26"/>
      <c r="D54" s="202">
        <v>51064864.797455803</v>
      </c>
      <c r="E54" s="203">
        <v>92.664514319132607</v>
      </c>
      <c r="F54" s="204"/>
      <c r="G54" s="202">
        <v>26704230.167739101</v>
      </c>
      <c r="H54" s="203">
        <v>92.009224670715497</v>
      </c>
      <c r="I54" s="205"/>
      <c r="J54" s="202">
        <v>23820786.4565439</v>
      </c>
      <c r="K54" s="203">
        <v>92.807534909517599</v>
      </c>
    </row>
    <row r="55" spans="2:11" ht="6.95" customHeight="1">
      <c r="B55" s="38"/>
      <c r="C55" s="38"/>
      <c r="D55" s="153"/>
      <c r="E55" s="42"/>
      <c r="F55" s="39"/>
      <c r="G55" s="153"/>
      <c r="H55" s="42"/>
      <c r="I55" s="42"/>
      <c r="J55" s="153"/>
      <c r="K55" s="42"/>
    </row>
    <row r="56" spans="2:11" ht="6.95" customHeight="1">
      <c r="B56" s="33"/>
      <c r="C56" s="33"/>
      <c r="E56" s="32"/>
      <c r="F56" s="32"/>
    </row>
    <row r="57" spans="2:11" ht="12" customHeight="1">
      <c r="B57" s="108" t="s">
        <v>70</v>
      </c>
      <c r="C57" s="33"/>
      <c r="E57" s="32"/>
      <c r="F57" s="32"/>
    </row>
    <row r="58" spans="2:11" ht="12" customHeight="1">
      <c r="B58" s="108" t="s">
        <v>71</v>
      </c>
      <c r="C58" s="33"/>
      <c r="E58" s="32"/>
      <c r="F58" s="32"/>
    </row>
    <row r="59" spans="2:11" ht="12" customHeight="1">
      <c r="B59" s="108" t="s">
        <v>131</v>
      </c>
      <c r="C59" s="108"/>
      <c r="D59" s="108"/>
      <c r="E59" s="108"/>
      <c r="F59" s="108"/>
      <c r="G59" s="108"/>
      <c r="H59" s="108"/>
      <c r="I59" s="108"/>
      <c r="J59" s="108"/>
      <c r="K59" s="108"/>
    </row>
    <row r="60" spans="2:11" ht="12" customHeight="1">
      <c r="B60" s="247" t="s">
        <v>77</v>
      </c>
      <c r="C60" s="247"/>
      <c r="D60" s="247"/>
      <c r="E60" s="247"/>
      <c r="F60" s="247"/>
      <c r="G60" s="247"/>
    </row>
    <row r="61" spans="2:11">
      <c r="B61" s="59"/>
      <c r="C61" s="40"/>
      <c r="E61" s="41"/>
      <c r="F61" s="41"/>
    </row>
  </sheetData>
  <mergeCells count="7">
    <mergeCell ref="B60:G60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362B8913-CDA9-4CEC-B363-5AA6E5A0A58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ÍNDICE</vt:lpstr>
      <vt:lpstr>Cuadro 4.1</vt:lpstr>
      <vt:lpstr>Cuadro 4.2</vt:lpstr>
      <vt:lpstr>Cuadro 4.3</vt:lpstr>
      <vt:lpstr>Cuadro 4.4</vt:lpstr>
      <vt:lpstr>Cuadro 4.5</vt:lpstr>
      <vt:lpstr>Cuadro 4.6</vt:lpstr>
      <vt:lpstr>Cuadro 4.7</vt:lpstr>
      <vt:lpstr>Cuadro 4.8</vt:lpstr>
      <vt:lpstr>Cuadro 4.9</vt:lpstr>
      <vt:lpstr>Cuadro 4.10</vt:lpstr>
      <vt:lpstr>Cuadro 4.11</vt:lpstr>
      <vt:lpstr>Cuadro 4.12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2021-06-16T18:51:48Z</dcterms:created>
  <dcterms:modified xsi:type="dcterms:W3CDTF">2025-03-11T17:23:49Z</dcterms:modified>
</cp:coreProperties>
</file>