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4\"/>
    </mc:Choice>
  </mc:AlternateContent>
  <xr:revisionPtr revIDLastSave="0" documentId="13_ncr:1_{9B9DBF01-1FF6-441A-8915-507ED30D077B}" xr6:coauthVersionLast="47" xr6:coauthVersionMax="47" xr10:uidLastSave="{00000000-0000-0000-0000-000000000000}"/>
  <bookViews>
    <workbookView xWindow="-120" yWindow="-120" windowWidth="29040" windowHeight="15840" tabRatio="882" xr2:uid="{00000000-000D-0000-FFFF-FFFF00000000}"/>
  </bookViews>
  <sheets>
    <sheet name="ÍNDICE" sheetId="29" r:id="rId1"/>
    <sheet name="Cuadro 4.1" sheetId="35" r:id="rId2"/>
    <sheet name="Cuadro 4.2" sheetId="16" r:id="rId3"/>
    <sheet name="Cuadro 4.3" sheetId="34" r:id="rId4"/>
    <sheet name="Cuadro 4.4" sheetId="33" r:id="rId5"/>
    <sheet name="Cuadro 4.5" sheetId="32" r:id="rId6"/>
    <sheet name="Cuadro 4.6" sheetId="40" r:id="rId7"/>
    <sheet name="Cuadro 4.7" sheetId="39" r:id="rId8"/>
    <sheet name="Cuadro 4.8" sheetId="38" r:id="rId9"/>
    <sheet name="Cuadro 4.9" sheetId="37" r:id="rId10"/>
    <sheet name="Cuadro 4.10" sheetId="31" r:id="rId11"/>
    <sheet name="Cuadro 4.11" sheetId="36" r:id="rId12"/>
    <sheet name="Cuadro 4.12" sheetId="30" r:id="rId13"/>
  </sheets>
  <externalReferences>
    <externalReference r:id="rId14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3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>#REF!</definedName>
    <definedName name="Cuadro_2.3">#REF!</definedName>
    <definedName name="DESTINO">#REF!</definedName>
    <definedName name="índice">#REF!</definedName>
    <definedName name="Ir_a_inicio">'[1]Cuadro 1'!#REF!</definedName>
    <definedName name="Libro1">'[1]Cuadro 1'!#REF!</definedName>
    <definedName name="No">#REF!</definedName>
    <definedName name="paso">#REF!</definedName>
    <definedName name="prueba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29" l="1"/>
</calcChain>
</file>

<file path=xl/sharedStrings.xml><?xml version="1.0" encoding="utf-8"?>
<sst xmlns="http://schemas.openxmlformats.org/spreadsheetml/2006/main" count="620" uniqueCount="139">
  <si>
    <t>1 a 14 999 habitantes</t>
  </si>
  <si>
    <t xml:space="preserve">15 000 y más habitantes </t>
  </si>
  <si>
    <t>Estados Unidos Mexicanos</t>
  </si>
  <si>
    <t>Hace anotaciones de los gastos</t>
  </si>
  <si>
    <t>Lleva un registro de los recibos o deudas pendientes para pagarlos</t>
  </si>
  <si>
    <t>Hombres</t>
  </si>
  <si>
    <t xml:space="preserve">Estados Unidos Mexicanos </t>
  </si>
  <si>
    <t>Paga sus cuentas a tiempo</t>
  </si>
  <si>
    <t>Le sobra dinero a fin de mes</t>
  </si>
  <si>
    <t>Población de 18 a 70 años por tamaño de localidad y condición de riesgo financiero según sexo</t>
  </si>
  <si>
    <t>Si alguien le ofrece la posibilidad de ganar dinero fácilmente, también puede perderlo fácilmente</t>
  </si>
  <si>
    <t>Tamaño de localidad y condición de suficiencia para cubrir gastos mensuales en el último año</t>
  </si>
  <si>
    <t>El dinero está para gastarse</t>
  </si>
  <si>
    <t>Con sus ahorros</t>
  </si>
  <si>
    <t>Vendiendo o empeñando algún bien</t>
  </si>
  <si>
    <t>Con el préstamo de familiares o amistades</t>
  </si>
  <si>
    <t xml:space="preserve">Sí podría aprovechar la oportunidad de comprar un bien </t>
  </si>
  <si>
    <t xml:space="preserve">No podría aprovechar la oportunidad de comprar un bien </t>
  </si>
  <si>
    <t>Cuadro 4.1</t>
  </si>
  <si>
    <t>Cuadro 4.11</t>
  </si>
  <si>
    <t>Cuadro 4.2</t>
  </si>
  <si>
    <t>Cuadro 4.3</t>
  </si>
  <si>
    <t>Cuadro 4.4</t>
  </si>
  <si>
    <t>Cuadro 4.5</t>
  </si>
  <si>
    <t>Cuadro 4.6</t>
  </si>
  <si>
    <t>Cuadro 4.7</t>
  </si>
  <si>
    <t>Cuadro 4.8</t>
  </si>
  <si>
    <t>Cuadro 4.9</t>
  </si>
  <si>
    <t>Cuadro 4.10</t>
  </si>
  <si>
    <t>Lleva un presupuesto o un registro de sus ingresos o gastos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</si>
  <si>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</si>
  <si>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</si>
  <si>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</si>
  <si>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</si>
  <si>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t>Sí (verdadero)</t>
  </si>
  <si>
    <t>No (falso)</t>
  </si>
  <si>
    <t xml:space="preserve">De acuerdo </t>
  </si>
  <si>
    <t>Ni de acuerdo ni en desacuerdo</t>
  </si>
  <si>
    <t xml:space="preserve">En desacuerdo </t>
  </si>
  <si>
    <t>Siempre</t>
  </si>
  <si>
    <t>Algunas veces</t>
  </si>
  <si>
    <t xml:space="preserve">Nunca </t>
  </si>
  <si>
    <t xml:space="preserve">Sí pudo cubrir sus gastos mensuales en el último año </t>
  </si>
  <si>
    <t xml:space="preserve">No pudo cubrir sus gastos mensuales en el último año </t>
  </si>
  <si>
    <t>Pidió prestado a familiares o personas conocidas</t>
  </si>
  <si>
    <t>Utilizó el dinero que tenía ahorrado</t>
  </si>
  <si>
    <t>Redujo sus gastos</t>
  </si>
  <si>
    <t>Vendió o empeñó algún bien</t>
  </si>
  <si>
    <t>Se atrasó en el pago de algún crédito o préstamo</t>
  </si>
  <si>
    <r>
      <t>Sí se ha capacitado tomando cursos</t>
    </r>
    <r>
      <rPr>
        <vertAlign val="superscript"/>
        <sz val="8"/>
        <rFont val="Arial"/>
        <family val="2"/>
      </rPr>
      <t>1</t>
    </r>
  </si>
  <si>
    <r>
      <t>No se ha capacitado tomando cursos</t>
    </r>
    <r>
      <rPr>
        <vertAlign val="superscript"/>
        <sz val="8"/>
        <rFont val="Arial"/>
        <family val="2"/>
      </rPr>
      <t>1</t>
    </r>
  </si>
  <si>
    <t>Menos de una semana/ No tiene ahorros</t>
  </si>
  <si>
    <t>Al menos una semana, pero menos de un mes</t>
  </si>
  <si>
    <t>Al menos un mes, pero menos de tres meses</t>
  </si>
  <si>
    <t>Al menos tres meses, pero menos de seis meses</t>
  </si>
  <si>
    <t>Seis meses o más</t>
  </si>
  <si>
    <t>TABULADOS BÁSICOS</t>
  </si>
  <si>
    <t>Nivel de confianza del 90%</t>
  </si>
  <si>
    <t>Tema</t>
  </si>
  <si>
    <t>ID Cuadro</t>
  </si>
  <si>
    <t>Título</t>
  </si>
  <si>
    <r>
      <t xml:space="preserve">Tema 4. 
</t>
    </r>
    <r>
      <rPr>
        <sz val="11"/>
        <color theme="10"/>
        <rFont val="Arial"/>
        <family val="2"/>
      </rPr>
      <t>Comportamiento financiero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</si>
  <si>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Comprende cursos sobre cómo ahorrar, cómo hacer un presupuesto o sobre el uso responsable del crédito. </t>
    </r>
  </si>
  <si>
    <t xml:space="preserve">Es mejor ahorrar el dinero en dos o más formas o lugares, que en uno solo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</si>
  <si>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la compra de una casa, un terreno o abrir un negocio.</t>
    </r>
  </si>
  <si>
    <t>No sabe o no responde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</si>
  <si>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forma de controlar los gastos puede ser mayor al total porque una persona pudo responder más de una forma.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</si>
  <si>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a las personas que declararon llevar un presupuesto y aquellas que dijeron no llevarlo, pero que reconocieron realizar alguna forma de controlar su presupuesto o el de su hogar. </t>
    </r>
  </si>
  <si>
    <r>
      <t>Sí lleva registro de sus gastos o los del hogar</t>
    </r>
    <r>
      <rPr>
        <b/>
        <vertAlign val="superscript"/>
        <sz val="8"/>
        <rFont val="Arial"/>
        <family val="2"/>
      </rPr>
      <t>2</t>
    </r>
  </si>
  <si>
    <t>No sabe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</si>
  <si>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como afectaciones las provocadas por inundación, desbordamiento de ríos, sequías, sísmos, huracanes, explosiones, entre otros (desastres naturales u ocasionados por las personas).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</si>
  <si>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las afectaciones puede ser mayor al total porque una persona pudo haber declarado más de un medio.</t>
    </r>
  </si>
  <si>
    <t>Cuadro 4.12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</si>
  <si>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a las personas que declararon no llevar un presupuesto y no realizar alguna forma de controlar su presupuesto o ni el de su hogar. </t>
    </r>
  </si>
  <si>
    <r>
      <t>No lleva registro de sus gastos ni los del hogar</t>
    </r>
    <r>
      <rPr>
        <b/>
        <vertAlign val="superscript"/>
        <sz val="8"/>
        <rFont val="Arial"/>
        <family val="2"/>
      </rPr>
      <t>3</t>
    </r>
  </si>
  <si>
    <t xml:space="preserve">Sí tuvo alguna afectación económica-ambiental </t>
  </si>
  <si>
    <t xml:space="preserve">No  tuvo alguna afectación económica-ambiental 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</si>
  <si>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</si>
  <si>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Mantiene separado el dinero para pagos o deudas, del dinero 
del gasto diario</t>
  </si>
  <si>
    <t xml:space="preserve">Tiene pagos domiciliados, aplicación de celular o una herramienta 
de administración de dinero </t>
  </si>
  <si>
    <t>Tamaño de localidad, condición de registro y forma 
de controlar sus gastos o los del hogar</t>
  </si>
  <si>
    <t xml:space="preserve">Considera cuidadosamente si puede pagar 
algo antes de comprarlo </t>
  </si>
  <si>
    <t>Tamaño de localidad, comportamiento 
y frecuencia del comportamiento</t>
  </si>
  <si>
    <t>Prefiere gastar dinero que ahorrarlo 
para el futuro</t>
  </si>
  <si>
    <t>Se pone metas económicas a largo plazo 
y se esfuerza por alcanzarlas</t>
  </si>
  <si>
    <t>El manejo de sus ingresos y gastos 
controla su vida</t>
  </si>
  <si>
    <t>La inflación significa que aumenta 
el precio de las cosas</t>
  </si>
  <si>
    <t xml:space="preserve">Es mejor ahorrar el dinero en dos o más 
formas o lugares, que en uno solo </t>
  </si>
  <si>
    <t>Tamaño de localidad, comportamiento 
financiero y grado de acuerdo</t>
  </si>
  <si>
    <t xml:space="preserve">Se siente tranquila(o) de que el dinero 
que recibe sea suficiente </t>
  </si>
  <si>
    <t>Tamaño de localidad y medio utilizado 
para cubrir el sobregasto</t>
  </si>
  <si>
    <t>Solicitó un adelanto salarial, trabajó horas 
extras o hizo trabajo temporal</t>
  </si>
  <si>
    <t>Utilizó su tarjeta de crédito o solicitó un crédito 
en un banco o institución financiera</t>
  </si>
  <si>
    <t>Tamaño de localidad, condición para aprovechar 
la oportunidad de comprar un bien y medio 
que usaría para comprarlo</t>
  </si>
  <si>
    <t>Solicitando un crédito a un banco o institución 
financiera / usando su tarjeta de crédito</t>
  </si>
  <si>
    <t>Tamaño de localidad y condición de riesgo financiero</t>
  </si>
  <si>
    <t xml:space="preserve">Tamaño de localidad y condición de diversificación </t>
  </si>
  <si>
    <t>Suele pensar en el presente sin 
preocuparse por el futuro</t>
  </si>
  <si>
    <t>Le alcanza bien el dinero para cubrir 
sus gastos</t>
  </si>
  <si>
    <t>Mantiene una revisión detallada 
del manejo de su dinero</t>
  </si>
  <si>
    <t>Dada su situación económica, siente 
que tendrá las cosas que desea</t>
  </si>
  <si>
    <t>Tamaño de localidad y condición 
de capacitación financiera</t>
  </si>
  <si>
    <t>Tamaño de localidad y tiempo en que podría 
cubrir sus gastos con sus ahorros si 
dejara de percibir ingresos</t>
  </si>
  <si>
    <t>Encuesta Nacional de Inclusión Financiera (ENIF) 2024</t>
  </si>
  <si>
    <t>Población de 18 a 70 años</t>
  </si>
  <si>
    <t xml:space="preserve">Sexo </t>
  </si>
  <si>
    <t xml:space="preserve">Mujeres </t>
  </si>
  <si>
    <t xml:space="preserve">Absolutos </t>
  </si>
  <si>
    <r>
      <t>Población de 18 a 70 años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</si>
  <si>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</si>
  <si>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localidad, condición de registro y forma 
de controlar sus gastos o los del hogar según sexo</t>
  </si>
  <si>
    <t>Población de 18 a 70 años por tamaño de localidad, condición de registro y forma de controlar sus gastos o los del hogar según sexo</t>
  </si>
  <si>
    <t>Población de 18 a 70 años por tamaño de localidad, comportamiento y frecuencia del comportamiento según sexo</t>
  </si>
  <si>
    <t>Población de 18 a 70 años por tamaño de localidad y condición del significado de inflación según sexo</t>
  </si>
  <si>
    <t xml:space="preserve">Tamaño de localidad y condición
del significado de inflación </t>
  </si>
  <si>
    <t>Población de 18 a 70 años por tamaño de localidad y condición de diversificación del ahorro según sexo</t>
  </si>
  <si>
    <t>Población de 18 a 70 años por tamaño de localidad, comportamiento financiero y grado de acuerdo según sexo</t>
  </si>
  <si>
    <t>Población de 18 a 70 años por tamaño de localidad y condición de suficiencia para cubrir 
gastos mensuales en el último año según sexo</t>
  </si>
  <si>
    <t>Población de 18 a 70 años por tamaño de localidad y condición de suficiencia para cubrir gastos mensuales en el último año según sexo</t>
  </si>
  <si>
    <t>Población de 18 a 70 años que en el último año no pudo cubrir sus gastos mensuales por tamaño de localidad y medio utilizado para cubrir el sobregasto según sexo</t>
  </si>
  <si>
    <t>Población de 18 a 70 años por tamaño de localidad y condición de capacitación financiera según sexo</t>
  </si>
  <si>
    <t>Población de 18 a 70 años por tamaño de localidad, condición para aprovechar la oportunidad de comprar un bien y medio que usaría para comprarlo según sexo</t>
  </si>
  <si>
    <t>Población de 18 a 70 años por tamaño de localidad, condición de afectación económica - ambiental y medio para afrontar la afectación según sexo</t>
  </si>
  <si>
    <t>Población de 18 a 70 años por tamaño de localidad y tiempo en que podría cubrir sus gastos con sus ahorros si dejara de percibir algún ingreso según sexo</t>
  </si>
  <si>
    <t>Población de 18 a 70 años que en el último año no pudo cubrir sus gastos mensuales por tamaño de localidad 
y medio utilizado para cubrir el sobregasto según sexo</t>
  </si>
  <si>
    <r>
      <t>Población de 18 a 70 años por tamaño de localidad, condición para aprovechar la oportunidad de comprar 
un bien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y medio que usaría para comprarlo según sexo</t>
    </r>
  </si>
  <si>
    <t>Población de 18 a 70 años por tamaño de localidad y tiempo en que podría cubrir sus gastos con sus ahorros 
si dejara de percibir algún ingreso según sexo</t>
  </si>
  <si>
    <t>Tamaño de localidad, condición de afectación económica-ambiental y medio para 
afrontar la afectación</t>
  </si>
  <si>
    <r>
      <t>Población de 18 a 70 años por tamaño de localidad, condición de afectación económica-ambiental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
y medio para afrontar la afectación según sexo</t>
    </r>
  </si>
  <si>
    <r>
      <t>Otro medio</t>
    </r>
    <r>
      <rPr>
        <vertAlign val="superscript"/>
        <sz val="8"/>
        <color theme="1"/>
        <rFont val="Arial"/>
        <family val="2"/>
      </rPr>
      <t>3</t>
    </r>
  </si>
  <si>
    <r>
      <t>Población de 18 a 70 años que en el último año no pudo cubrir sus gastos mensuales</t>
    </r>
    <r>
      <rPr>
        <b/>
        <vertAlign val="superscript"/>
        <sz val="8"/>
        <color theme="1"/>
        <rFont val="Arial"/>
        <family val="2"/>
      </rPr>
      <t>1</t>
    </r>
  </si>
  <si>
    <r>
      <rPr>
        <vertAlign val="superscript"/>
        <sz val="8"/>
        <color rgb="FF000000"/>
        <rFont val="Arial"/>
        <family val="2"/>
      </rPr>
      <t>3</t>
    </r>
    <r>
      <rPr>
        <sz val="8"/>
        <color indexed="8"/>
        <rFont val="Arial"/>
        <family val="2"/>
      </rPr>
      <t xml:space="preserve"> Incluye las opciones: "tuvo adelanto salarial, trabajó horas extras o un trabajo temporal", entre otros medios.</t>
    </r>
  </si>
  <si>
    <t>Usó tarjeta de crédito, crédito en un banco o institución financiera, o seguro o microseguro</t>
  </si>
  <si>
    <t xml:space="preserve">Obtuvo un apoyo económico o en especie del gobierno </t>
  </si>
  <si>
    <t>No ha resuelto la afectación</t>
  </si>
  <si>
    <r>
      <t>Otro medio</t>
    </r>
    <r>
      <rPr>
        <vertAlign val="superscript"/>
        <sz val="8"/>
        <rFont val="Arial"/>
        <family val="2"/>
      </rPr>
      <t>3</t>
    </r>
  </si>
  <si>
    <t>Límite superior.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</si>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</sst>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\ ###\ ###\ ###\ ###\ ##0"/>
    <numFmt numFmtId="169" formatCode="#\ ###\ ##0"/>
    <numFmt numFmtId="170" formatCode="#,##0.000"/>
    <numFmt numFmtId="171" formatCode="###\ ###\ ##0.0"/>
    <numFmt numFmtId="172" formatCode="###,###,###,##0"/>
    <numFmt numFmtId="173" formatCode="###\ ###\ ##0.00"/>
    <numFmt numFmtId="174" formatCode="###,###,###,###,##0.0;[Red]\-###,###,###,###,##0.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indexed="8"/>
      <name val="Arial"/>
      <family val="2"/>
    </font>
    <font>
      <sz val="7"/>
      <color indexed="8"/>
      <name val="Arial"/>
      <family val="2"/>
    </font>
    <font>
      <sz val="7"/>
      <color theme="1"/>
      <name val="Arial"/>
      <family val="2"/>
    </font>
    <font>
      <vertAlign val="superscript"/>
      <sz val="8"/>
      <name val="Arial"/>
      <family val="2"/>
    </font>
    <font>
      <sz val="9"/>
      <color rgb="FF003399"/>
      <name val="Arial"/>
      <family val="2"/>
    </font>
    <font>
      <u/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vertAlign val="superscript"/>
      <sz val="8"/>
      <color rgb="FF000000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rgb="FF00339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 "/>
    </font>
    <font>
      <sz val="9"/>
      <name val="Arial "/>
    </font>
    <font>
      <sz val="9"/>
      <color theme="1"/>
      <name val="Arial "/>
    </font>
    <font>
      <b/>
      <sz val="9"/>
      <color indexed="8"/>
      <name val="Arial "/>
    </font>
    <font>
      <b/>
      <vertAlign val="superscript"/>
      <sz val="9"/>
      <color theme="1"/>
      <name val="Arial "/>
    </font>
    <font>
      <b/>
      <sz val="9"/>
      <name val="Arial "/>
    </font>
    <font>
      <b/>
      <sz val="11"/>
      <color rgb="FFFF0000"/>
      <name val="Calibri"/>
      <family val="2"/>
      <scheme val="minor"/>
    </font>
    <font>
      <b/>
      <vertAlign val="superscript"/>
      <sz val="8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auto="1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337AB7"/>
      </left>
      <right/>
      <top style="thin">
        <color rgb="FF337AB7"/>
      </top>
      <bottom style="medium">
        <color rgb="FF337AB7"/>
      </bottom>
      <diagonal/>
    </border>
    <border>
      <left/>
      <right/>
      <top style="thin">
        <color rgb="FF337AB7"/>
      </top>
      <bottom style="medium">
        <color rgb="FF337AB7"/>
      </bottom>
      <diagonal/>
    </border>
    <border>
      <left/>
      <right style="medium">
        <color rgb="FF0070C0"/>
      </right>
      <top style="thin">
        <color rgb="FF337AB7"/>
      </top>
      <bottom style="medium">
        <color rgb="FF337AB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rgb="FF0070C0"/>
      </right>
      <top/>
      <bottom style="medium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0" fillId="0" borderId="0"/>
    <xf numFmtId="0" fontId="1" fillId="0" borderId="0"/>
    <xf numFmtId="0" fontId="1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</cellStyleXfs>
  <cellXfs count="258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166" fontId="4" fillId="3" borderId="0" xfId="0" applyNumberFormat="1" applyFont="1" applyFill="1"/>
    <xf numFmtId="0" fontId="5" fillId="0" borderId="0" xfId="0" applyFont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166" fontId="5" fillId="3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8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168" fontId="12" fillId="4" borderId="0" xfId="2" applyNumberFormat="1" applyFont="1" applyFill="1" applyBorder="1" applyAlignment="1">
      <alignment horizontal="right" vertical="center"/>
    </xf>
    <xf numFmtId="168" fontId="12" fillId="4" borderId="3" xfId="2" applyNumberFormat="1" applyFont="1" applyFill="1" applyBorder="1" applyAlignment="1" applyProtection="1">
      <alignment horizontal="right" vertical="center" wrapText="1" readingOrder="1"/>
      <protection locked="0"/>
    </xf>
    <xf numFmtId="0" fontId="6" fillId="2" borderId="2" xfId="3" applyFont="1" applyFill="1" applyBorder="1" applyAlignment="1">
      <alignment horizontal="left"/>
    </xf>
    <xf numFmtId="0" fontId="3" fillId="0" borderId="2" xfId="3" applyFont="1" applyBorder="1"/>
    <xf numFmtId="167" fontId="6" fillId="2" borderId="0" xfId="6" applyNumberFormat="1" applyFont="1" applyFill="1" applyBorder="1" applyAlignment="1">
      <alignment horizontal="left" vertical="center"/>
    </xf>
    <xf numFmtId="168" fontId="12" fillId="0" borderId="0" xfId="2" applyNumberFormat="1" applyFont="1" applyFill="1" applyBorder="1" applyAlignment="1">
      <alignment horizontal="right" vertical="center"/>
    </xf>
    <xf numFmtId="168" fontId="12" fillId="0" borderId="3" xfId="2" applyNumberFormat="1" applyFont="1" applyFill="1" applyBorder="1" applyAlignment="1" applyProtection="1">
      <alignment horizontal="right" vertical="center" wrapText="1" readingOrder="1"/>
      <protection locked="0"/>
    </xf>
    <xf numFmtId="167" fontId="3" fillId="2" borderId="0" xfId="6" applyNumberFormat="1" applyFont="1" applyFill="1" applyAlignment="1">
      <alignment horizontal="left" wrapText="1" indent="1"/>
    </xf>
    <xf numFmtId="167" fontId="6" fillId="0" borderId="0" xfId="6" applyNumberFormat="1" applyFont="1" applyFill="1" applyAlignment="1">
      <alignment horizontal="left" wrapText="1" indent="1"/>
    </xf>
    <xf numFmtId="167" fontId="6" fillId="2" borderId="0" xfId="6" applyNumberFormat="1" applyFont="1" applyFill="1" applyBorder="1" applyAlignment="1">
      <alignment horizontal="left"/>
    </xf>
    <xf numFmtId="167" fontId="6" fillId="0" borderId="0" xfId="6" applyNumberFormat="1" applyFont="1" applyFill="1" applyBorder="1" applyAlignment="1">
      <alignment horizontal="left"/>
    </xf>
    <xf numFmtId="165" fontId="6" fillId="0" borderId="0" xfId="3" applyNumberFormat="1" applyFont="1" applyAlignment="1">
      <alignment horizontal="right" vertical="center"/>
    </xf>
    <xf numFmtId="169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9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6" fillId="2" borderId="0" xfId="6" applyNumberFormat="1" applyFont="1" applyFill="1" applyBorder="1" applyAlignment="1">
      <alignment horizontal="left"/>
    </xf>
    <xf numFmtId="165" fontId="3" fillId="2" borderId="0" xfId="6" applyNumberFormat="1" applyFont="1" applyFill="1" applyAlignment="1">
      <alignment horizontal="left" wrapText="1" indent="1"/>
    </xf>
    <xf numFmtId="0" fontId="4" fillId="2" borderId="0" xfId="3" applyFont="1" applyFill="1" applyAlignment="1">
      <alignment horizontal="left"/>
    </xf>
    <xf numFmtId="0" fontId="4" fillId="0" borderId="0" xfId="3" applyFont="1" applyAlignment="1">
      <alignment horizontal="left"/>
    </xf>
    <xf numFmtId="169" fontId="6" fillId="0" borderId="0" xfId="3" applyNumberFormat="1" applyFont="1" applyAlignment="1">
      <alignment horizontal="right" vertical="center"/>
    </xf>
    <xf numFmtId="0" fontId="5" fillId="0" borderId="0" xfId="3" applyFont="1" applyAlignment="1">
      <alignment horizontal="left"/>
    </xf>
    <xf numFmtId="169" fontId="5" fillId="0" borderId="0" xfId="3" applyNumberFormat="1" applyFont="1"/>
    <xf numFmtId="0" fontId="5" fillId="0" borderId="0" xfId="3" applyFont="1" applyAlignment="1">
      <alignment horizontal="left" indent="2"/>
    </xf>
    <xf numFmtId="0" fontId="4" fillId="0" borderId="2" xfId="3" applyFont="1" applyBorder="1" applyAlignment="1">
      <alignment horizontal="left"/>
    </xf>
    <xf numFmtId="0" fontId="4" fillId="2" borderId="2" xfId="3" applyFont="1" applyFill="1" applyBorder="1" applyAlignment="1">
      <alignment horizontal="left"/>
    </xf>
    <xf numFmtId="0" fontId="16" fillId="2" borderId="0" xfId="3" applyFont="1" applyFill="1" applyAlignment="1">
      <alignment horizontal="left"/>
    </xf>
    <xf numFmtId="0" fontId="15" fillId="2" borderId="0" xfId="3" applyFont="1" applyFill="1" applyAlignment="1">
      <alignment vertical="center"/>
    </xf>
    <xf numFmtId="0" fontId="0" fillId="0" borderId="2" xfId="0" applyBorder="1"/>
    <xf numFmtId="0" fontId="2" fillId="2" borderId="0" xfId="0" applyFont="1" applyFill="1"/>
    <xf numFmtId="166" fontId="6" fillId="2" borderId="0" xfId="0" applyNumberFormat="1" applyFont="1" applyFill="1"/>
    <xf numFmtId="0" fontId="3" fillId="2" borderId="2" xfId="0" applyFont="1" applyFill="1" applyBorder="1"/>
    <xf numFmtId="0" fontId="15" fillId="0" borderId="0" xfId="3" applyFont="1"/>
    <xf numFmtId="0" fontId="18" fillId="0" borderId="0" xfId="0" applyFont="1"/>
    <xf numFmtId="170" fontId="18" fillId="0" borderId="0" xfId="0" applyNumberFormat="1" applyFont="1" applyAlignment="1">
      <alignment horizontal="left" vertical="center"/>
    </xf>
    <xf numFmtId="0" fontId="19" fillId="0" borderId="0" xfId="2" applyFont="1" applyFill="1" applyAlignment="1">
      <alignment horizontal="right" vertical="center"/>
    </xf>
    <xf numFmtId="0" fontId="20" fillId="0" borderId="0" xfId="0" applyFont="1"/>
    <xf numFmtId="170" fontId="18" fillId="0" borderId="0" xfId="0" applyNumberFormat="1" applyFont="1" applyAlignment="1">
      <alignment vertical="top"/>
    </xf>
    <xf numFmtId="0" fontId="21" fillId="0" borderId="0" xfId="0" applyFont="1"/>
    <xf numFmtId="0" fontId="20" fillId="0" borderId="0" xfId="0" applyFont="1" applyAlignment="1">
      <alignment vertical="top"/>
    </xf>
    <xf numFmtId="0" fontId="14" fillId="2" borderId="4" xfId="0" applyFont="1" applyFill="1" applyBorder="1" applyAlignment="1" applyProtection="1">
      <alignment vertical="center" wrapText="1" readingOrder="1"/>
      <protection locked="0"/>
    </xf>
    <xf numFmtId="0" fontId="23" fillId="2" borderId="0" xfId="8" applyFont="1" applyFill="1" applyAlignment="1">
      <alignment horizontal="right" vertical="center"/>
    </xf>
    <xf numFmtId="0" fontId="6" fillId="2" borderId="0" xfId="8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24" fillId="2" borderId="0" xfId="8" applyFont="1" applyFill="1" applyAlignment="1">
      <alignment horizontal="right" vertical="center"/>
    </xf>
    <xf numFmtId="0" fontId="3" fillId="0" borderId="0" xfId="3" applyFont="1"/>
    <xf numFmtId="0" fontId="4" fillId="2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7" fillId="2" borderId="2" xfId="0" applyFont="1" applyFill="1" applyBorder="1" applyAlignment="1">
      <alignment horizontal="center" vertical="center" wrapText="1"/>
    </xf>
    <xf numFmtId="0" fontId="26" fillId="0" borderId="0" xfId="0" applyFont="1"/>
    <xf numFmtId="0" fontId="3" fillId="0" borderId="0" xfId="0" applyFont="1"/>
    <xf numFmtId="0" fontId="6" fillId="2" borderId="0" xfId="0" applyFont="1" applyFill="1" applyAlignment="1">
      <alignment horizontal="left"/>
    </xf>
    <xf numFmtId="0" fontId="3" fillId="2" borderId="0" xfId="0" applyFont="1" applyFill="1"/>
    <xf numFmtId="0" fontId="2" fillId="2" borderId="2" xfId="0" applyFont="1" applyFill="1" applyBorder="1"/>
    <xf numFmtId="168" fontId="12" fillId="4" borderId="0" xfId="2" applyNumberFormat="1" applyFont="1" applyFill="1" applyBorder="1" applyAlignment="1" applyProtection="1">
      <alignment horizontal="right" vertical="center" wrapText="1" readingOrder="1"/>
      <protection locked="0"/>
    </xf>
    <xf numFmtId="168" fontId="12" fillId="0" borderId="0" xfId="2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vertical="center"/>
    </xf>
    <xf numFmtId="167" fontId="6" fillId="0" borderId="0" xfId="6" applyNumberFormat="1" applyFont="1" applyFill="1" applyAlignment="1">
      <alignment horizontal="left" vertical="center" wrapText="1"/>
    </xf>
    <xf numFmtId="169" fontId="14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left" vertical="center" indent="1"/>
    </xf>
    <xf numFmtId="169" fontId="14" fillId="2" borderId="3" xfId="0" applyNumberFormat="1" applyFont="1" applyFill="1" applyBorder="1" applyAlignment="1" applyProtection="1">
      <alignment horizontal="left" vertical="center" wrapText="1" indent="1" readingOrder="1"/>
      <protection locked="0"/>
    </xf>
    <xf numFmtId="0" fontId="16" fillId="0" borderId="0" xfId="3" applyFont="1" applyAlignment="1">
      <alignment wrapText="1"/>
    </xf>
    <xf numFmtId="0" fontId="4" fillId="0" borderId="1" xfId="3" applyFont="1" applyBorder="1" applyAlignment="1">
      <alignment horizontal="left"/>
    </xf>
    <xf numFmtId="0" fontId="4" fillId="2" borderId="1" xfId="3" applyFont="1" applyFill="1" applyBorder="1" applyAlignment="1">
      <alignment horizontal="left"/>
    </xf>
    <xf numFmtId="0" fontId="8" fillId="0" borderId="0" xfId="3" applyFont="1"/>
    <xf numFmtId="0" fontId="4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2"/>
    </xf>
    <xf numFmtId="167" fontId="3" fillId="2" borderId="0" xfId="6" applyNumberFormat="1" applyFont="1" applyFill="1" applyAlignment="1">
      <alignment horizontal="left" vertical="center" wrapText="1" indent="2"/>
    </xf>
    <xf numFmtId="0" fontId="5" fillId="0" borderId="0" xfId="3" applyFont="1" applyAlignment="1">
      <alignment horizontal="left" vertical="center" indent="2"/>
    </xf>
    <xf numFmtId="0" fontId="3" fillId="0" borderId="0" xfId="3" applyFont="1" applyAlignment="1">
      <alignment horizontal="left" vertical="center" indent="2"/>
    </xf>
    <xf numFmtId="0" fontId="23" fillId="0" borderId="0" xfId="11" applyFont="1"/>
    <xf numFmtId="0" fontId="32" fillId="0" borderId="0" xfId="11" applyFont="1" applyAlignment="1">
      <alignment horizontal="center" vertical="center"/>
    </xf>
    <xf numFmtId="0" fontId="32" fillId="0" borderId="0" xfId="11" applyFont="1" applyAlignment="1">
      <alignment vertical="center"/>
    </xf>
    <xf numFmtId="0" fontId="33" fillId="0" borderId="0" xfId="11" applyFont="1" applyAlignment="1">
      <alignment vertical="center"/>
    </xf>
    <xf numFmtId="0" fontId="21" fillId="0" borderId="0" xfId="11" applyFont="1"/>
    <xf numFmtId="0" fontId="35" fillId="0" borderId="0" xfId="11" applyFont="1"/>
    <xf numFmtId="17" fontId="34" fillId="0" borderId="0" xfId="11" quotePrefix="1" applyNumberFormat="1" applyFont="1"/>
    <xf numFmtId="17" fontId="29" fillId="0" borderId="0" xfId="11" quotePrefix="1" applyNumberFormat="1" applyFont="1"/>
    <xf numFmtId="0" fontId="33" fillId="7" borderId="5" xfId="11" applyFont="1" applyFill="1" applyBorder="1" applyAlignment="1">
      <alignment horizontal="center" vertical="center"/>
    </xf>
    <xf numFmtId="171" fontId="4" fillId="0" borderId="0" xfId="0" applyNumberFormat="1" applyFont="1" applyAlignment="1">
      <alignment horizontal="right" vertical="center" wrapText="1"/>
    </xf>
    <xf numFmtId="0" fontId="38" fillId="0" borderId="9" xfId="2" applyFont="1" applyBorder="1" applyAlignment="1" applyProtection="1">
      <alignment horizontal="center"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horizontal="right"/>
    </xf>
    <xf numFmtId="0" fontId="42" fillId="0" borderId="0" xfId="0" applyFont="1" applyAlignment="1">
      <alignment vertical="top"/>
    </xf>
    <xf numFmtId="0" fontId="43" fillId="2" borderId="0" xfId="0" applyFont="1" applyFill="1" applyAlignment="1" applyProtection="1">
      <alignment vertical="top" readingOrder="1"/>
      <protection locked="0"/>
    </xf>
    <xf numFmtId="0" fontId="43" fillId="0" borderId="0" xfId="0" applyFont="1" applyAlignment="1">
      <alignment vertical="top"/>
    </xf>
    <xf numFmtId="0" fontId="45" fillId="2" borderId="0" xfId="3" applyFont="1" applyFill="1" applyAlignment="1">
      <alignment horizontal="left" vertical="center"/>
    </xf>
    <xf numFmtId="0" fontId="45" fillId="2" borderId="0" xfId="0" applyFont="1" applyFill="1" applyAlignment="1">
      <alignment horizontal="left" vertical="center"/>
    </xf>
    <xf numFmtId="0" fontId="39" fillId="0" borderId="0" xfId="0" applyFont="1"/>
    <xf numFmtId="0" fontId="4" fillId="0" borderId="0" xfId="0" applyFont="1"/>
    <xf numFmtId="169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8" fillId="0" borderId="0" xfId="3" applyFont="1" applyAlignment="1">
      <alignment horizontal="left" vertical="center"/>
    </xf>
    <xf numFmtId="166" fontId="3" fillId="2" borderId="0" xfId="0" applyNumberFormat="1" applyFont="1" applyFill="1"/>
    <xf numFmtId="0" fontId="5" fillId="0" borderId="0" xfId="3" applyFont="1" applyAlignment="1">
      <alignment horizontal="left" vertical="center" wrapText="1" indent="2"/>
    </xf>
    <xf numFmtId="0" fontId="3" fillId="2" borderId="0" xfId="0" applyFont="1" applyFill="1" applyAlignment="1">
      <alignment horizontal="left" vertical="center" readingOrder="1"/>
    </xf>
    <xf numFmtId="0" fontId="33" fillId="7" borderId="6" xfId="11" applyFont="1" applyFill="1" applyBorder="1" applyAlignment="1">
      <alignment horizontal="center" vertical="center"/>
    </xf>
    <xf numFmtId="167" fontId="6" fillId="2" borderId="0" xfId="13" applyNumberFormat="1" applyFont="1" applyFill="1" applyBorder="1" applyAlignment="1">
      <alignment horizontal="left" vertical="center"/>
    </xf>
    <xf numFmtId="167" fontId="3" fillId="2" borderId="0" xfId="13" applyNumberFormat="1" applyFont="1" applyFill="1" applyAlignment="1">
      <alignment horizontal="left" vertical="center" wrapText="1" indent="1"/>
    </xf>
    <xf numFmtId="167" fontId="3" fillId="2" borderId="0" xfId="13" applyNumberFormat="1" applyFont="1" applyFill="1" applyBorder="1" applyAlignment="1">
      <alignment horizontal="left" vertical="center" indent="3"/>
    </xf>
    <xf numFmtId="167" fontId="3" fillId="2" borderId="0" xfId="13" applyNumberFormat="1" applyFont="1" applyFill="1" applyAlignment="1">
      <alignment horizontal="left" wrapText="1" indent="3"/>
    </xf>
    <xf numFmtId="167" fontId="6" fillId="2" borderId="0" xfId="13" applyNumberFormat="1" applyFont="1" applyFill="1" applyBorder="1"/>
    <xf numFmtId="167" fontId="3" fillId="2" borderId="0" xfId="13" applyNumberFormat="1" applyFont="1" applyFill="1" applyAlignment="1">
      <alignment horizontal="left" wrapText="1" indent="1"/>
    </xf>
    <xf numFmtId="167" fontId="3" fillId="2" borderId="0" xfId="13" applyNumberFormat="1" applyFont="1" applyFill="1" applyBorder="1"/>
    <xf numFmtId="167" fontId="6" fillId="2" borderId="0" xfId="13" applyNumberFormat="1" applyFont="1" applyFill="1" applyBorder="1" applyAlignment="1">
      <alignment horizontal="left"/>
    </xf>
    <xf numFmtId="167" fontId="6" fillId="2" borderId="0" xfId="13" applyNumberFormat="1" applyFont="1" applyFill="1" applyAlignment="1">
      <alignment horizontal="right"/>
    </xf>
    <xf numFmtId="167" fontId="6" fillId="2" borderId="0" xfId="14" applyNumberFormat="1" applyFont="1" applyFill="1" applyBorder="1" applyAlignment="1">
      <alignment horizontal="left" vertical="center"/>
    </xf>
    <xf numFmtId="167" fontId="6" fillId="2" borderId="0" xfId="14" applyNumberFormat="1" applyFont="1" applyFill="1" applyBorder="1" applyAlignment="1">
      <alignment horizontal="left"/>
    </xf>
    <xf numFmtId="167" fontId="3" fillId="2" borderId="0" xfId="15" applyNumberFormat="1" applyFont="1" applyFill="1" applyAlignment="1">
      <alignment horizontal="left" wrapText="1" indent="1"/>
    </xf>
    <xf numFmtId="167" fontId="6" fillId="2" borderId="0" xfId="17" applyNumberFormat="1" applyFont="1" applyFill="1" applyBorder="1" applyAlignment="1">
      <alignment horizontal="left" vertical="center"/>
    </xf>
    <xf numFmtId="167" fontId="6" fillId="2" borderId="0" xfId="17" applyNumberFormat="1" applyFont="1" applyFill="1" applyBorder="1"/>
    <xf numFmtId="167" fontId="3" fillId="2" borderId="0" xfId="17" applyNumberFormat="1" applyFont="1" applyFill="1" applyAlignment="1">
      <alignment horizontal="left" wrapText="1" indent="1"/>
    </xf>
    <xf numFmtId="167" fontId="3" fillId="2" borderId="0" xfId="17" applyNumberFormat="1" applyFont="1" applyFill="1" applyBorder="1"/>
    <xf numFmtId="167" fontId="6" fillId="2" borderId="0" xfId="17" applyNumberFormat="1" applyFont="1" applyFill="1" applyBorder="1" applyAlignment="1">
      <alignment horizontal="left"/>
    </xf>
    <xf numFmtId="167" fontId="6" fillId="2" borderId="0" xfId="17" applyNumberFormat="1" applyFont="1" applyFill="1" applyAlignment="1">
      <alignment horizontal="right"/>
    </xf>
    <xf numFmtId="167" fontId="6" fillId="2" borderId="0" xfId="18" applyNumberFormat="1" applyFont="1" applyFill="1" applyBorder="1" applyAlignment="1">
      <alignment horizontal="left" vertical="center"/>
    </xf>
    <xf numFmtId="167" fontId="6" fillId="2" borderId="0" xfId="18" applyNumberFormat="1" applyFont="1" applyFill="1" applyBorder="1" applyAlignment="1">
      <alignment horizontal="left"/>
    </xf>
    <xf numFmtId="169" fontId="6" fillId="2" borderId="0" xfId="18" applyNumberFormat="1" applyFont="1" applyFill="1" applyBorder="1" applyAlignment="1">
      <alignment horizontal="left"/>
    </xf>
    <xf numFmtId="167" fontId="3" fillId="2" borderId="0" xfId="18" applyNumberFormat="1" applyFont="1" applyFill="1" applyAlignment="1">
      <alignment horizontal="left" wrapText="1" indent="1"/>
    </xf>
    <xf numFmtId="169" fontId="3" fillId="2" borderId="0" xfId="18" applyNumberFormat="1" applyFont="1" applyFill="1" applyAlignment="1">
      <alignment horizontal="left" wrapText="1" indent="1"/>
    </xf>
    <xf numFmtId="167" fontId="6" fillId="2" borderId="0" xfId="19" applyNumberFormat="1" applyFont="1" applyFill="1" applyBorder="1" applyAlignment="1">
      <alignment horizontal="left" vertical="center"/>
    </xf>
    <xf numFmtId="167" fontId="6" fillId="2" borderId="0" xfId="19" applyNumberFormat="1" applyFont="1" applyFill="1" applyBorder="1" applyAlignment="1">
      <alignment horizontal="left"/>
    </xf>
    <xf numFmtId="167" fontId="6" fillId="2" borderId="0" xfId="2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7" fontId="6" fillId="2" borderId="0" xfId="6" applyNumberFormat="1" applyFont="1" applyFill="1" applyAlignment="1">
      <alignment horizontal="left" vertical="center" wrapText="1" indent="1"/>
    </xf>
    <xf numFmtId="0" fontId="46" fillId="2" borderId="0" xfId="0" applyFont="1" applyFill="1"/>
    <xf numFmtId="0" fontId="3" fillId="0" borderId="0" xfId="21" applyFont="1"/>
    <xf numFmtId="167" fontId="6" fillId="0" borderId="0" xfId="1" applyNumberFormat="1" applyFont="1" applyFill="1" applyBorder="1" applyAlignment="1">
      <alignment horizontal="left" vertical="center"/>
    </xf>
    <xf numFmtId="167" fontId="6" fillId="0" borderId="0" xfId="1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3" fillId="0" borderId="0" xfId="0" applyFont="1" applyAlignment="1">
      <alignment horizontal="left" wrapText="1" indent="2"/>
    </xf>
    <xf numFmtId="0" fontId="21" fillId="0" borderId="0" xfId="0" applyFont="1" applyAlignment="1">
      <alignment horizontal="right"/>
    </xf>
    <xf numFmtId="172" fontId="18" fillId="0" borderId="0" xfId="0" applyNumberFormat="1" applyFont="1" applyAlignment="1">
      <alignment vertical="top"/>
    </xf>
    <xf numFmtId="172" fontId="20" fillId="0" borderId="0" xfId="0" applyNumberFormat="1" applyFont="1" applyAlignment="1">
      <alignment vertical="top"/>
    </xf>
    <xf numFmtId="172" fontId="40" fillId="0" borderId="0" xfId="0" applyNumberFormat="1" applyFont="1" applyAlignment="1">
      <alignment horizontal="left" vertical="center"/>
    </xf>
    <xf numFmtId="172" fontId="0" fillId="0" borderId="0" xfId="0" applyNumberFormat="1"/>
    <xf numFmtId="172" fontId="0" fillId="0" borderId="2" xfId="0" applyNumberFormat="1" applyBorder="1"/>
    <xf numFmtId="172" fontId="20" fillId="0" borderId="0" xfId="0" applyNumberFormat="1" applyFont="1"/>
    <xf numFmtId="172" fontId="42" fillId="0" borderId="0" xfId="0" applyNumberFormat="1" applyFont="1"/>
    <xf numFmtId="172" fontId="0" fillId="0" borderId="1" xfId="0" applyNumberFormat="1" applyBorder="1"/>
    <xf numFmtId="172" fontId="5" fillId="0" borderId="0" xfId="0" applyNumberFormat="1" applyFont="1"/>
    <xf numFmtId="172" fontId="2" fillId="2" borderId="0" xfId="0" applyNumberFormat="1" applyFont="1" applyFill="1"/>
    <xf numFmtId="172" fontId="9" fillId="2" borderId="2" xfId="0" applyNumberFormat="1" applyFont="1" applyFill="1" applyBorder="1"/>
    <xf numFmtId="172" fontId="9" fillId="2" borderId="0" xfId="0" applyNumberFormat="1" applyFont="1" applyFill="1"/>
    <xf numFmtId="172" fontId="2" fillId="2" borderId="2" xfId="0" applyNumberFormat="1" applyFont="1" applyFill="1" applyBorder="1"/>
    <xf numFmtId="172" fontId="42" fillId="0" borderId="0" xfId="0" applyNumberFormat="1" applyFont="1" applyAlignment="1">
      <alignment vertical="top"/>
    </xf>
    <xf numFmtId="172" fontId="7" fillId="2" borderId="0" xfId="0" applyNumberFormat="1" applyFont="1" applyFill="1" applyAlignment="1">
      <alignment horizontal="center" vertical="center" wrapText="1"/>
    </xf>
    <xf numFmtId="172" fontId="26" fillId="0" borderId="0" xfId="0" applyNumberFormat="1" applyFont="1"/>
    <xf numFmtId="172" fontId="7" fillId="2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indent="2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wrapText="1" indent="3"/>
    </xf>
    <xf numFmtId="167" fontId="6" fillId="0" borderId="0" xfId="1" applyNumberFormat="1" applyFont="1" applyFill="1" applyBorder="1" applyAlignment="1">
      <alignment horizontal="left" vertical="center" indent="1"/>
    </xf>
    <xf numFmtId="167" fontId="6" fillId="2" borderId="0" xfId="13" applyNumberFormat="1" applyFont="1" applyFill="1" applyAlignment="1">
      <alignment horizontal="left" vertical="center" wrapText="1" indent="2"/>
    </xf>
    <xf numFmtId="0" fontId="6" fillId="2" borderId="0" xfId="25" applyFont="1" applyFill="1" applyAlignment="1">
      <alignment horizontal="left" vertical="center" wrapText="1" indent="3"/>
    </xf>
    <xf numFmtId="167" fontId="6" fillId="2" borderId="0" xfId="13" applyNumberFormat="1" applyFont="1" applyFill="1" applyBorder="1" applyAlignment="1">
      <alignment horizontal="left" vertical="center" indent="1"/>
    </xf>
    <xf numFmtId="167" fontId="6" fillId="2" borderId="0" xfId="14" applyNumberFormat="1" applyFont="1" applyFill="1" applyBorder="1" applyAlignment="1">
      <alignment horizontal="left" vertical="center" indent="1"/>
    </xf>
    <xf numFmtId="167" fontId="6" fillId="2" borderId="0" xfId="6" applyNumberFormat="1" applyFont="1" applyFill="1" applyBorder="1" applyAlignment="1">
      <alignment horizontal="left" vertical="center" indent="1"/>
    </xf>
    <xf numFmtId="167" fontId="6" fillId="2" borderId="0" xfId="5" applyNumberFormat="1" applyFont="1" applyFill="1" applyBorder="1" applyAlignment="1">
      <alignment horizontal="left" vertical="center" indent="1"/>
    </xf>
    <xf numFmtId="167" fontId="3" fillId="2" borderId="2" xfId="13" applyNumberFormat="1" applyFont="1" applyFill="1" applyBorder="1" applyAlignment="1">
      <alignment horizontal="left" vertical="center" indent="3"/>
    </xf>
    <xf numFmtId="167" fontId="6" fillId="2" borderId="0" xfId="17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wrapText="1" indent="3"/>
    </xf>
    <xf numFmtId="0" fontId="4" fillId="0" borderId="0" xfId="3" applyFont="1" applyAlignment="1">
      <alignment horizontal="left" vertical="center" indent="1"/>
    </xf>
    <xf numFmtId="167" fontId="6" fillId="2" borderId="0" xfId="18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wrapText="1" indent="3"/>
    </xf>
    <xf numFmtId="167" fontId="6" fillId="2" borderId="0" xfId="19" applyNumberFormat="1" applyFont="1" applyFill="1" applyBorder="1" applyAlignment="1">
      <alignment horizontal="left" vertical="center" indent="1"/>
    </xf>
    <xf numFmtId="167" fontId="6" fillId="2" borderId="0" xfId="20" applyNumberFormat="1" applyFont="1" applyFill="1" applyBorder="1" applyAlignment="1">
      <alignment horizontal="left" vertical="center" indent="1"/>
    </xf>
    <xf numFmtId="0" fontId="31" fillId="0" borderId="0" xfId="11" applyFont="1" applyAlignment="1">
      <alignment horizontal="center" vertical="center"/>
    </xf>
    <xf numFmtId="0" fontId="23" fillId="0" borderId="0" xfId="26" applyFont="1"/>
    <xf numFmtId="0" fontId="34" fillId="0" borderId="0" xfId="26" applyFont="1"/>
    <xf numFmtId="0" fontId="1" fillId="0" borderId="0" xfId="26"/>
    <xf numFmtId="0" fontId="38" fillId="0" borderId="19" xfId="2" applyFont="1" applyBorder="1" applyAlignment="1" applyProtection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173" fontId="4" fillId="0" borderId="17" xfId="0" applyNumberFormat="1" applyFont="1" applyBorder="1" applyAlignment="1">
      <alignment horizontal="right" vertical="center" wrapText="1"/>
    </xf>
    <xf numFmtId="0" fontId="26" fillId="0" borderId="2" xfId="0" applyFont="1" applyBorder="1" applyAlignment="1">
      <alignment horizontal="right"/>
    </xf>
    <xf numFmtId="173" fontId="4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8" fillId="2" borderId="0" xfId="0" applyFont="1" applyFill="1" applyAlignment="1">
      <alignment horizontal="right" vertical="center"/>
    </xf>
    <xf numFmtId="0" fontId="9" fillId="0" borderId="0" xfId="3" applyFont="1" applyAlignment="1">
      <alignment horizontal="left" vertical="center" wrapText="1" indent="2"/>
    </xf>
    <xf numFmtId="0" fontId="3" fillId="2" borderId="0" xfId="3" applyFont="1" applyFill="1" applyAlignment="1">
      <alignment horizontal="left" vertical="center" wrapText="1" indent="3"/>
    </xf>
    <xf numFmtId="0" fontId="3" fillId="0" borderId="0" xfId="3" applyFont="1" applyAlignment="1">
      <alignment horizontal="left" vertical="center" wrapText="1" indent="3"/>
    </xf>
    <xf numFmtId="174" fontId="12" fillId="0" borderId="0" xfId="24" applyNumberFormat="1" applyFont="1" applyFill="1" applyAlignment="1">
      <alignment horizontal="right" vertical="center" readingOrder="1"/>
    </xf>
    <xf numFmtId="174" fontId="14" fillId="0" borderId="0" xfId="24" applyNumberFormat="1" applyFont="1" applyFill="1" applyAlignment="1" applyProtection="1">
      <alignment horizontal="right" vertical="center"/>
    </xf>
    <xf numFmtId="174" fontId="12" fillId="2" borderId="0" xfId="2" applyNumberFormat="1" applyFont="1" applyFill="1" applyAlignment="1">
      <alignment horizontal="right" vertical="center" readingOrder="1"/>
    </xf>
    <xf numFmtId="174" fontId="39" fillId="0" borderId="0" xfId="0" applyNumberFormat="1" applyFont="1"/>
    <xf numFmtId="174" fontId="0" fillId="0" borderId="0" xfId="0" applyNumberFormat="1"/>
    <xf numFmtId="174" fontId="6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74" fontId="13" fillId="0" borderId="0" xfId="24" applyNumberFormat="1" applyFont="1" applyFill="1" applyAlignment="1">
      <alignment horizontal="right" vertical="center" readingOrder="1"/>
    </xf>
    <xf numFmtId="174" fontId="8" fillId="0" borderId="0" xfId="24" applyNumberFormat="1" applyFont="1" applyFill="1" applyAlignment="1" applyProtection="1">
      <alignment horizontal="right" vertical="center"/>
    </xf>
    <xf numFmtId="174" fontId="13" fillId="2" borderId="0" xfId="2" applyNumberFormat="1" applyFont="1" applyFill="1" applyAlignment="1">
      <alignment horizontal="right" vertical="center" readingOrder="1"/>
    </xf>
    <xf numFmtId="174" fontId="5" fillId="0" borderId="0" xfId="0" applyNumberFormat="1" applyFont="1"/>
    <xf numFmtId="174" fontId="7" fillId="2" borderId="0" xfId="0" applyNumberFormat="1" applyFont="1" applyFill="1" applyAlignment="1">
      <alignment horizontal="center" vertical="center" wrapText="1"/>
    </xf>
    <xf numFmtId="174" fontId="2" fillId="2" borderId="0" xfId="0" applyNumberFormat="1" applyFont="1" applyFill="1"/>
    <xf numFmtId="174" fontId="3" fillId="2" borderId="0" xfId="13" applyNumberFormat="1" applyFont="1" applyFill="1" applyBorder="1"/>
    <xf numFmtId="174" fontId="3" fillId="2" borderId="0" xfId="13" applyNumberFormat="1" applyFont="1" applyFill="1" applyAlignment="1">
      <alignment horizontal="right"/>
    </xf>
    <xf numFmtId="174" fontId="3" fillId="2" borderId="0" xfId="3" applyNumberFormat="1" applyFont="1" applyFill="1" applyAlignment="1">
      <alignment horizontal="right" vertical="center"/>
    </xf>
    <xf numFmtId="174" fontId="0" fillId="2" borderId="0" xfId="0" applyNumberFormat="1" applyFill="1"/>
    <xf numFmtId="174" fontId="6" fillId="0" borderId="0" xfId="14" applyNumberFormat="1" applyFont="1"/>
    <xf numFmtId="174" fontId="6" fillId="2" borderId="0" xfId="6" applyNumberFormat="1" applyFont="1" applyFill="1"/>
    <xf numFmtId="174" fontId="3" fillId="0" borderId="0" xfId="6" applyNumberFormat="1" applyFont="1"/>
    <xf numFmtId="174" fontId="3" fillId="2" borderId="0" xfId="17" applyNumberFormat="1" applyFont="1" applyFill="1" applyBorder="1"/>
    <xf numFmtId="174" fontId="13" fillId="2" borderId="3" xfId="2" applyNumberFormat="1" applyFont="1" applyFill="1" applyBorder="1" applyAlignment="1" applyProtection="1">
      <alignment horizontal="right" vertical="center" wrapText="1" readingOrder="1"/>
      <protection locked="0"/>
    </xf>
    <xf numFmtId="174" fontId="3" fillId="2" borderId="0" xfId="17" applyNumberFormat="1" applyFont="1" applyFill="1" applyAlignment="1">
      <alignment horizontal="right"/>
    </xf>
    <xf numFmtId="174" fontId="5" fillId="0" borderId="0" xfId="3" applyNumberFormat="1" applyFont="1"/>
    <xf numFmtId="174" fontId="3" fillId="2" borderId="0" xfId="18" applyNumberFormat="1" applyFont="1" applyFill="1"/>
    <xf numFmtId="174" fontId="3" fillId="0" borderId="0" xfId="3" applyNumberFormat="1" applyFont="1" applyAlignment="1">
      <alignment horizontal="right" vertical="center"/>
    </xf>
    <xf numFmtId="174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74" fontId="8" fillId="0" borderId="3" xfId="0" applyNumberFormat="1" applyFont="1" applyBorder="1" applyAlignment="1" applyProtection="1">
      <alignment horizontal="right" vertical="center" wrapText="1" readingOrder="1"/>
      <protection locked="0"/>
    </xf>
    <xf numFmtId="174" fontId="5" fillId="2" borderId="0" xfId="3" applyNumberFormat="1" applyFont="1" applyFill="1"/>
    <xf numFmtId="174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23" fillId="0" borderId="10" xfId="11" applyFont="1" applyBorder="1" applyAlignment="1">
      <alignment horizontal="left" vertical="center" wrapText="1" indent="1"/>
    </xf>
    <xf numFmtId="0" fontId="23" fillId="0" borderId="11" xfId="11" applyFont="1" applyBorder="1" applyAlignment="1">
      <alignment horizontal="left" vertical="center" wrapText="1" indent="1"/>
    </xf>
    <xf numFmtId="0" fontId="23" fillId="0" borderId="12" xfId="11" applyFont="1" applyBorder="1" applyAlignment="1">
      <alignment horizontal="left" vertical="center" wrapText="1" indent="1"/>
    </xf>
    <xf numFmtId="0" fontId="23" fillId="0" borderId="14" xfId="11" applyFont="1" applyBorder="1" applyAlignment="1">
      <alignment horizontal="left" vertical="center" wrapText="1" indent="1"/>
    </xf>
    <xf numFmtId="0" fontId="23" fillId="0" borderId="15" xfId="11" applyFont="1" applyBorder="1" applyAlignment="1">
      <alignment horizontal="left" vertical="center" wrapText="1" indent="1"/>
    </xf>
    <xf numFmtId="0" fontId="23" fillId="0" borderId="16" xfId="11" applyFont="1" applyBorder="1" applyAlignment="1">
      <alignment horizontal="left" vertical="center" wrapText="1" indent="1"/>
    </xf>
    <xf numFmtId="0" fontId="36" fillId="0" borderId="8" xfId="12" applyFont="1" applyFill="1" applyBorder="1" applyAlignment="1">
      <alignment horizontal="center" vertical="center" wrapText="1"/>
    </xf>
    <xf numFmtId="0" fontId="36" fillId="0" borderId="13" xfId="12" applyFont="1" applyFill="1" applyBorder="1" applyAlignment="1">
      <alignment horizontal="center" vertical="center" wrapText="1"/>
    </xf>
    <xf numFmtId="0" fontId="36" fillId="0" borderId="18" xfId="12" applyFont="1" applyFill="1" applyBorder="1" applyAlignment="1">
      <alignment horizontal="center" vertical="center" wrapText="1"/>
    </xf>
    <xf numFmtId="0" fontId="33" fillId="7" borderId="6" xfId="11" applyFont="1" applyFill="1" applyBorder="1" applyAlignment="1">
      <alignment horizontal="center" vertical="center"/>
    </xf>
    <xf numFmtId="0" fontId="33" fillId="7" borderId="7" xfId="11" applyFont="1" applyFill="1" applyBorder="1" applyAlignment="1">
      <alignment horizontal="center" vertical="center"/>
    </xf>
    <xf numFmtId="0" fontId="30" fillId="0" borderId="0" xfId="26" applyFont="1" applyAlignment="1">
      <alignment horizontal="center" vertical="center"/>
    </xf>
    <xf numFmtId="0" fontId="31" fillId="0" borderId="0" xfId="26" applyFont="1" applyAlignment="1">
      <alignment horizontal="center" vertical="center"/>
    </xf>
    <xf numFmtId="0" fontId="48" fillId="6" borderId="0" xfId="27" applyFont="1" applyFill="1" applyAlignment="1">
      <alignment horizontal="center" vertical="center"/>
    </xf>
    <xf numFmtId="0" fontId="34" fillId="0" borderId="0" xfId="27" applyFont="1" applyAlignment="1">
      <alignment horizontal="center" vertical="center"/>
    </xf>
    <xf numFmtId="0" fontId="34" fillId="0" borderId="0" xfId="11" applyFont="1" applyAlignment="1">
      <alignment horizontal="right"/>
    </xf>
    <xf numFmtId="0" fontId="8" fillId="0" borderId="0" xfId="0" applyFont="1" applyAlignment="1">
      <alignment horizontal="left" vertical="center" wrapText="1"/>
    </xf>
    <xf numFmtId="0" fontId="14" fillId="2" borderId="4" xfId="0" applyFont="1" applyFill="1" applyBorder="1" applyAlignment="1" applyProtection="1">
      <alignment horizontal="left" vertical="center" wrapText="1" readingOrder="1"/>
      <protection locked="0"/>
    </xf>
    <xf numFmtId="0" fontId="14" fillId="2" borderId="0" xfId="0" applyFont="1" applyFill="1" applyAlignment="1" applyProtection="1">
      <alignment horizontal="left" vertical="center" wrapText="1" readingOrder="1"/>
      <protection locked="0"/>
    </xf>
    <xf numFmtId="0" fontId="14" fillId="2" borderId="2" xfId="0" applyFont="1" applyFill="1" applyBorder="1" applyAlignment="1" applyProtection="1">
      <alignment horizontal="left" vertical="center" wrapText="1" readingOrder="1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5" fillId="2" borderId="0" xfId="3" applyFont="1" applyFill="1" applyAlignment="1">
      <alignment horizontal="left" vertical="center" wrapText="1"/>
    </xf>
    <xf numFmtId="0" fontId="22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left" vertical="center" wrapText="1"/>
    </xf>
    <xf numFmtId="0" fontId="51" fillId="8" borderId="0" xfId="0" applyFont="1" applyFill="1" applyAlignment="1">
      <alignment vertical="center"/>
    </xf>
  </cellXfs>
  <cellStyles count="28">
    <cellStyle name="Hipervínculo" xfId="2" builtinId="8"/>
    <cellStyle name="Hipervínculo 2" xfId="12" xr:uid="{00000000-0005-0000-0000-000001000000}"/>
    <cellStyle name="Hipervínculo 2 4" xfId="24" xr:uid="{2AA4CA1E-6D3C-4169-89A4-AAF735BE646A}"/>
    <cellStyle name="Millares" xfId="1" builtinId="3"/>
    <cellStyle name="Millares 2" xfId="5" xr:uid="{00000000-0005-0000-0000-000003000000}"/>
    <cellStyle name="Millares 2 2" xfId="6" xr:uid="{00000000-0005-0000-0000-000004000000}"/>
    <cellStyle name="Millares 2 3" xfId="14" xr:uid="{ACF87AE9-0DC9-45E7-9F21-6759153721D6}"/>
    <cellStyle name="Millares 2 4" xfId="15" xr:uid="{3CD3E506-3650-4527-A028-F50C86D11C97}"/>
    <cellStyle name="Millares 2 5" xfId="16" xr:uid="{30D520DE-CC8B-4B60-B0EF-403670AE9456}"/>
    <cellStyle name="Millares 2 6" xfId="18" xr:uid="{EB691596-B33D-4B12-ABED-2ABC125131C8}"/>
    <cellStyle name="Millares 3" xfId="13" xr:uid="{64329396-F061-4EDA-B02C-57A122B5DFAB}"/>
    <cellStyle name="Millares 4" xfId="17" xr:uid="{70E03682-FA8C-42AB-8184-3068C4FDE97D}"/>
    <cellStyle name="Millares 5" xfId="19" xr:uid="{35962744-2A76-42FE-8362-67C43E2E723A}"/>
    <cellStyle name="Millares 6" xfId="20" xr:uid="{3BD12F8F-D2FF-4CB3-964A-23186F0686FD}"/>
    <cellStyle name="Normal" xfId="0" builtinId="0"/>
    <cellStyle name="Normal 10 2" xfId="21" xr:uid="{09A52CFF-95C9-4063-AA7A-C4A4EF7A3C22}"/>
    <cellStyle name="Normal 10 3 2" xfId="7" xr:uid="{00000000-0005-0000-0000-000006000000}"/>
    <cellStyle name="Normal 2 2 2" xfId="10" xr:uid="{00000000-0005-0000-0000-000007000000}"/>
    <cellStyle name="Normal 3" xfId="22" xr:uid="{E4606500-A39E-4D7D-8F7E-268EDBC091C9}"/>
    <cellStyle name="Normal 3 2 5" xfId="8" xr:uid="{00000000-0005-0000-0000-000008000000}"/>
    <cellStyle name="Normal 4" xfId="3" xr:uid="{00000000-0005-0000-0000-000009000000}"/>
    <cellStyle name="Normal 6" xfId="9" xr:uid="{00000000-0005-0000-0000-00000A000000}"/>
    <cellStyle name="Normal 6 2" xfId="27" xr:uid="{B84CE1F7-6BD2-45B5-A321-C27F0D6B299E}"/>
    <cellStyle name="Normal 6 2 2" xfId="26" xr:uid="{A8612AB0-A9FF-4367-BD7B-320B04C73F87}"/>
    <cellStyle name="Normal 7 2 2" xfId="11" xr:uid="{00000000-0005-0000-0000-00000B000000}"/>
    <cellStyle name="Normal 9" xfId="4" xr:uid="{00000000-0005-0000-0000-00000C000000}"/>
    <cellStyle name="Normal 9 2" xfId="25" xr:uid="{77DBE07C-CDC4-46C1-B2AB-A7DB86A8C990}"/>
    <cellStyle name="Normal 9 3" xfId="23" xr:uid="{323D5120-FE22-44C7-AB71-179813E83126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7CAFB649-F3DE-49A8-8AF6-969983C6A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3424-F676-40E8-A10F-8ADE9954A0B3}">
  <dimension ref="A1:T22"/>
  <sheetViews>
    <sheetView showGridLines="0" tabSelected="1" workbookViewId="0"/>
  </sheetViews>
  <sheetFormatPr baseColWidth="10" defaultColWidth="11.42578125" defaultRowHeight="14.25"/>
  <cols>
    <col min="1" max="1" width="1.7109375" style="86" customWidth="1"/>
    <col min="2" max="2" width="20.28515625" style="86" customWidth="1"/>
    <col min="3" max="3" width="17.42578125" style="86" customWidth="1"/>
    <col min="4" max="14" width="11.42578125" style="86"/>
    <col min="15" max="15" width="1.5703125" style="86" customWidth="1"/>
    <col min="16" max="16384" width="11.42578125" style="86"/>
  </cols>
  <sheetData>
    <row r="1" spans="1:20" s="189" customFormat="1" ht="20.100000000000001" customHeight="1">
      <c r="A1" s="187"/>
      <c r="B1" s="188"/>
      <c r="C1" s="188"/>
    </row>
    <row r="2" spans="1:20" s="189" customFormat="1" ht="20.100000000000001" customHeight="1">
      <c r="B2" s="242" t="s">
        <v>103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</row>
    <row r="3" spans="1:20" s="189" customFormat="1" ht="20.100000000000001" customHeight="1">
      <c r="B3" s="243" t="s">
        <v>56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</row>
    <row r="4" spans="1:20" ht="6.95" customHeight="1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</row>
    <row r="5" spans="1:20" ht="20.100000000000001" customHeight="1">
      <c r="A5" s="244" t="s">
        <v>136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88"/>
    </row>
    <row r="6" spans="1:20" ht="6.95" customHeight="1">
      <c r="A6" s="87"/>
      <c r="B6" s="88" t="s">
        <v>57</v>
      </c>
      <c r="C6" s="89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7"/>
      <c r="T6" s="90"/>
    </row>
    <row r="7" spans="1:20" ht="20.100000000000001" customHeight="1">
      <c r="A7" s="87"/>
      <c r="B7" s="245" t="s">
        <v>57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87"/>
    </row>
    <row r="8" spans="1:20" ht="20.100000000000001" customHeight="1">
      <c r="A8" s="91"/>
      <c r="B8" s="92" t="s">
        <v>137</v>
      </c>
      <c r="C8" s="93"/>
      <c r="D8" s="91"/>
      <c r="E8" s="91"/>
      <c r="F8" s="91"/>
      <c r="G8" s="91"/>
      <c r="H8" s="91"/>
      <c r="I8" s="91"/>
      <c r="J8" s="91"/>
      <c r="K8" s="91"/>
      <c r="L8" s="91"/>
      <c r="M8" s="246" t="str">
        <f>CONCATENATE("Total de tabulados: ", COUNTIF(C11:C23,"&lt;&gt;"))</f>
        <v>Total de tabulados: 12</v>
      </c>
      <c r="N8" s="246"/>
      <c r="O8" s="91"/>
    </row>
    <row r="9" spans="1:20" ht="6.95" customHeight="1" thickBot="1"/>
    <row r="10" spans="1:20" ht="18.75" customHeight="1" thickBot="1">
      <c r="B10" s="94" t="s">
        <v>58</v>
      </c>
      <c r="C10" s="112" t="s">
        <v>59</v>
      </c>
      <c r="D10" s="240" t="s">
        <v>60</v>
      </c>
      <c r="E10" s="240"/>
      <c r="F10" s="240"/>
      <c r="G10" s="240"/>
      <c r="H10" s="240"/>
      <c r="I10" s="240"/>
      <c r="J10" s="240"/>
      <c r="K10" s="240"/>
      <c r="L10" s="240"/>
      <c r="M10" s="240"/>
      <c r="N10" s="241"/>
    </row>
    <row r="11" spans="1:20" ht="39.950000000000003" customHeight="1">
      <c r="B11" s="237" t="s">
        <v>61</v>
      </c>
      <c r="C11" s="96" t="s">
        <v>18</v>
      </c>
      <c r="D11" s="231" t="s">
        <v>111</v>
      </c>
      <c r="E11" s="232"/>
      <c r="F11" s="232"/>
      <c r="G11" s="232"/>
      <c r="H11" s="232"/>
      <c r="I11" s="232"/>
      <c r="J11" s="232"/>
      <c r="K11" s="232"/>
      <c r="L11" s="232"/>
      <c r="M11" s="232"/>
      <c r="N11" s="233"/>
      <c r="O11" s="95"/>
      <c r="P11" s="95"/>
      <c r="Q11" s="95"/>
      <c r="R11" s="95"/>
      <c r="S11" s="95"/>
      <c r="T11" s="95"/>
    </row>
    <row r="12" spans="1:20" ht="39.950000000000003" customHeight="1">
      <c r="B12" s="238"/>
      <c r="C12" s="96" t="s">
        <v>20</v>
      </c>
      <c r="D12" s="231" t="s">
        <v>112</v>
      </c>
      <c r="E12" s="232"/>
      <c r="F12" s="232"/>
      <c r="G12" s="232"/>
      <c r="H12" s="232"/>
      <c r="I12" s="232"/>
      <c r="J12" s="232"/>
      <c r="K12" s="232"/>
      <c r="L12" s="232"/>
      <c r="M12" s="232"/>
      <c r="N12" s="233"/>
      <c r="O12" s="95"/>
      <c r="P12" s="95"/>
      <c r="Q12" s="95"/>
      <c r="R12" s="95"/>
      <c r="S12" s="95"/>
      <c r="T12" s="95"/>
    </row>
    <row r="13" spans="1:20" ht="39.950000000000003" customHeight="1">
      <c r="B13" s="238"/>
      <c r="C13" s="96" t="s">
        <v>21</v>
      </c>
      <c r="D13" s="231" t="s">
        <v>113</v>
      </c>
      <c r="E13" s="232"/>
      <c r="F13" s="232"/>
      <c r="G13" s="232"/>
      <c r="H13" s="232"/>
      <c r="I13" s="232"/>
      <c r="J13" s="232"/>
      <c r="K13" s="232"/>
      <c r="L13" s="232"/>
      <c r="M13" s="232"/>
      <c r="N13" s="233"/>
      <c r="O13" s="95"/>
      <c r="P13" s="95"/>
      <c r="Q13" s="95"/>
      <c r="R13" s="95"/>
      <c r="S13" s="95"/>
      <c r="T13" s="95"/>
    </row>
    <row r="14" spans="1:20" ht="39.950000000000003" customHeight="1">
      <c r="B14" s="238"/>
      <c r="C14" s="96" t="s">
        <v>22</v>
      </c>
      <c r="D14" s="231" t="s">
        <v>9</v>
      </c>
      <c r="E14" s="232"/>
      <c r="F14" s="232"/>
      <c r="G14" s="232"/>
      <c r="H14" s="232"/>
      <c r="I14" s="232"/>
      <c r="J14" s="232"/>
      <c r="K14" s="232"/>
      <c r="L14" s="232"/>
      <c r="M14" s="232"/>
      <c r="N14" s="233"/>
      <c r="O14" s="95"/>
      <c r="P14" s="95"/>
      <c r="Q14" s="95"/>
      <c r="R14" s="95"/>
      <c r="S14" s="95"/>
      <c r="T14" s="95"/>
    </row>
    <row r="15" spans="1:20" ht="39.950000000000003" customHeight="1">
      <c r="B15" s="238"/>
      <c r="C15" s="96" t="s">
        <v>23</v>
      </c>
      <c r="D15" s="231" t="s">
        <v>115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3"/>
      <c r="O15" s="95"/>
      <c r="P15" s="95"/>
      <c r="Q15" s="95"/>
      <c r="R15" s="95"/>
      <c r="S15" s="95"/>
      <c r="T15" s="95"/>
    </row>
    <row r="16" spans="1:20" ht="39.950000000000003" customHeight="1">
      <c r="B16" s="238"/>
      <c r="C16" s="96" t="s">
        <v>24</v>
      </c>
      <c r="D16" s="231" t="s">
        <v>116</v>
      </c>
      <c r="E16" s="232"/>
      <c r="F16" s="232"/>
      <c r="G16" s="232"/>
      <c r="H16" s="232"/>
      <c r="I16" s="232"/>
      <c r="J16" s="232"/>
      <c r="K16" s="232"/>
      <c r="L16" s="232"/>
      <c r="M16" s="232"/>
      <c r="N16" s="233"/>
      <c r="O16" s="95"/>
      <c r="P16" s="95"/>
      <c r="Q16" s="95"/>
      <c r="R16" s="95"/>
      <c r="S16" s="95"/>
      <c r="T16" s="95"/>
    </row>
    <row r="17" spans="2:20" ht="39.950000000000003" customHeight="1">
      <c r="B17" s="238"/>
      <c r="C17" s="96" t="s">
        <v>25</v>
      </c>
      <c r="D17" s="231" t="s">
        <v>118</v>
      </c>
      <c r="E17" s="232"/>
      <c r="F17" s="232"/>
      <c r="G17" s="232"/>
      <c r="H17" s="232"/>
      <c r="I17" s="232"/>
      <c r="J17" s="232"/>
      <c r="K17" s="232"/>
      <c r="L17" s="232"/>
      <c r="M17" s="232"/>
      <c r="N17" s="233"/>
      <c r="O17" s="95"/>
      <c r="P17" s="95"/>
      <c r="Q17" s="95"/>
      <c r="R17" s="95"/>
      <c r="S17" s="95"/>
      <c r="T17" s="95"/>
    </row>
    <row r="18" spans="2:20" ht="39.950000000000003" customHeight="1">
      <c r="B18" s="238"/>
      <c r="C18" s="96" t="s">
        <v>26</v>
      </c>
      <c r="D18" s="231" t="s">
        <v>119</v>
      </c>
      <c r="E18" s="232"/>
      <c r="F18" s="232"/>
      <c r="G18" s="232"/>
      <c r="H18" s="232"/>
      <c r="I18" s="232"/>
      <c r="J18" s="232"/>
      <c r="K18" s="232"/>
      <c r="L18" s="232"/>
      <c r="M18" s="232"/>
      <c r="N18" s="233"/>
      <c r="O18" s="95"/>
      <c r="P18" s="95"/>
      <c r="Q18" s="95"/>
      <c r="R18" s="95"/>
      <c r="S18" s="95"/>
      <c r="T18" s="95"/>
    </row>
    <row r="19" spans="2:20" ht="39.950000000000003" customHeight="1">
      <c r="B19" s="238"/>
      <c r="C19" s="96" t="s">
        <v>27</v>
      </c>
      <c r="D19" s="231" t="s">
        <v>120</v>
      </c>
      <c r="E19" s="232"/>
      <c r="F19" s="232"/>
      <c r="G19" s="232"/>
      <c r="H19" s="232"/>
      <c r="I19" s="232"/>
      <c r="J19" s="232"/>
      <c r="K19" s="232"/>
      <c r="L19" s="232"/>
      <c r="M19" s="232"/>
      <c r="N19" s="233"/>
      <c r="O19" s="95"/>
      <c r="P19" s="95"/>
      <c r="Q19" s="95"/>
      <c r="R19" s="95"/>
      <c r="S19" s="95"/>
      <c r="T19" s="95"/>
    </row>
    <row r="20" spans="2:20" ht="39.950000000000003" customHeight="1">
      <c r="B20" s="238"/>
      <c r="C20" s="96" t="s">
        <v>28</v>
      </c>
      <c r="D20" s="231" t="s">
        <v>121</v>
      </c>
      <c r="E20" s="232"/>
      <c r="F20" s="232"/>
      <c r="G20" s="232"/>
      <c r="H20" s="232"/>
      <c r="I20" s="232"/>
      <c r="J20" s="232"/>
      <c r="K20" s="232"/>
      <c r="L20" s="232"/>
      <c r="M20" s="232"/>
      <c r="N20" s="233"/>
      <c r="O20" s="95"/>
      <c r="P20" s="95"/>
      <c r="Q20" s="95"/>
      <c r="R20" s="95"/>
      <c r="S20" s="95"/>
      <c r="T20" s="95"/>
    </row>
    <row r="21" spans="2:20" ht="39.950000000000003" customHeight="1">
      <c r="B21" s="238"/>
      <c r="C21" s="96" t="s">
        <v>19</v>
      </c>
      <c r="D21" s="231" t="s">
        <v>123</v>
      </c>
      <c r="E21" s="232"/>
      <c r="F21" s="232"/>
      <c r="G21" s="232"/>
      <c r="H21" s="232"/>
      <c r="I21" s="232"/>
      <c r="J21" s="232"/>
      <c r="K21" s="232"/>
      <c r="L21" s="232"/>
      <c r="M21" s="232"/>
      <c r="N21" s="233"/>
      <c r="O21" s="95"/>
      <c r="P21" s="95"/>
      <c r="Q21" s="95"/>
      <c r="R21" s="95"/>
      <c r="S21" s="95"/>
      <c r="T21" s="95"/>
    </row>
    <row r="22" spans="2:20" ht="39.950000000000003" customHeight="1" thickBot="1">
      <c r="B22" s="239"/>
      <c r="C22" s="190" t="s">
        <v>72</v>
      </c>
      <c r="D22" s="234" t="s">
        <v>122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6"/>
      <c r="O22" s="95"/>
      <c r="P22" s="95"/>
      <c r="Q22" s="95"/>
      <c r="R22" s="95"/>
      <c r="S22" s="95"/>
      <c r="T22" s="95"/>
    </row>
  </sheetData>
  <mergeCells count="19">
    <mergeCell ref="D10:N10"/>
    <mergeCell ref="B2:N2"/>
    <mergeCell ref="B3:N3"/>
    <mergeCell ref="A5:N5"/>
    <mergeCell ref="B7:N7"/>
    <mergeCell ref="M8:N8"/>
    <mergeCell ref="D20:N20"/>
    <mergeCell ref="D21:N21"/>
    <mergeCell ref="D22:N22"/>
    <mergeCell ref="B11:B22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</mergeCells>
  <hyperlinks>
    <hyperlink ref="C11" location="'Cuadro 4.1'!A1" tooltip="Ir a Cuadro 4.1" display="Cuadro 4.1" xr:uid="{1501EB8A-A928-44D4-90FE-7D6FFD9FC9E4}"/>
    <hyperlink ref="C12" location="'Cuadro 4.2'!A1" tooltip="Ir a Cuadro 4.2" display="Cuadro 4.2" xr:uid="{87FACF74-2AE2-47EC-931A-E3FBA6A5AA26}"/>
    <hyperlink ref="C13" location="'Cuadro 4.3'!A1" tooltip="Ir a Cuadro 4.3" display="Cuadro 4.3" xr:uid="{6CE1BDF0-D0BC-4F28-A245-CA8F72131B78}"/>
    <hyperlink ref="C14" location="'Cuadro 4.4'!A1" tooltip="Ir a Cuadro 4.4" display="Cuadro 4.4" xr:uid="{9BA83861-D5C9-4757-9D71-6B2B1D3C66A1}"/>
    <hyperlink ref="C15" location="'Cuadro 4.5'!A1" tooltip="Ir a Cuadro 4.5" display="Cuadro 4.5" xr:uid="{29F8EA55-0997-4FDB-B519-A0CF76BDD706}"/>
    <hyperlink ref="C16" location="'Cuadro 4.6'!A1" tooltip="Ir a Cuadro 4.6" display="Cuadro 4.6" xr:uid="{43BCB8B6-B3CF-4140-92B5-EA94A7D2D78B}"/>
    <hyperlink ref="C17" location="'Cuadro 4.7'!A1" tooltip="Ir a Cuadro 4.7" display="Cuadro 4.7" xr:uid="{A942CBD0-B360-4EA7-8819-F143202AF7DD}"/>
    <hyperlink ref="C18" location="'Cuadro 4.8'!A1" tooltip="Ir a Cuadro 4.8" display="Cuadro 4.8" xr:uid="{DDB56F28-D205-4DE3-8BB2-5321DF83B2F6}"/>
    <hyperlink ref="C19" location="'Cuadro 4.9'!A1" tooltip="Ir a Cuadro 4.9" display="Cuadro 4.9" xr:uid="{287CB544-A71B-4D81-8A94-8A3ECC48E56B}"/>
    <hyperlink ref="C20" location="'Cuadro 4.10'!A1" tooltip="Ir a Cuadro 4.10" display="Cuadro 4.10" xr:uid="{6E12503B-3911-4E0F-A83C-100355196BE0}"/>
    <hyperlink ref="C21:C22" location="'Cuadro 4.10'!A1" tooltip="Ir a Cuadro 4.10" display="Cuadro 4.10" xr:uid="{93225C79-56CB-47C6-9ABF-04F00F41E98E}"/>
    <hyperlink ref="C21" location="'Cuadro 4.11'!A1" tooltip="Ir a Cuadro 4.11" display="Cuadro 4.11" xr:uid="{04556E95-E55D-4C0C-A75E-CF66321C39D4}"/>
    <hyperlink ref="C22" location="'Cuadro 4.12'!A1" tooltip="Ir a Cuadro 4.12" display="Cuadro 4.12" xr:uid="{07A7BF1D-0790-462F-9AAB-E83566CE896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313F-6C50-4049-B57F-7A4716EA0F8D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  <col min="13" max="13" width="0.5703125" customWidth="1"/>
    <col min="14" max="14" width="11.855468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110</v>
      </c>
      <c r="C5" s="104"/>
      <c r="D5" s="104"/>
      <c r="E5" s="104"/>
      <c r="F5" s="102"/>
      <c r="G5" s="151"/>
      <c r="H5" s="97"/>
      <c r="J5" s="155"/>
      <c r="K5" s="99" t="s">
        <v>18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80</v>
      </c>
      <c r="C7" s="54"/>
      <c r="D7" s="251" t="s">
        <v>109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  <c r="L9" s="1"/>
    </row>
    <row r="10" spans="2:17" ht="6" customHeight="1">
      <c r="B10" s="2"/>
      <c r="C10" s="2"/>
      <c r="D10" s="192"/>
      <c r="E10" s="196"/>
      <c r="F10" s="197"/>
      <c r="G10" s="192"/>
      <c r="H10" s="196"/>
      <c r="I10" s="197"/>
      <c r="J10" s="192"/>
      <c r="K10" s="196"/>
      <c r="L10" s="1"/>
    </row>
    <row r="11" spans="2:17" s="4" customFormat="1" ht="15" customHeight="1">
      <c r="B11" s="145" t="s">
        <v>2</v>
      </c>
      <c r="C11" s="3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  <c r="L11" s="1"/>
    </row>
    <row r="12" spans="2:17" s="4" customFormat="1" ht="6.95" customHeight="1">
      <c r="B12" s="145"/>
      <c r="C12" s="5"/>
      <c r="D12" s="206"/>
      <c r="E12" s="206"/>
      <c r="F12" s="207"/>
      <c r="G12" s="206"/>
      <c r="H12" s="206"/>
      <c r="I12" s="206"/>
      <c r="J12" s="206"/>
      <c r="K12" s="206"/>
      <c r="L12" s="1"/>
    </row>
    <row r="13" spans="2:17" s="81" customFormat="1" ht="15" customHeight="1">
      <c r="B13" s="166" t="s">
        <v>68</v>
      </c>
      <c r="C13" s="3"/>
      <c r="D13" s="202">
        <v>57884230.361307196</v>
      </c>
      <c r="E13" s="203">
        <v>66.464103015704893</v>
      </c>
      <c r="F13" s="204"/>
      <c r="G13" s="202">
        <v>32105618.531548601</v>
      </c>
      <c r="H13" s="203">
        <v>68.350164845843807</v>
      </c>
      <c r="I13" s="205"/>
      <c r="J13" s="202">
        <v>26470573.421998799</v>
      </c>
      <c r="K13" s="203">
        <v>65.186247116674707</v>
      </c>
      <c r="L13" s="8"/>
    </row>
    <row r="14" spans="2:17" s="81" customFormat="1" ht="7.15" customHeight="1">
      <c r="B14" s="146"/>
      <c r="C14" s="3"/>
      <c r="D14" s="208"/>
      <c r="E14" s="209"/>
      <c r="F14" s="204"/>
      <c r="G14" s="208"/>
      <c r="H14" s="209"/>
      <c r="I14" s="205"/>
      <c r="J14" s="208"/>
      <c r="K14" s="209"/>
      <c r="L14" s="8"/>
    </row>
    <row r="15" spans="2:17" s="7" customFormat="1" ht="15" customHeight="1">
      <c r="B15" s="167" t="s">
        <v>29</v>
      </c>
      <c r="C15" s="3"/>
      <c r="D15" s="208">
        <v>21638292.9481107</v>
      </c>
      <c r="E15" s="209">
        <v>37.949577771165302</v>
      </c>
      <c r="F15" s="210"/>
      <c r="G15" s="208">
        <v>11715743.958045499</v>
      </c>
      <c r="H15" s="209">
        <v>37.270818271850203</v>
      </c>
      <c r="I15" s="206"/>
      <c r="J15" s="208">
        <v>10292579.946999099</v>
      </c>
      <c r="K15" s="209">
        <v>39.918261334608601</v>
      </c>
      <c r="L15" s="8"/>
    </row>
    <row r="16" spans="2:17" s="4" customFormat="1" ht="15" customHeight="1">
      <c r="B16" s="167" t="s">
        <v>3</v>
      </c>
      <c r="C16" s="9"/>
      <c r="D16" s="208">
        <v>22425518.058324799</v>
      </c>
      <c r="E16" s="209">
        <v>39.385954665938598</v>
      </c>
      <c r="F16" s="210"/>
      <c r="G16" s="208">
        <v>13129858.227412701</v>
      </c>
      <c r="H16" s="209">
        <v>41.7250499638576</v>
      </c>
      <c r="I16" s="206"/>
      <c r="J16" s="208">
        <v>9709951.5846281294</v>
      </c>
      <c r="K16" s="209">
        <v>37.677308213249098</v>
      </c>
    </row>
    <row r="17" spans="2:12" s="4" customFormat="1" ht="30" customHeight="1">
      <c r="B17" s="168" t="s">
        <v>78</v>
      </c>
      <c r="C17" s="9"/>
      <c r="D17" s="208">
        <v>46104425.413885199</v>
      </c>
      <c r="E17" s="209">
        <v>80.460323122683903</v>
      </c>
      <c r="F17" s="210"/>
      <c r="G17" s="208">
        <v>25857288.365228299</v>
      </c>
      <c r="H17" s="209">
        <v>81.693044083181206</v>
      </c>
      <c r="I17" s="206"/>
      <c r="J17" s="208">
        <v>20853785.908218399</v>
      </c>
      <c r="K17" s="209">
        <v>79.949698226607595</v>
      </c>
    </row>
    <row r="18" spans="2:12" s="4" customFormat="1" ht="15" customHeight="1">
      <c r="B18" s="167" t="s">
        <v>4</v>
      </c>
      <c r="C18" s="9"/>
      <c r="D18" s="208">
        <v>35332737.999779001</v>
      </c>
      <c r="E18" s="209">
        <v>61.996829595712299</v>
      </c>
      <c r="F18" s="210"/>
      <c r="G18" s="208">
        <v>19978023.208636001</v>
      </c>
      <c r="H18" s="209">
        <v>63.423163384987902</v>
      </c>
      <c r="I18" s="206"/>
      <c r="J18" s="208">
        <v>15866351.7313259</v>
      </c>
      <c r="K18" s="209">
        <v>61.418169063649003</v>
      </c>
    </row>
    <row r="19" spans="2:12" s="4" customFormat="1" ht="30" customHeight="1">
      <c r="B19" s="168" t="s">
        <v>79</v>
      </c>
      <c r="C19" s="5"/>
      <c r="D19" s="208">
        <v>17643059.4762206</v>
      </c>
      <c r="E19" s="209">
        <v>31.0737585946599</v>
      </c>
      <c r="F19" s="210"/>
      <c r="G19" s="208">
        <v>8406453.2446425091</v>
      </c>
      <c r="H19" s="209">
        <v>26.8411698531498</v>
      </c>
      <c r="I19" s="206"/>
      <c r="J19" s="208">
        <v>9588646.3865615297</v>
      </c>
      <c r="K19" s="209">
        <v>37.351314947039199</v>
      </c>
      <c r="L19" s="1"/>
    </row>
    <row r="20" spans="2:12" s="4" customFormat="1" ht="6.95" customHeight="1">
      <c r="B20" s="147"/>
      <c r="C20" s="5"/>
      <c r="D20" s="211"/>
      <c r="E20" s="211"/>
      <c r="F20" s="212"/>
      <c r="G20" s="211"/>
      <c r="H20" s="211"/>
      <c r="I20" s="212"/>
      <c r="J20" s="212"/>
      <c r="K20" s="212"/>
      <c r="L20" s="1"/>
    </row>
    <row r="21" spans="2:12" s="106" customFormat="1" ht="15" customHeight="1">
      <c r="B21" s="166" t="s">
        <v>74</v>
      </c>
      <c r="C21" s="5"/>
      <c r="D21" s="202">
        <v>31285757.394584101</v>
      </c>
      <c r="E21" s="203">
        <v>35.890002016306397</v>
      </c>
      <c r="F21" s="204"/>
      <c r="G21" s="202">
        <v>16287603.6164348</v>
      </c>
      <c r="H21" s="203">
        <v>34.656747610189299</v>
      </c>
      <c r="I21" s="205"/>
      <c r="J21" s="202">
        <v>15481439.9520815</v>
      </c>
      <c r="K21" s="203">
        <v>38.225511306345901</v>
      </c>
      <c r="L21" s="1"/>
    </row>
    <row r="22" spans="2:12" s="4" customFormat="1" ht="6.95" customHeight="1">
      <c r="B22" s="147"/>
      <c r="C22" s="5"/>
      <c r="D22" s="211"/>
      <c r="E22" s="211"/>
      <c r="F22" s="212"/>
      <c r="G22" s="211"/>
      <c r="H22" s="211"/>
      <c r="I22" s="212"/>
      <c r="J22" s="212"/>
      <c r="K22" s="212"/>
      <c r="L22" s="1"/>
    </row>
    <row r="23" spans="2:12" s="4" customFormat="1" ht="15" customHeight="1">
      <c r="B23" s="169" t="s">
        <v>0</v>
      </c>
      <c r="C23" s="5"/>
      <c r="D23" s="202">
        <v>31876327.629939102</v>
      </c>
      <c r="E23" s="203">
        <v>100</v>
      </c>
      <c r="F23" s="204"/>
      <c r="G23" s="202">
        <v>17557347.996399298</v>
      </c>
      <c r="H23" s="203">
        <v>100</v>
      </c>
      <c r="I23" s="205"/>
      <c r="J23" s="202">
        <v>14624214.675651999</v>
      </c>
      <c r="K23" s="203">
        <v>100</v>
      </c>
      <c r="L23" s="1"/>
    </row>
    <row r="24" spans="2:12" s="4" customFormat="1" ht="6.95" customHeight="1">
      <c r="B24" s="143"/>
      <c r="C24" s="5"/>
      <c r="D24" s="206"/>
      <c r="E24" s="206"/>
      <c r="F24" s="207"/>
      <c r="G24" s="206"/>
      <c r="H24" s="206"/>
      <c r="I24" s="206"/>
      <c r="J24" s="206"/>
      <c r="K24" s="206"/>
      <c r="L24" s="1"/>
    </row>
    <row r="25" spans="2:12" s="81" customFormat="1" ht="15" customHeight="1">
      <c r="B25" s="166" t="s">
        <v>68</v>
      </c>
      <c r="C25" s="3"/>
      <c r="D25" s="202">
        <v>18251764.674418699</v>
      </c>
      <c r="E25" s="203">
        <v>58.807366546012702</v>
      </c>
      <c r="F25" s="204"/>
      <c r="G25" s="202">
        <v>10119919.2264934</v>
      </c>
      <c r="H25" s="203">
        <v>59.628699310548299</v>
      </c>
      <c r="I25" s="205"/>
      <c r="J25" s="202">
        <v>8396194.3945862893</v>
      </c>
      <c r="K25" s="203">
        <v>59.464502338784897</v>
      </c>
      <c r="L25" s="8"/>
    </row>
    <row r="26" spans="2:12" s="81" customFormat="1" ht="7.15" customHeight="1">
      <c r="B26" s="146"/>
      <c r="C26" s="3"/>
      <c r="D26" s="208"/>
      <c r="E26" s="209"/>
      <c r="F26" s="204"/>
      <c r="G26" s="208"/>
      <c r="H26" s="209"/>
      <c r="I26" s="205"/>
      <c r="J26" s="208"/>
      <c r="K26" s="209"/>
      <c r="L26" s="8"/>
    </row>
    <row r="27" spans="2:12" s="7" customFormat="1" ht="15" customHeight="1">
      <c r="B27" s="167" t="s">
        <v>29</v>
      </c>
      <c r="C27" s="3"/>
      <c r="D27" s="208">
        <v>5661179.2331498899</v>
      </c>
      <c r="E27" s="209">
        <v>32.252300194341302</v>
      </c>
      <c r="F27" s="210"/>
      <c r="G27" s="208">
        <v>3209210.2244100501</v>
      </c>
      <c r="H27" s="209">
        <v>33.315454639033703</v>
      </c>
      <c r="I27" s="206"/>
      <c r="J27" s="208">
        <v>2603433.5409119399</v>
      </c>
      <c r="K27" s="209">
        <v>32.862399093337501</v>
      </c>
      <c r="L27" s="8"/>
    </row>
    <row r="28" spans="2:12" s="4" customFormat="1" ht="15" customHeight="1">
      <c r="B28" s="167" t="s">
        <v>3</v>
      </c>
      <c r="C28" s="9"/>
      <c r="D28" s="208">
        <v>5790046.2082599699</v>
      </c>
      <c r="E28" s="209">
        <v>32.896503219376598</v>
      </c>
      <c r="F28" s="210"/>
      <c r="G28" s="208">
        <v>3368073.5580495899</v>
      </c>
      <c r="H28" s="209">
        <v>34.951240069057498</v>
      </c>
      <c r="I28" s="206"/>
      <c r="J28" s="208">
        <v>2615003.5742607899</v>
      </c>
      <c r="K28" s="209">
        <v>32.627480328409902</v>
      </c>
    </row>
    <row r="29" spans="2:12" s="4" customFormat="1" ht="30" customHeight="1">
      <c r="B29" s="168" t="s">
        <v>78</v>
      </c>
      <c r="C29" s="9"/>
      <c r="D29" s="208">
        <v>14136089.984585401</v>
      </c>
      <c r="E29" s="209">
        <v>79.270818668650406</v>
      </c>
      <c r="F29" s="210"/>
      <c r="G29" s="208">
        <v>7864928.9932595603</v>
      </c>
      <c r="H29" s="209">
        <v>80.090832147002104</v>
      </c>
      <c r="I29" s="206"/>
      <c r="J29" s="208">
        <v>6513986.4335849099</v>
      </c>
      <c r="K29" s="209">
        <v>80.117562965456102</v>
      </c>
    </row>
    <row r="30" spans="2:12" s="4" customFormat="1" ht="15" customHeight="1">
      <c r="B30" s="167" t="s">
        <v>4</v>
      </c>
      <c r="C30" s="9"/>
      <c r="D30" s="208">
        <v>10238396.4067083</v>
      </c>
      <c r="E30" s="209">
        <v>58.0625286435709</v>
      </c>
      <c r="F30" s="210"/>
      <c r="G30" s="208">
        <v>5953091.1694065798</v>
      </c>
      <c r="H30" s="209">
        <v>61.385260501081397</v>
      </c>
      <c r="I30" s="206"/>
      <c r="J30" s="208">
        <v>4448427.6747021703</v>
      </c>
      <c r="K30" s="209">
        <v>56.0440164942192</v>
      </c>
    </row>
    <row r="31" spans="2:12" s="4" customFormat="1" ht="30" customHeight="1">
      <c r="B31" s="168" t="s">
        <v>79</v>
      </c>
      <c r="C31" s="5"/>
      <c r="D31" s="208">
        <v>3068790.80790646</v>
      </c>
      <c r="E31" s="209">
        <v>17.7740369796776</v>
      </c>
      <c r="F31" s="210"/>
      <c r="G31" s="208">
        <v>1501776.13707266</v>
      </c>
      <c r="H31" s="209">
        <v>15.7955253709393</v>
      </c>
      <c r="I31" s="206"/>
      <c r="J31" s="208">
        <v>1713186.11764614</v>
      </c>
      <c r="K31" s="209">
        <v>21.888805617726799</v>
      </c>
      <c r="L31" s="1"/>
    </row>
    <row r="32" spans="2:12" s="4" customFormat="1" ht="7.15" customHeight="1">
      <c r="B32" s="147"/>
      <c r="C32" s="5"/>
      <c r="D32" s="211"/>
      <c r="E32" s="211"/>
      <c r="F32" s="212"/>
      <c r="G32" s="211"/>
      <c r="H32" s="211"/>
      <c r="I32" s="212"/>
      <c r="J32" s="212"/>
      <c r="K32" s="212"/>
      <c r="L32" s="1"/>
    </row>
    <row r="33" spans="2:12" s="106" customFormat="1" ht="15" customHeight="1">
      <c r="B33" s="166" t="s">
        <v>74</v>
      </c>
      <c r="C33" s="5"/>
      <c r="D33" s="202">
        <v>14019754.341324</v>
      </c>
      <c r="E33" s="203">
        <v>45.543131545945101</v>
      </c>
      <c r="F33" s="204"/>
      <c r="G33" s="202">
        <v>7734506.1315828599</v>
      </c>
      <c r="H33" s="203">
        <v>45.824083144120202</v>
      </c>
      <c r="I33" s="205"/>
      <c r="J33" s="202">
        <v>6530393.3683254998</v>
      </c>
      <c r="K33" s="203">
        <v>46.852629705892802</v>
      </c>
      <c r="L33" s="1"/>
    </row>
    <row r="34" spans="2:12" s="4" customFormat="1" ht="6.95" customHeight="1">
      <c r="B34" s="144"/>
      <c r="C34" s="5"/>
      <c r="D34" s="211"/>
      <c r="E34" s="211"/>
      <c r="F34" s="212"/>
      <c r="G34" s="211"/>
      <c r="H34" s="211"/>
      <c r="I34" s="212"/>
      <c r="J34" s="212"/>
      <c r="K34" s="212"/>
      <c r="L34" s="1"/>
    </row>
    <row r="35" spans="2:12" s="4" customFormat="1" ht="15" customHeight="1">
      <c r="B35" s="169" t="s">
        <v>1</v>
      </c>
      <c r="C35" s="5"/>
      <c r="D35" s="202">
        <v>58722602.216376103</v>
      </c>
      <c r="E35" s="203">
        <v>100</v>
      </c>
      <c r="F35" s="204"/>
      <c r="G35" s="202">
        <v>31539784.224373799</v>
      </c>
      <c r="H35" s="203">
        <v>100</v>
      </c>
      <c r="I35" s="205"/>
      <c r="J35" s="202">
        <v>27745562.505176</v>
      </c>
      <c r="K35" s="203">
        <v>100</v>
      </c>
      <c r="L35" s="1"/>
    </row>
    <row r="36" spans="2:12" s="4" customFormat="1" ht="6.95" customHeight="1">
      <c r="B36" s="143"/>
      <c r="C36" s="5"/>
      <c r="D36" s="206"/>
      <c r="E36" s="206"/>
      <c r="F36" s="207"/>
      <c r="G36" s="206"/>
      <c r="H36" s="206"/>
      <c r="I36" s="206"/>
      <c r="J36" s="206"/>
      <c r="K36" s="206"/>
      <c r="L36" s="1"/>
    </row>
    <row r="37" spans="2:12" s="81" customFormat="1" ht="15" customHeight="1">
      <c r="B37" s="166" t="s">
        <v>68</v>
      </c>
      <c r="C37" s="3"/>
      <c r="D37" s="202">
        <v>41181928.774035297</v>
      </c>
      <c r="E37" s="203">
        <v>71.237840901470193</v>
      </c>
      <c r="F37" s="204"/>
      <c r="G37" s="202">
        <v>22878036.133306399</v>
      </c>
      <c r="H37" s="203">
        <v>73.9834240624416</v>
      </c>
      <c r="I37" s="205"/>
      <c r="J37" s="202">
        <v>18749353.2312009</v>
      </c>
      <c r="K37" s="203">
        <v>69.124367688929695</v>
      </c>
      <c r="L37" s="8"/>
    </row>
    <row r="38" spans="2:12" s="81" customFormat="1" ht="7.15" customHeight="1">
      <c r="B38" s="146"/>
      <c r="C38" s="3"/>
      <c r="D38" s="208"/>
      <c r="E38" s="209"/>
      <c r="F38" s="204"/>
      <c r="G38" s="208"/>
      <c r="H38" s="209"/>
      <c r="I38" s="205"/>
      <c r="J38" s="208"/>
      <c r="K38" s="209"/>
      <c r="L38" s="8"/>
    </row>
    <row r="39" spans="2:12" s="7" customFormat="1" ht="15" customHeight="1">
      <c r="B39" s="167" t="s">
        <v>29</v>
      </c>
      <c r="C39" s="3"/>
      <c r="D39" s="208">
        <v>16543541.436051801</v>
      </c>
      <c r="E39" s="209">
        <v>41.210563697921202</v>
      </c>
      <c r="F39" s="210"/>
      <c r="G39" s="208">
        <v>8845076.6729429904</v>
      </c>
      <c r="H39" s="209">
        <v>39.907965414792798</v>
      </c>
      <c r="I39" s="206"/>
      <c r="J39" s="208">
        <v>7994916.5547978599</v>
      </c>
      <c r="K39" s="209">
        <v>44.1230772034328</v>
      </c>
      <c r="L39" s="8"/>
    </row>
    <row r="40" spans="2:12" s="4" customFormat="1" ht="15" customHeight="1">
      <c r="B40" s="167" t="s">
        <v>3</v>
      </c>
      <c r="C40" s="9"/>
      <c r="D40" s="208">
        <v>17209158.787898999</v>
      </c>
      <c r="E40" s="209">
        <v>42.962286154831297</v>
      </c>
      <c r="F40" s="210"/>
      <c r="G40" s="208">
        <v>10127247.3543093</v>
      </c>
      <c r="H40" s="209">
        <v>45.675550759365102</v>
      </c>
      <c r="I40" s="206"/>
      <c r="J40" s="208">
        <v>7391318.1724018501</v>
      </c>
      <c r="K40" s="209">
        <v>40.9389368330624</v>
      </c>
    </row>
    <row r="41" spans="2:12" s="4" customFormat="1" ht="30" customHeight="1">
      <c r="B41" s="168" t="s">
        <v>78</v>
      </c>
      <c r="C41" s="9"/>
      <c r="D41" s="208">
        <v>33198242.130795199</v>
      </c>
      <c r="E41" s="209">
        <v>81.581364784308306</v>
      </c>
      <c r="F41" s="210"/>
      <c r="G41" s="208">
        <v>18709571.848165199</v>
      </c>
      <c r="H41" s="209">
        <v>83.185962337064794</v>
      </c>
      <c r="I41" s="206"/>
      <c r="J41" s="208">
        <v>14899195.2234504</v>
      </c>
      <c r="K41" s="209">
        <v>80.815817131953295</v>
      </c>
    </row>
    <row r="42" spans="2:12" s="4" customFormat="1" ht="15" customHeight="1">
      <c r="B42" s="167" t="s">
        <v>4</v>
      </c>
      <c r="C42" s="9"/>
      <c r="D42" s="208">
        <v>26026927.620877199</v>
      </c>
      <c r="E42" s="209">
        <v>64.497893940793304</v>
      </c>
      <c r="F42" s="210"/>
      <c r="G42" s="208">
        <v>14594402.1820604</v>
      </c>
      <c r="H42" s="209">
        <v>65.279382150556003</v>
      </c>
      <c r="I42" s="206"/>
      <c r="J42" s="208">
        <v>11821629.016523</v>
      </c>
      <c r="K42" s="209">
        <v>64.872849518062594</v>
      </c>
    </row>
    <row r="43" spans="2:12" s="4" customFormat="1" ht="30" customHeight="1">
      <c r="B43" s="168" t="s">
        <v>79</v>
      </c>
      <c r="C43" s="5"/>
      <c r="D43" s="208">
        <v>14950489.2188337</v>
      </c>
      <c r="E43" s="209">
        <v>37.4362109864337</v>
      </c>
      <c r="F43" s="210"/>
      <c r="G43" s="208">
        <v>7134172.2579072397</v>
      </c>
      <c r="H43" s="209">
        <v>32.393003353584398</v>
      </c>
      <c r="I43" s="206"/>
      <c r="J43" s="208">
        <v>8091357.2855287297</v>
      </c>
      <c r="K43" s="209">
        <v>44.884735121470897</v>
      </c>
      <c r="L43" s="1"/>
    </row>
    <row r="44" spans="2:12" s="4" customFormat="1" ht="7.15" customHeight="1">
      <c r="B44" s="147"/>
      <c r="C44" s="5"/>
      <c r="D44" s="211"/>
      <c r="E44" s="211"/>
      <c r="F44" s="212"/>
      <c r="G44" s="211"/>
      <c r="H44" s="211"/>
      <c r="I44" s="212"/>
      <c r="J44" s="212"/>
      <c r="K44" s="212"/>
      <c r="L44" s="1"/>
    </row>
    <row r="45" spans="2:12" s="106" customFormat="1" ht="15" customHeight="1">
      <c r="B45" s="166" t="s">
        <v>74</v>
      </c>
      <c r="C45" s="5"/>
      <c r="D45" s="202">
        <v>18123295.469717801</v>
      </c>
      <c r="E45" s="203">
        <v>31.5399867285191</v>
      </c>
      <c r="F45" s="204"/>
      <c r="G45" s="202">
        <v>9041098.4838146605</v>
      </c>
      <c r="H45" s="203">
        <v>29.498018515338298</v>
      </c>
      <c r="I45" s="205"/>
      <c r="J45" s="202">
        <v>9416688.1529347003</v>
      </c>
      <c r="K45" s="203">
        <v>34.853200637044701</v>
      </c>
      <c r="L45" s="1"/>
    </row>
    <row r="46" spans="2:12" ht="6.95" customHeight="1">
      <c r="B46" s="10"/>
      <c r="C46" s="10"/>
      <c r="D46" s="153"/>
      <c r="E46" s="63"/>
      <c r="F46" s="42"/>
      <c r="G46" s="153"/>
      <c r="H46" s="63"/>
      <c r="I46" s="63"/>
      <c r="J46" s="165"/>
      <c r="K46" s="63"/>
      <c r="L46" s="1"/>
    </row>
    <row r="47" spans="2:12" ht="6.95" customHeight="1">
      <c r="B47" s="60"/>
      <c r="C47" s="60"/>
      <c r="E47" s="61"/>
      <c r="H47" s="1"/>
      <c r="I47" s="1"/>
      <c r="J47" s="163"/>
      <c r="K47" s="1"/>
      <c r="L47" s="1"/>
    </row>
    <row r="48" spans="2:12" ht="12" customHeight="1">
      <c r="B48" s="142" t="s">
        <v>66</v>
      </c>
      <c r="C48" s="65"/>
      <c r="D48" s="164"/>
      <c r="E48" s="65"/>
      <c r="F48" s="65"/>
      <c r="G48" s="164"/>
      <c r="H48" s="1"/>
      <c r="I48" s="1"/>
      <c r="J48" s="163"/>
      <c r="K48" s="1"/>
      <c r="L48" s="1"/>
    </row>
    <row r="49" spans="2:12" ht="12" customHeight="1">
      <c r="B49" s="139" t="s">
        <v>67</v>
      </c>
      <c r="C49" s="65"/>
      <c r="D49" s="164"/>
      <c r="E49" s="65"/>
      <c r="F49" s="65"/>
      <c r="G49" s="164"/>
      <c r="H49" s="1"/>
      <c r="I49" s="1"/>
      <c r="J49" s="163"/>
      <c r="K49" s="1"/>
      <c r="L49" s="1"/>
    </row>
    <row r="50" spans="2:12" ht="12" customHeight="1">
      <c r="B50" s="139" t="s">
        <v>73</v>
      </c>
      <c r="C50" s="11"/>
      <c r="D50" s="164"/>
      <c r="E50" s="11"/>
      <c r="F50" s="64"/>
      <c r="G50" s="164"/>
    </row>
    <row r="51" spans="2:12" ht="12" customHeight="1">
      <c r="B51" s="247" t="s">
        <v>77</v>
      </c>
      <c r="C51" s="247"/>
      <c r="D51" s="247"/>
      <c r="E51" s="247"/>
      <c r="F51" s="247"/>
      <c r="G51" s="247"/>
    </row>
    <row r="52" spans="2:12" ht="6.95" customHeight="1"/>
  </sheetData>
  <mergeCells count="6">
    <mergeCell ref="B51:G51"/>
    <mergeCell ref="B7:B9"/>
    <mergeCell ref="D7:E8"/>
    <mergeCell ref="G7:K7"/>
    <mergeCell ref="G8:H8"/>
    <mergeCell ref="J8:K8"/>
  </mergeCells>
  <hyperlinks>
    <hyperlink ref="K1" location="ÍNDICE!A1" tooltip="Ir a ÍNDICE" display="ÍNDICE" xr:uid="{DEC0206B-343D-47AC-9FCD-BE2C60A8B9B1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41F2-F7B4-473F-A7E1-17A558A322C0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3" customWidth="1"/>
    <col min="2" max="2" width="40.7109375" style="43" customWidth="1"/>
    <col min="3" max="3" width="1.7109375" style="43" customWidth="1"/>
    <col min="4" max="4" width="15.7109375" style="158" customWidth="1"/>
    <col min="5" max="5" width="15.7109375" style="43" customWidth="1"/>
    <col min="6" max="6" width="1.7109375" style="43" customWidth="1"/>
    <col min="7" max="7" width="15.7109375" style="158" customWidth="1"/>
    <col min="8" max="8" width="15.7109375" style="43" customWidth="1"/>
    <col min="9" max="9" width="1.7109375" style="43" customWidth="1"/>
    <col min="10" max="10" width="15.7109375" style="158" customWidth="1"/>
    <col min="11" max="11" width="15.7109375" style="43" customWidth="1"/>
    <col min="12" max="16384" width="11.42578125" style="43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112</v>
      </c>
      <c r="C5" s="101"/>
      <c r="D5" s="151"/>
      <c r="E5" s="102"/>
      <c r="F5" s="102"/>
      <c r="G5" s="151"/>
      <c r="H5" s="97"/>
      <c r="J5" s="155"/>
      <c r="K5" s="99" t="s">
        <v>20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customFormat="1" ht="15" customHeight="1">
      <c r="B7" s="248" t="s">
        <v>82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13" t="s">
        <v>6</v>
      </c>
      <c r="C11" s="44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</row>
    <row r="12" spans="2:17" ht="6.95" customHeight="1">
      <c r="B12" s="113"/>
      <c r="C12" s="44"/>
      <c r="D12" s="206"/>
      <c r="E12" s="206"/>
      <c r="F12" s="207"/>
      <c r="G12" s="206"/>
      <c r="H12" s="206"/>
      <c r="I12" s="206"/>
      <c r="J12" s="206"/>
      <c r="K12" s="206"/>
    </row>
    <row r="13" spans="2:17" ht="30" customHeight="1">
      <c r="B13" s="171" t="s">
        <v>81</v>
      </c>
      <c r="C13" s="109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109"/>
      <c r="D14" s="208"/>
      <c r="E14" s="209"/>
      <c r="F14" s="204"/>
      <c r="G14" s="208"/>
      <c r="H14" s="209"/>
      <c r="I14" s="205"/>
      <c r="J14" s="208"/>
      <c r="K14" s="209"/>
    </row>
    <row r="15" spans="2:17" ht="15" customHeight="1">
      <c r="B15" s="115" t="s">
        <v>39</v>
      </c>
      <c r="C15" s="44"/>
      <c r="D15" s="208">
        <v>64725449.769128598</v>
      </c>
      <c r="E15" s="209">
        <v>74.021766719725704</v>
      </c>
      <c r="F15" s="210"/>
      <c r="G15" s="208">
        <v>35560045.943969898</v>
      </c>
      <c r="H15" s="209">
        <v>75.289994888292597</v>
      </c>
      <c r="I15" s="206"/>
      <c r="J15" s="208">
        <v>29895412.637337599</v>
      </c>
      <c r="K15" s="209">
        <v>73.390546334247304</v>
      </c>
    </row>
    <row r="16" spans="2:17" ht="15" customHeight="1">
      <c r="B16" s="115" t="s">
        <v>40</v>
      </c>
      <c r="C16" s="117"/>
      <c r="D16" s="208">
        <v>19503157.921487801</v>
      </c>
      <c r="E16" s="209">
        <v>22.473951517956799</v>
      </c>
      <c r="F16" s="210"/>
      <c r="G16" s="208">
        <v>10418482.8259981</v>
      </c>
      <c r="H16" s="209">
        <v>22.296961752907901</v>
      </c>
      <c r="I16" s="206"/>
      <c r="J16" s="208">
        <v>9470670.0264082104</v>
      </c>
      <c r="K16" s="209">
        <v>23.501262992483799</v>
      </c>
    </row>
    <row r="17" spans="2:11" ht="15" customHeight="1">
      <c r="B17" s="115" t="s">
        <v>41</v>
      </c>
      <c r="C17" s="117"/>
      <c r="D17" s="208">
        <v>4861818.5440352596</v>
      </c>
      <c r="E17" s="209">
        <v>5.6040344372148896</v>
      </c>
      <c r="F17" s="210"/>
      <c r="G17" s="208">
        <v>2446324.23587495</v>
      </c>
      <c r="H17" s="209">
        <v>5.2550527063617203</v>
      </c>
      <c r="I17" s="206"/>
      <c r="J17" s="208">
        <v>2565842.6663833898</v>
      </c>
      <c r="K17" s="209">
        <v>6.3549383118043101</v>
      </c>
    </row>
    <row r="18" spans="2:11" ht="15" customHeight="1">
      <c r="B18" s="115" t="s">
        <v>65</v>
      </c>
      <c r="C18" s="117"/>
      <c r="D18" s="208">
        <v>390776.01040811097</v>
      </c>
      <c r="E18" s="209">
        <v>0.45110060231080901</v>
      </c>
      <c r="F18" s="210"/>
      <c r="G18" s="208">
        <v>219697.87081361399</v>
      </c>
      <c r="H18" s="209">
        <v>0.47290987361989201</v>
      </c>
      <c r="I18" s="206"/>
      <c r="J18" s="208">
        <v>210133.988260263</v>
      </c>
      <c r="K18" s="209">
        <v>0.52288699535096195</v>
      </c>
    </row>
    <row r="19" spans="2:11" ht="6.95" customHeight="1">
      <c r="B19" s="118"/>
      <c r="C19" s="117"/>
      <c r="D19" s="213"/>
      <c r="E19" s="213"/>
      <c r="F19" s="214"/>
      <c r="G19" s="213"/>
      <c r="H19" s="213"/>
      <c r="I19" s="213"/>
      <c r="J19" s="213"/>
      <c r="K19" s="213"/>
    </row>
    <row r="20" spans="2:11" ht="15" customHeight="1">
      <c r="B20" s="170" t="s">
        <v>7</v>
      </c>
      <c r="C20" s="109"/>
      <c r="D20" s="202"/>
      <c r="E20" s="203"/>
      <c r="F20" s="204"/>
      <c r="G20" s="202"/>
      <c r="H20" s="203"/>
      <c r="I20" s="205"/>
      <c r="J20" s="202"/>
      <c r="K20" s="203"/>
    </row>
    <row r="21" spans="2:11" ht="6.95" customHeight="1">
      <c r="B21" s="114"/>
      <c r="C21" s="109"/>
      <c r="D21" s="208"/>
      <c r="E21" s="209"/>
      <c r="F21" s="204"/>
      <c r="G21" s="208"/>
      <c r="H21" s="209"/>
      <c r="I21" s="205"/>
      <c r="J21" s="208"/>
      <c r="K21" s="209"/>
    </row>
    <row r="22" spans="2:11" ht="15" customHeight="1">
      <c r="B22" s="115" t="s">
        <v>39</v>
      </c>
      <c r="C22" s="117"/>
      <c r="D22" s="208">
        <v>69487585.033521503</v>
      </c>
      <c r="E22" s="209">
        <v>79.423450611813806</v>
      </c>
      <c r="F22" s="210"/>
      <c r="G22" s="208">
        <v>38316904.589537501</v>
      </c>
      <c r="H22" s="209">
        <v>81.051845865561702</v>
      </c>
      <c r="I22" s="206"/>
      <c r="J22" s="208">
        <v>31942776.476556599</v>
      </c>
      <c r="K22" s="209">
        <v>78.221271721996004</v>
      </c>
    </row>
    <row r="23" spans="2:11" ht="15" customHeight="1">
      <c r="B23" s="115" t="s">
        <v>40</v>
      </c>
      <c r="C23" s="117"/>
      <c r="D23" s="208">
        <v>17801695.5411813</v>
      </c>
      <c r="E23" s="209">
        <v>20.504504606113599</v>
      </c>
      <c r="F23" s="210"/>
      <c r="G23" s="208">
        <v>9190504.6185770202</v>
      </c>
      <c r="H23" s="209">
        <v>19.662320357054799</v>
      </c>
      <c r="I23" s="206"/>
      <c r="J23" s="208">
        <v>8935888.0059616994</v>
      </c>
      <c r="K23" s="209">
        <v>22.1600408134336</v>
      </c>
    </row>
    <row r="24" spans="2:11" ht="15" customHeight="1">
      <c r="B24" s="115" t="s">
        <v>41</v>
      </c>
      <c r="C24" s="117"/>
      <c r="D24" s="208">
        <v>1175526.9832365499</v>
      </c>
      <c r="E24" s="209">
        <v>1.3569669809847</v>
      </c>
      <c r="F24" s="210"/>
      <c r="G24" s="208">
        <v>612519.83057842695</v>
      </c>
      <c r="H24" s="209">
        <v>1.31786303965687</v>
      </c>
      <c r="I24" s="206"/>
      <c r="J24" s="208">
        <v>626838.16076088103</v>
      </c>
      <c r="K24" s="209">
        <v>1.5632712416030601</v>
      </c>
    </row>
    <row r="25" spans="2:11" ht="15" customHeight="1">
      <c r="B25" s="115" t="s">
        <v>65</v>
      </c>
      <c r="C25" s="117"/>
      <c r="D25" s="208">
        <v>794758.90803612105</v>
      </c>
      <c r="E25" s="209">
        <v>0.91659283297884897</v>
      </c>
      <c r="F25" s="210"/>
      <c r="G25" s="208">
        <v>347874.71320928202</v>
      </c>
      <c r="H25" s="209">
        <v>0.74846743743510802</v>
      </c>
      <c r="I25" s="206"/>
      <c r="J25" s="208">
        <v>503877.14288121299</v>
      </c>
      <c r="K25" s="209">
        <v>1.2518749648504901</v>
      </c>
    </row>
    <row r="26" spans="2:11" ht="6.95" customHeight="1">
      <c r="B26" s="118"/>
      <c r="C26" s="117"/>
      <c r="D26" s="213"/>
      <c r="E26" s="213"/>
      <c r="F26" s="214"/>
      <c r="G26" s="213"/>
      <c r="H26" s="213"/>
      <c r="I26" s="213"/>
      <c r="J26" s="213"/>
      <c r="K26" s="213"/>
    </row>
    <row r="27" spans="2:11" ht="30" customHeight="1">
      <c r="B27" s="171" t="s">
        <v>83</v>
      </c>
      <c r="C27" s="119"/>
      <c r="D27" s="202"/>
      <c r="E27" s="203"/>
      <c r="F27" s="204"/>
      <c r="G27" s="202"/>
      <c r="H27" s="203"/>
      <c r="I27" s="205"/>
      <c r="J27" s="202"/>
      <c r="K27" s="203"/>
    </row>
    <row r="28" spans="2:11" ht="6.95" customHeight="1">
      <c r="B28" s="114"/>
      <c r="C28" s="119"/>
      <c r="D28" s="208"/>
      <c r="E28" s="209"/>
      <c r="F28" s="204"/>
      <c r="G28" s="208"/>
      <c r="H28" s="209"/>
      <c r="I28" s="205"/>
      <c r="J28" s="208"/>
      <c r="K28" s="209"/>
    </row>
    <row r="29" spans="2:11" ht="15" customHeight="1">
      <c r="B29" s="115" t="s">
        <v>39</v>
      </c>
      <c r="C29" s="117"/>
      <c r="D29" s="208">
        <v>17399978.7116662</v>
      </c>
      <c r="E29" s="209">
        <v>20.0027937380415</v>
      </c>
      <c r="F29" s="210"/>
      <c r="G29" s="208">
        <v>9165198.7010249197</v>
      </c>
      <c r="H29" s="209">
        <v>19.5820367497377</v>
      </c>
      <c r="I29" s="206"/>
      <c r="J29" s="208">
        <v>8618732.0534179006</v>
      </c>
      <c r="K29" s="209">
        <v>21.332692746849698</v>
      </c>
    </row>
    <row r="30" spans="2:11" ht="15" customHeight="1">
      <c r="B30" s="115" t="s">
        <v>40</v>
      </c>
      <c r="C30" s="117"/>
      <c r="D30" s="208">
        <v>43922551.960856102</v>
      </c>
      <c r="E30" s="209">
        <v>50.408331155149902</v>
      </c>
      <c r="F30" s="210"/>
      <c r="G30" s="208">
        <v>23376110.8761965</v>
      </c>
      <c r="H30" s="209">
        <v>49.7552908409872</v>
      </c>
      <c r="I30" s="206"/>
      <c r="J30" s="208">
        <v>21107890.365721501</v>
      </c>
      <c r="K30" s="209">
        <v>52.053109129004397</v>
      </c>
    </row>
    <row r="31" spans="2:11" ht="15" customHeight="1">
      <c r="B31" s="115" t="s">
        <v>41</v>
      </c>
      <c r="C31" s="117"/>
      <c r="D31" s="208">
        <v>27847792.9599474</v>
      </c>
      <c r="E31" s="209">
        <v>32.026316980095402</v>
      </c>
      <c r="F31" s="210"/>
      <c r="G31" s="208">
        <v>16006812.6260483</v>
      </c>
      <c r="H31" s="209">
        <v>34.198553978154301</v>
      </c>
      <c r="I31" s="206"/>
      <c r="J31" s="208">
        <v>12265709.7478547</v>
      </c>
      <c r="K31" s="209">
        <v>30.315837534650601</v>
      </c>
    </row>
    <row r="32" spans="2:11" ht="15" customHeight="1">
      <c r="B32" s="115" t="s">
        <v>65</v>
      </c>
      <c r="C32" s="117"/>
      <c r="D32" s="208">
        <v>709506.38623965695</v>
      </c>
      <c r="E32" s="209">
        <v>0.81955325200227203</v>
      </c>
      <c r="F32" s="210"/>
      <c r="G32" s="208">
        <v>404253.653468139</v>
      </c>
      <c r="H32" s="209">
        <v>0.86983303673858703</v>
      </c>
      <c r="I32" s="206"/>
      <c r="J32" s="208">
        <v>372695.536040465</v>
      </c>
      <c r="K32" s="209">
        <v>0.92821125554889705</v>
      </c>
    </row>
    <row r="33" spans="2:11" ht="6.95" customHeight="1">
      <c r="B33" s="118"/>
      <c r="C33" s="117"/>
      <c r="D33" s="213"/>
      <c r="E33" s="213"/>
      <c r="F33" s="214"/>
      <c r="G33" s="213"/>
      <c r="H33" s="213"/>
      <c r="I33" s="213"/>
      <c r="J33" s="213"/>
      <c r="K33" s="213"/>
    </row>
    <row r="34" spans="2:11" ht="30" customHeight="1">
      <c r="B34" s="171" t="s">
        <v>84</v>
      </c>
      <c r="C34" s="119"/>
      <c r="D34" s="202"/>
      <c r="E34" s="203"/>
      <c r="F34" s="204"/>
      <c r="G34" s="202"/>
      <c r="H34" s="203"/>
      <c r="I34" s="205"/>
      <c r="J34" s="202"/>
      <c r="K34" s="203"/>
    </row>
    <row r="35" spans="2:11" ht="6.95" customHeight="1">
      <c r="B35" s="114"/>
      <c r="C35" s="119"/>
      <c r="D35" s="208"/>
      <c r="E35" s="209"/>
      <c r="F35" s="204"/>
      <c r="G35" s="208"/>
      <c r="H35" s="209"/>
      <c r="I35" s="205"/>
      <c r="J35" s="208"/>
      <c r="K35" s="209"/>
    </row>
    <row r="36" spans="2:11" ht="15" customHeight="1">
      <c r="B36" s="115" t="s">
        <v>39</v>
      </c>
      <c r="C36" s="117"/>
      <c r="D36" s="208">
        <v>40044015.458572097</v>
      </c>
      <c r="E36" s="209">
        <v>45.946599545804403</v>
      </c>
      <c r="F36" s="210"/>
      <c r="G36" s="208">
        <v>20796670.839201499</v>
      </c>
      <c r="H36" s="209">
        <v>44.260054645232501</v>
      </c>
      <c r="I36" s="206"/>
      <c r="J36" s="208">
        <v>19774684.194680799</v>
      </c>
      <c r="K36" s="209">
        <v>48.736640225492998</v>
      </c>
    </row>
    <row r="37" spans="2:11" ht="15" customHeight="1">
      <c r="B37" s="115" t="s">
        <v>40</v>
      </c>
      <c r="C37" s="117"/>
      <c r="D37" s="208">
        <v>33803504.021224298</v>
      </c>
      <c r="E37" s="209">
        <v>38.871324793953598</v>
      </c>
      <c r="F37" s="210"/>
      <c r="G37" s="208">
        <v>19199441.4288279</v>
      </c>
      <c r="H37" s="209">
        <v>41.019564157334202</v>
      </c>
      <c r="I37" s="206"/>
      <c r="J37" s="208">
        <v>15063505.393219899</v>
      </c>
      <c r="K37" s="209">
        <v>37.208263100480103</v>
      </c>
    </row>
    <row r="38" spans="2:11" ht="15" customHeight="1">
      <c r="B38" s="115" t="s">
        <v>41</v>
      </c>
      <c r="C38" s="117"/>
      <c r="D38" s="208">
        <v>15372563.306055799</v>
      </c>
      <c r="E38" s="209">
        <v>17.695750241799999</v>
      </c>
      <c r="F38" s="210"/>
      <c r="G38" s="208">
        <v>8611544.3217152804</v>
      </c>
      <c r="H38" s="209">
        <v>18.4189460558338</v>
      </c>
      <c r="I38" s="206"/>
      <c r="J38" s="208">
        <v>7109328.9869578201</v>
      </c>
      <c r="K38" s="209">
        <v>17.6305218139149</v>
      </c>
    </row>
    <row r="39" spans="2:11" ht="15" customHeight="1">
      <c r="B39" s="115" t="s">
        <v>65</v>
      </c>
      <c r="C39" s="117"/>
      <c r="D39" s="208">
        <v>717422.26882069802</v>
      </c>
      <c r="E39" s="209">
        <v>0.82813259634037195</v>
      </c>
      <c r="F39" s="210"/>
      <c r="G39" s="208">
        <v>347945.75170304702</v>
      </c>
      <c r="H39" s="209">
        <v>0.74879485472864404</v>
      </c>
      <c r="I39" s="206"/>
      <c r="J39" s="208">
        <v>433602.66794748901</v>
      </c>
      <c r="K39" s="209">
        <v>1.0796581796303599</v>
      </c>
    </row>
    <row r="40" spans="2:11" ht="6.95" customHeight="1">
      <c r="B40" s="118"/>
      <c r="C40" s="117"/>
      <c r="D40" s="213"/>
      <c r="E40" s="213"/>
      <c r="F40" s="214"/>
      <c r="G40" s="213"/>
      <c r="H40" s="213"/>
      <c r="I40" s="213"/>
      <c r="J40" s="213"/>
      <c r="K40" s="213"/>
    </row>
    <row r="41" spans="2:11" ht="30" customHeight="1">
      <c r="B41" s="171" t="s">
        <v>85</v>
      </c>
      <c r="C41" s="119"/>
      <c r="D41" s="202"/>
      <c r="E41" s="203"/>
      <c r="F41" s="204"/>
      <c r="G41" s="202"/>
      <c r="H41" s="203"/>
      <c r="I41" s="205"/>
      <c r="J41" s="202"/>
      <c r="K41" s="203"/>
    </row>
    <row r="42" spans="2:11" ht="6.95" customHeight="1">
      <c r="B42" s="114"/>
      <c r="C42" s="119"/>
      <c r="D42" s="208"/>
      <c r="E42" s="209"/>
      <c r="F42" s="204"/>
      <c r="G42" s="208"/>
      <c r="H42" s="209"/>
      <c r="I42" s="205"/>
      <c r="J42" s="208"/>
      <c r="K42" s="209"/>
    </row>
    <row r="43" spans="2:11" ht="15" customHeight="1">
      <c r="B43" s="115" t="s">
        <v>39</v>
      </c>
      <c r="C43" s="119"/>
      <c r="D43" s="208">
        <v>20761904.7809534</v>
      </c>
      <c r="E43" s="209">
        <v>23.891048063568601</v>
      </c>
      <c r="F43" s="210"/>
      <c r="G43" s="208">
        <v>10948078.6428161</v>
      </c>
      <c r="H43" s="209">
        <v>23.4088464865814</v>
      </c>
      <c r="I43" s="206"/>
      <c r="J43" s="208">
        <v>10138187.076085901</v>
      </c>
      <c r="K43" s="209">
        <v>25.1048531371409</v>
      </c>
    </row>
    <row r="44" spans="2:11" ht="15" customHeight="1">
      <c r="B44" s="115" t="s">
        <v>40</v>
      </c>
      <c r="C44" s="117"/>
      <c r="D44" s="208">
        <v>36706730.952804498</v>
      </c>
      <c r="E44" s="209">
        <v>42.155970522734798</v>
      </c>
      <c r="F44" s="210"/>
      <c r="G44" s="208">
        <v>20673712.443712398</v>
      </c>
      <c r="H44" s="209">
        <v>43.9809137236333</v>
      </c>
      <c r="I44" s="206"/>
      <c r="J44" s="208">
        <v>16590765.816905299</v>
      </c>
      <c r="K44" s="209">
        <v>40.952766005452901</v>
      </c>
    </row>
    <row r="45" spans="2:11" ht="15" customHeight="1">
      <c r="B45" s="115" t="s">
        <v>41</v>
      </c>
      <c r="C45" s="117"/>
      <c r="D45" s="208">
        <v>32011633.066633601</v>
      </c>
      <c r="E45" s="209">
        <v>36.809915028877498</v>
      </c>
      <c r="F45" s="210"/>
      <c r="G45" s="208">
        <v>16990322.812536199</v>
      </c>
      <c r="H45" s="209">
        <v>36.336406013715298</v>
      </c>
      <c r="I45" s="206"/>
      <c r="J45" s="208">
        <v>15435116.539654</v>
      </c>
      <c r="K45" s="209">
        <v>38.173543680169502</v>
      </c>
    </row>
    <row r="46" spans="2:11" ht="15" customHeight="1">
      <c r="B46" s="115" t="s">
        <v>65</v>
      </c>
      <c r="C46" s="117"/>
      <c r="D46" s="208">
        <v>697204.99111096805</v>
      </c>
      <c r="E46" s="209">
        <v>0.80539863813356605</v>
      </c>
      <c r="F46" s="210"/>
      <c r="G46" s="208">
        <v>389720.56595967402</v>
      </c>
      <c r="H46" s="209">
        <v>0.83792137507838504</v>
      </c>
      <c r="I46" s="206"/>
      <c r="J46" s="208">
        <v>353725.73246131203</v>
      </c>
      <c r="K46" s="209">
        <v>0.88159223199593795</v>
      </c>
    </row>
    <row r="47" spans="2:11" ht="6.95" customHeight="1">
      <c r="B47" s="118"/>
      <c r="C47" s="117"/>
      <c r="D47" s="213"/>
      <c r="E47" s="213"/>
      <c r="F47" s="214"/>
      <c r="G47" s="213"/>
      <c r="H47" s="213"/>
      <c r="I47" s="213"/>
      <c r="J47" s="213"/>
      <c r="K47" s="213"/>
    </row>
    <row r="48" spans="2:11" ht="15" customHeight="1">
      <c r="B48" s="170" t="s">
        <v>8</v>
      </c>
      <c r="C48" s="119"/>
      <c r="D48" s="202"/>
      <c r="E48" s="203"/>
      <c r="F48" s="204"/>
      <c r="G48" s="202"/>
      <c r="H48" s="203"/>
      <c r="I48" s="205"/>
      <c r="J48" s="202"/>
      <c r="K48" s="203"/>
    </row>
    <row r="49" spans="2:11" ht="6.95" customHeight="1">
      <c r="B49" s="114"/>
      <c r="C49" s="119"/>
      <c r="D49" s="208"/>
      <c r="E49" s="209"/>
      <c r="F49" s="204"/>
      <c r="G49" s="208"/>
      <c r="H49" s="209"/>
      <c r="I49" s="205"/>
      <c r="J49" s="208"/>
      <c r="K49" s="209"/>
    </row>
    <row r="50" spans="2:11" ht="15" customHeight="1">
      <c r="B50" s="115" t="s">
        <v>39</v>
      </c>
      <c r="C50" s="117"/>
      <c r="D50" s="208">
        <v>13755272.8863903</v>
      </c>
      <c r="E50" s="209">
        <v>15.8405376430646</v>
      </c>
      <c r="F50" s="210"/>
      <c r="G50" s="208">
        <v>6448867.1137260599</v>
      </c>
      <c r="H50" s="209">
        <v>13.7982565697301</v>
      </c>
      <c r="I50" s="206"/>
      <c r="J50" s="208">
        <v>7573716.0632324601</v>
      </c>
      <c r="K50" s="209">
        <v>18.788411730655898</v>
      </c>
    </row>
    <row r="51" spans="2:11" ht="15" customHeight="1">
      <c r="B51" s="115" t="s">
        <v>40</v>
      </c>
      <c r="C51" s="117"/>
      <c r="D51" s="208">
        <v>44204448.037084699</v>
      </c>
      <c r="E51" s="209">
        <v>50.705613094691003</v>
      </c>
      <c r="F51" s="210"/>
      <c r="G51" s="208">
        <v>23499697.316550501</v>
      </c>
      <c r="H51" s="209">
        <v>50.023462263448899</v>
      </c>
      <c r="I51" s="206"/>
      <c r="J51" s="208">
        <v>21271264.893461101</v>
      </c>
      <c r="K51" s="209">
        <v>52.4752507842244</v>
      </c>
    </row>
    <row r="52" spans="2:11" ht="15" customHeight="1">
      <c r="B52" s="115" t="s">
        <v>41</v>
      </c>
      <c r="C52" s="117"/>
      <c r="D52" s="208">
        <v>31516362.253191501</v>
      </c>
      <c r="E52" s="209">
        <v>36.237512587869197</v>
      </c>
      <c r="F52" s="210"/>
      <c r="G52" s="208">
        <v>18691769.493846402</v>
      </c>
      <c r="H52" s="209">
        <v>39.897156342820303</v>
      </c>
      <c r="I52" s="206"/>
      <c r="J52" s="208">
        <v>13345118.7883974</v>
      </c>
      <c r="K52" s="209">
        <v>32.951981325041501</v>
      </c>
    </row>
    <row r="53" spans="2:11" ht="15" customHeight="1">
      <c r="B53" s="115" t="s">
        <v>65</v>
      </c>
      <c r="C53" s="117"/>
      <c r="D53" s="208">
        <v>379624.10305593099</v>
      </c>
      <c r="E53" s="209">
        <v>0.43793563048847001</v>
      </c>
      <c r="F53" s="210"/>
      <c r="G53" s="208">
        <v>227356.61872925499</v>
      </c>
      <c r="H53" s="209">
        <v>0.48898509244493299</v>
      </c>
      <c r="I53" s="206"/>
      <c r="J53" s="208">
        <v>188126.08244974</v>
      </c>
      <c r="K53" s="209">
        <v>0.46804776463907199</v>
      </c>
    </row>
    <row r="54" spans="2:11" ht="6.95" customHeight="1">
      <c r="B54" s="120"/>
      <c r="C54" s="121"/>
      <c r="D54" s="213"/>
      <c r="E54" s="213"/>
      <c r="F54" s="215"/>
      <c r="G54" s="213"/>
      <c r="H54" s="213"/>
      <c r="I54" s="213"/>
      <c r="J54" s="213"/>
      <c r="K54" s="213"/>
    </row>
    <row r="55" spans="2:11" ht="15" customHeight="1">
      <c r="B55" s="172" t="s">
        <v>0</v>
      </c>
      <c r="C55" s="44"/>
      <c r="D55" s="202">
        <v>31876327.629939102</v>
      </c>
      <c r="E55" s="203">
        <v>100</v>
      </c>
      <c r="F55" s="204"/>
      <c r="G55" s="202">
        <v>17557347.996399298</v>
      </c>
      <c r="H55" s="203">
        <v>100</v>
      </c>
      <c r="I55" s="205"/>
      <c r="J55" s="202">
        <v>14624214.675651999</v>
      </c>
      <c r="K55" s="203">
        <v>100</v>
      </c>
    </row>
    <row r="56" spans="2:11" ht="6.95" customHeight="1">
      <c r="B56" s="113"/>
      <c r="C56" s="44"/>
      <c r="D56" s="208"/>
      <c r="E56" s="209"/>
      <c r="F56" s="204"/>
      <c r="G56" s="208"/>
      <c r="H56" s="209"/>
      <c r="I56" s="205"/>
      <c r="J56" s="208"/>
      <c r="K56" s="209"/>
    </row>
    <row r="57" spans="2:11" ht="30" customHeight="1">
      <c r="B57" s="171" t="s">
        <v>81</v>
      </c>
      <c r="C57" s="109"/>
      <c r="D57" s="202"/>
      <c r="E57" s="203"/>
      <c r="F57" s="204"/>
      <c r="G57" s="202"/>
      <c r="H57" s="203"/>
      <c r="I57" s="205"/>
      <c r="J57" s="202"/>
      <c r="K57" s="203"/>
    </row>
    <row r="58" spans="2:11" ht="6.95" customHeight="1">
      <c r="B58" s="171"/>
      <c r="C58" s="109"/>
      <c r="D58" s="208"/>
      <c r="E58" s="209"/>
      <c r="F58" s="210"/>
      <c r="G58" s="208"/>
      <c r="H58" s="209"/>
      <c r="I58" s="206"/>
      <c r="J58" s="208"/>
      <c r="K58" s="209"/>
    </row>
    <row r="59" spans="2:11" ht="15" customHeight="1">
      <c r="B59" s="115" t="s">
        <v>39</v>
      </c>
      <c r="C59" s="44"/>
      <c r="D59" s="208">
        <v>22629844.673025001</v>
      </c>
      <c r="E59" s="209">
        <v>72.521719400908296</v>
      </c>
      <c r="F59" s="210"/>
      <c r="G59" s="208">
        <v>12734753.0480546</v>
      </c>
      <c r="H59" s="209">
        <v>74.468424748413995</v>
      </c>
      <c r="I59" s="206"/>
      <c r="J59" s="208">
        <v>10159753.564262001</v>
      </c>
      <c r="K59" s="209">
        <v>71.505086919460098</v>
      </c>
    </row>
    <row r="60" spans="2:11" ht="15" customHeight="1">
      <c r="B60" s="115" t="s">
        <v>40</v>
      </c>
      <c r="C60" s="117"/>
      <c r="D60" s="208">
        <v>7139685.28467937</v>
      </c>
      <c r="E60" s="209">
        <v>23.421745469818799</v>
      </c>
      <c r="F60" s="210"/>
      <c r="G60" s="208">
        <v>3915760.81523989</v>
      </c>
      <c r="H60" s="209">
        <v>23.412702414347201</v>
      </c>
      <c r="I60" s="206"/>
      <c r="J60" s="208">
        <v>3414712.3273279201</v>
      </c>
      <c r="K60" s="209">
        <v>24.759531706074402</v>
      </c>
    </row>
    <row r="61" spans="2:11" ht="15" customHeight="1">
      <c r="B61" s="115" t="s">
        <v>41</v>
      </c>
      <c r="C61" s="117"/>
      <c r="D61" s="208">
        <v>2490660.0781702502</v>
      </c>
      <c r="E61" s="209">
        <v>8.2524207778436107</v>
      </c>
      <c r="F61" s="210"/>
      <c r="G61" s="208">
        <v>1252914.2025952199</v>
      </c>
      <c r="H61" s="209">
        <v>7.6425506413570199</v>
      </c>
      <c r="I61" s="206"/>
      <c r="J61" s="208">
        <v>1316841.2788275899</v>
      </c>
      <c r="K61" s="209">
        <v>9.5696079966250593</v>
      </c>
    </row>
    <row r="62" spans="2:11" ht="15" customHeight="1">
      <c r="B62" s="115" t="s">
        <v>65</v>
      </c>
      <c r="C62" s="117"/>
      <c r="D62" s="208">
        <v>271908.66035718302</v>
      </c>
      <c r="E62" s="209">
        <v>0.91047648804510095</v>
      </c>
      <c r="F62" s="210"/>
      <c r="G62" s="208">
        <v>141592.786506267</v>
      </c>
      <c r="H62" s="209">
        <v>0.86876914207651001</v>
      </c>
      <c r="I62" s="206"/>
      <c r="J62" s="208">
        <v>164054.07772190101</v>
      </c>
      <c r="K62" s="209">
        <v>1.2072876018502401</v>
      </c>
    </row>
    <row r="63" spans="2:11" ht="6.95" customHeight="1">
      <c r="B63" s="118"/>
      <c r="C63" s="117"/>
      <c r="D63" s="213"/>
      <c r="E63" s="213"/>
      <c r="F63" s="214"/>
      <c r="G63" s="213"/>
      <c r="H63" s="213"/>
      <c r="I63" s="213"/>
      <c r="J63" s="213"/>
      <c r="K63" s="213"/>
    </row>
    <row r="64" spans="2:11" ht="15" customHeight="1">
      <c r="B64" s="170" t="s">
        <v>7</v>
      </c>
      <c r="C64" s="109"/>
      <c r="D64" s="202"/>
      <c r="E64" s="203"/>
      <c r="F64" s="204"/>
      <c r="G64" s="202"/>
      <c r="H64" s="203"/>
      <c r="I64" s="205"/>
      <c r="J64" s="202"/>
      <c r="K64" s="203"/>
    </row>
    <row r="65" spans="2:11" ht="6.95" customHeight="1">
      <c r="B65" s="114"/>
      <c r="C65" s="109"/>
      <c r="D65" s="208"/>
      <c r="E65" s="209"/>
      <c r="F65" s="210"/>
      <c r="G65" s="208"/>
      <c r="H65" s="209"/>
      <c r="I65" s="206"/>
      <c r="J65" s="208"/>
      <c r="K65" s="209"/>
    </row>
    <row r="66" spans="2:11" ht="15" customHeight="1">
      <c r="B66" s="115" t="s">
        <v>39</v>
      </c>
      <c r="C66" s="117"/>
      <c r="D66" s="208">
        <v>24609123.2918077</v>
      </c>
      <c r="E66" s="209">
        <v>78.448655920074103</v>
      </c>
      <c r="F66" s="210"/>
      <c r="G66" s="208">
        <v>13700766.9684767</v>
      </c>
      <c r="H66" s="209">
        <v>79.699745137421402</v>
      </c>
      <c r="I66" s="206"/>
      <c r="J66" s="208">
        <v>11161349.7863655</v>
      </c>
      <c r="K66" s="209">
        <v>77.982605432383195</v>
      </c>
    </row>
    <row r="67" spans="2:11" ht="15" customHeight="1">
      <c r="B67" s="115" t="s">
        <v>40</v>
      </c>
      <c r="C67" s="117"/>
      <c r="D67" s="208">
        <v>6691469.1274488196</v>
      </c>
      <c r="E67" s="209">
        <v>22.129588705755801</v>
      </c>
      <c r="F67" s="210"/>
      <c r="G67" s="208">
        <v>3687497.6498221001</v>
      </c>
      <c r="H67" s="209">
        <v>22.217173560090501</v>
      </c>
      <c r="I67" s="206"/>
      <c r="J67" s="208">
        <v>3164609.3350573801</v>
      </c>
      <c r="K67" s="209">
        <v>23.032629116637999</v>
      </c>
    </row>
    <row r="68" spans="2:11" ht="15" customHeight="1">
      <c r="B68" s="115" t="s">
        <v>41</v>
      </c>
      <c r="C68" s="117"/>
      <c r="D68" s="208">
        <v>658139.55177398503</v>
      </c>
      <c r="E68" s="209">
        <v>2.2020406134691699</v>
      </c>
      <c r="F68" s="210"/>
      <c r="G68" s="208">
        <v>385339.071073542</v>
      </c>
      <c r="H68" s="209">
        <v>2.35842539173365</v>
      </c>
      <c r="I68" s="206"/>
      <c r="J68" s="208">
        <v>319476.096545404</v>
      </c>
      <c r="K68" s="209">
        <v>2.3672207334609698</v>
      </c>
    </row>
    <row r="69" spans="2:11" ht="15" customHeight="1">
      <c r="B69" s="115" t="s">
        <v>65</v>
      </c>
      <c r="C69" s="117"/>
      <c r="D69" s="208">
        <v>534990.185320572</v>
      </c>
      <c r="E69" s="209">
        <v>1.78533401338801</v>
      </c>
      <c r="F69" s="210"/>
      <c r="G69" s="208">
        <v>208651.13333893701</v>
      </c>
      <c r="H69" s="209">
        <v>1.2762589331806899</v>
      </c>
      <c r="I69" s="206"/>
      <c r="J69" s="208">
        <v>375733.46776239702</v>
      </c>
      <c r="K69" s="209">
        <v>2.75183744430104</v>
      </c>
    </row>
    <row r="70" spans="2:11" ht="6.95" customHeight="1">
      <c r="B70" s="118"/>
      <c r="C70" s="117"/>
      <c r="D70" s="213"/>
      <c r="E70" s="213"/>
      <c r="F70" s="214"/>
      <c r="G70" s="213"/>
      <c r="H70" s="213"/>
      <c r="I70" s="213"/>
      <c r="J70" s="213"/>
      <c r="K70" s="213"/>
    </row>
    <row r="71" spans="2:11" ht="30" customHeight="1">
      <c r="B71" s="171" t="s">
        <v>83</v>
      </c>
      <c r="C71" s="119"/>
      <c r="D71" s="202"/>
      <c r="E71" s="203"/>
      <c r="F71" s="204"/>
      <c r="G71" s="202"/>
      <c r="H71" s="203"/>
      <c r="I71" s="205"/>
      <c r="J71" s="202"/>
      <c r="K71" s="203"/>
    </row>
    <row r="72" spans="2:11" ht="6.95" customHeight="1">
      <c r="B72" s="114"/>
      <c r="C72" s="119"/>
      <c r="D72" s="208"/>
      <c r="E72" s="209"/>
      <c r="F72" s="210"/>
      <c r="G72" s="208"/>
      <c r="H72" s="209"/>
      <c r="I72" s="206"/>
      <c r="J72" s="208"/>
      <c r="K72" s="209"/>
    </row>
    <row r="73" spans="2:11" ht="15" customHeight="1">
      <c r="B73" s="115" t="s">
        <v>39</v>
      </c>
      <c r="C73" s="117"/>
      <c r="D73" s="208">
        <v>6551424.5661995197</v>
      </c>
      <c r="E73" s="209">
        <v>21.401018649170901</v>
      </c>
      <c r="F73" s="210"/>
      <c r="G73" s="208">
        <v>3461815.5512908902</v>
      </c>
      <c r="H73" s="209">
        <v>20.686437596459999</v>
      </c>
      <c r="I73" s="206"/>
      <c r="J73" s="208">
        <v>3252933.9340755702</v>
      </c>
      <c r="K73" s="209">
        <v>23.5868265805939</v>
      </c>
    </row>
    <row r="74" spans="2:11" ht="15" customHeight="1">
      <c r="B74" s="115" t="s">
        <v>40</v>
      </c>
      <c r="C74" s="117"/>
      <c r="D74" s="208">
        <v>14697253.788766401</v>
      </c>
      <c r="E74" s="209">
        <v>47.512061154605199</v>
      </c>
      <c r="F74" s="210"/>
      <c r="G74" s="208">
        <v>8231968.8672873704</v>
      </c>
      <c r="H74" s="209">
        <v>48.548890266244896</v>
      </c>
      <c r="I74" s="206"/>
      <c r="J74" s="208">
        <v>6724967.39173159</v>
      </c>
      <c r="K74" s="209">
        <v>47.822466165623901</v>
      </c>
    </row>
    <row r="75" spans="2:11" ht="15" customHeight="1">
      <c r="B75" s="115" t="s">
        <v>41</v>
      </c>
      <c r="C75" s="117"/>
      <c r="D75" s="208">
        <v>10899038.6927287</v>
      </c>
      <c r="E75" s="209">
        <v>35.493615488177397</v>
      </c>
      <c r="F75" s="210"/>
      <c r="G75" s="208">
        <v>6209294.3007147899</v>
      </c>
      <c r="H75" s="209">
        <v>36.896236112113101</v>
      </c>
      <c r="I75" s="206"/>
      <c r="J75" s="208">
        <v>4867948.1533954097</v>
      </c>
      <c r="K75" s="209">
        <v>34.9594022110103</v>
      </c>
    </row>
    <row r="76" spans="2:11" ht="15" customHeight="1">
      <c r="B76" s="115" t="s">
        <v>65</v>
      </c>
      <c r="C76" s="117"/>
      <c r="D76" s="208">
        <v>432468.115066414</v>
      </c>
      <c r="E76" s="209">
        <v>1.43747677545855</v>
      </c>
      <c r="F76" s="210"/>
      <c r="G76" s="208">
        <v>137346.77350877499</v>
      </c>
      <c r="H76" s="209">
        <v>0.84157418671426099</v>
      </c>
      <c r="I76" s="206"/>
      <c r="J76" s="208">
        <v>328518.25788004202</v>
      </c>
      <c r="K76" s="209">
        <v>2.4015672404692499</v>
      </c>
    </row>
    <row r="77" spans="2:11" ht="6.95" customHeight="1">
      <c r="B77" s="118"/>
      <c r="C77" s="117"/>
      <c r="D77" s="213"/>
      <c r="E77" s="213"/>
      <c r="F77" s="214"/>
      <c r="G77" s="213"/>
      <c r="H77" s="213"/>
      <c r="I77" s="213"/>
      <c r="J77" s="213"/>
      <c r="K77" s="213"/>
    </row>
    <row r="78" spans="2:11" ht="30" customHeight="1">
      <c r="B78" s="171" t="s">
        <v>84</v>
      </c>
      <c r="C78" s="119"/>
      <c r="D78" s="202"/>
      <c r="E78" s="203"/>
      <c r="F78" s="204"/>
      <c r="G78" s="202"/>
      <c r="H78" s="203"/>
      <c r="I78" s="205"/>
      <c r="J78" s="202"/>
      <c r="K78" s="203"/>
    </row>
    <row r="79" spans="2:11" ht="6.95" customHeight="1">
      <c r="B79" s="114"/>
      <c r="C79" s="119"/>
      <c r="D79" s="208"/>
      <c r="E79" s="209"/>
      <c r="F79" s="210"/>
      <c r="G79" s="208"/>
      <c r="H79" s="209"/>
      <c r="I79" s="206"/>
      <c r="J79" s="208"/>
      <c r="K79" s="209"/>
    </row>
    <row r="80" spans="2:11" ht="15" customHeight="1">
      <c r="B80" s="115" t="s">
        <v>39</v>
      </c>
      <c r="C80" s="117"/>
      <c r="D80" s="208">
        <v>13746571.5001489</v>
      </c>
      <c r="E80" s="209">
        <v>44.447882591923197</v>
      </c>
      <c r="F80" s="210"/>
      <c r="G80" s="208">
        <v>7254001.6878370903</v>
      </c>
      <c r="H80" s="209">
        <v>42.957348804685402</v>
      </c>
      <c r="I80" s="206"/>
      <c r="J80" s="208">
        <v>6692679.32975832</v>
      </c>
      <c r="K80" s="209">
        <v>47.546999513556798</v>
      </c>
    </row>
    <row r="81" spans="2:11" ht="15" customHeight="1">
      <c r="B81" s="115" t="s">
        <v>40</v>
      </c>
      <c r="C81" s="117"/>
      <c r="D81" s="208">
        <v>12137651.471276499</v>
      </c>
      <c r="E81" s="209">
        <v>39.542978946048599</v>
      </c>
      <c r="F81" s="210"/>
      <c r="G81" s="208">
        <v>6933980.5536820097</v>
      </c>
      <c r="H81" s="209">
        <v>41.383869519655804</v>
      </c>
      <c r="I81" s="206"/>
      <c r="J81" s="208">
        <v>5413781.2014724901</v>
      </c>
      <c r="K81" s="209">
        <v>38.709882454023301</v>
      </c>
    </row>
    <row r="82" spans="2:11" ht="15" customHeight="1">
      <c r="B82" s="115" t="s">
        <v>41</v>
      </c>
      <c r="C82" s="117"/>
      <c r="D82" s="208">
        <v>6321334.7958241701</v>
      </c>
      <c r="E82" s="209">
        <v>20.786656967076201</v>
      </c>
      <c r="F82" s="210"/>
      <c r="G82" s="208">
        <v>3790634.3004737902</v>
      </c>
      <c r="H82" s="209">
        <v>22.6538098551109</v>
      </c>
      <c r="I82" s="206"/>
      <c r="J82" s="208">
        <v>2723981.8531927601</v>
      </c>
      <c r="K82" s="209">
        <v>19.9139403581806</v>
      </c>
    </row>
    <row r="83" spans="2:11" ht="15" customHeight="1">
      <c r="B83" s="115" t="s">
        <v>65</v>
      </c>
      <c r="C83" s="117"/>
      <c r="D83" s="208">
        <v>463965.39524300798</v>
      </c>
      <c r="E83" s="209">
        <v>1.54279205987026</v>
      </c>
      <c r="F83" s="210"/>
      <c r="G83" s="208">
        <v>185081.17174985699</v>
      </c>
      <c r="H83" s="209">
        <v>1.1337796804937199</v>
      </c>
      <c r="I83" s="206"/>
      <c r="J83" s="208">
        <v>326359.17611358099</v>
      </c>
      <c r="K83" s="209">
        <v>2.3873703587153599</v>
      </c>
    </row>
    <row r="84" spans="2:11" ht="6.95" customHeight="1">
      <c r="B84" s="118"/>
      <c r="C84" s="117"/>
      <c r="D84" s="213"/>
      <c r="E84" s="213"/>
      <c r="F84" s="214"/>
      <c r="G84" s="213"/>
      <c r="H84" s="213"/>
      <c r="I84" s="213"/>
      <c r="J84" s="213"/>
      <c r="K84" s="213"/>
    </row>
    <row r="85" spans="2:11" ht="30" customHeight="1">
      <c r="B85" s="171" t="s">
        <v>85</v>
      </c>
      <c r="C85" s="119"/>
      <c r="D85" s="202"/>
      <c r="E85" s="203"/>
      <c r="F85" s="204"/>
      <c r="G85" s="202"/>
      <c r="H85" s="203"/>
      <c r="I85" s="205"/>
      <c r="J85" s="202"/>
      <c r="K85" s="203"/>
    </row>
    <row r="86" spans="2:11" ht="6.95" customHeight="1">
      <c r="B86" s="114"/>
      <c r="C86" s="119"/>
      <c r="D86" s="208"/>
      <c r="E86" s="209"/>
      <c r="F86" s="210"/>
      <c r="G86" s="208"/>
      <c r="H86" s="209"/>
      <c r="I86" s="206"/>
      <c r="J86" s="208"/>
      <c r="K86" s="209"/>
    </row>
    <row r="87" spans="2:11" ht="15" customHeight="1">
      <c r="B87" s="115" t="s">
        <v>39</v>
      </c>
      <c r="C87" s="117"/>
      <c r="D87" s="208">
        <v>7900302.6176088098</v>
      </c>
      <c r="E87" s="209">
        <v>25.815640676390402</v>
      </c>
      <c r="F87" s="210"/>
      <c r="G87" s="208">
        <v>4279973.1945266901</v>
      </c>
      <c r="H87" s="209">
        <v>25.559018034448201</v>
      </c>
      <c r="I87" s="206"/>
      <c r="J87" s="208">
        <v>3772555.1167702801</v>
      </c>
      <c r="K87" s="209">
        <v>27.2344323433006</v>
      </c>
    </row>
    <row r="88" spans="2:11" ht="15" customHeight="1">
      <c r="B88" s="115" t="s">
        <v>40</v>
      </c>
      <c r="C88" s="117"/>
      <c r="D88" s="208">
        <v>12827950.1072913</v>
      </c>
      <c r="E88" s="209">
        <v>41.951330304652302</v>
      </c>
      <c r="F88" s="210"/>
      <c r="G88" s="208">
        <v>7256713.8630437599</v>
      </c>
      <c r="H88" s="209">
        <v>43.373479199184601</v>
      </c>
      <c r="I88" s="206"/>
      <c r="J88" s="208">
        <v>5821361.5584607599</v>
      </c>
      <c r="K88" s="209">
        <v>41.768196149466398</v>
      </c>
    </row>
    <row r="89" spans="2:11" ht="15" customHeight="1">
      <c r="B89" s="115" t="s">
        <v>41</v>
      </c>
      <c r="C89" s="117"/>
      <c r="D89" s="208">
        <v>11539133.6635883</v>
      </c>
      <c r="E89" s="209">
        <v>37.340569415375001</v>
      </c>
      <c r="F89" s="210"/>
      <c r="G89" s="208">
        <v>6362770.6565614296</v>
      </c>
      <c r="H89" s="209">
        <v>37.524564494461004</v>
      </c>
      <c r="I89" s="206"/>
      <c r="J89" s="208">
        <v>5377842.3629807997</v>
      </c>
      <c r="K89" s="209">
        <v>38.500271578655997</v>
      </c>
    </row>
    <row r="90" spans="2:11" ht="15" customHeight="1">
      <c r="B90" s="115" t="s">
        <v>65</v>
      </c>
      <c r="C90" s="117"/>
      <c r="D90" s="208">
        <v>458667.86767538701</v>
      </c>
      <c r="E90" s="209">
        <v>1.5379866784709499</v>
      </c>
      <c r="F90" s="210"/>
      <c r="G90" s="208">
        <v>226104.97417144399</v>
      </c>
      <c r="H90" s="209">
        <v>1.3862279625448199</v>
      </c>
      <c r="I90" s="206"/>
      <c r="J90" s="208">
        <v>265311.57275800401</v>
      </c>
      <c r="K90" s="209">
        <v>1.9572240535374399</v>
      </c>
    </row>
    <row r="91" spans="2:11" ht="6.95" customHeight="1">
      <c r="B91" s="118"/>
      <c r="C91" s="117"/>
      <c r="D91" s="213"/>
      <c r="E91" s="213"/>
      <c r="F91" s="214"/>
      <c r="G91" s="213"/>
      <c r="H91" s="213"/>
      <c r="I91" s="213"/>
      <c r="J91" s="213"/>
      <c r="K91" s="213"/>
    </row>
    <row r="92" spans="2:11" ht="15" customHeight="1">
      <c r="B92" s="170" t="s">
        <v>8</v>
      </c>
      <c r="C92" s="119"/>
      <c r="D92" s="202"/>
      <c r="E92" s="203"/>
      <c r="F92" s="204"/>
      <c r="G92" s="202"/>
      <c r="H92" s="203"/>
      <c r="I92" s="205"/>
      <c r="J92" s="202"/>
      <c r="K92" s="203"/>
    </row>
    <row r="93" spans="2:11" ht="6.95" customHeight="1">
      <c r="B93" s="114"/>
      <c r="C93" s="119"/>
      <c r="D93" s="208"/>
      <c r="E93" s="209"/>
      <c r="F93" s="210"/>
      <c r="G93" s="208"/>
      <c r="H93" s="209"/>
      <c r="I93" s="206"/>
      <c r="J93" s="208"/>
      <c r="K93" s="209"/>
    </row>
    <row r="94" spans="2:11" ht="15" customHeight="1">
      <c r="B94" s="115" t="s">
        <v>39</v>
      </c>
      <c r="C94" s="117"/>
      <c r="D94" s="208">
        <v>3941984.26653325</v>
      </c>
      <c r="E94" s="209">
        <v>12.9239425651347</v>
      </c>
      <c r="F94" s="210"/>
      <c r="G94" s="208">
        <v>1918179.3242798201</v>
      </c>
      <c r="H94" s="209">
        <v>11.4745178762614</v>
      </c>
      <c r="I94" s="206"/>
      <c r="J94" s="208">
        <v>2125953.1856387202</v>
      </c>
      <c r="K94" s="209">
        <v>15.398959674166999</v>
      </c>
    </row>
    <row r="95" spans="2:11" ht="15" customHeight="1">
      <c r="B95" s="115" t="s">
        <v>40</v>
      </c>
      <c r="C95" s="117"/>
      <c r="D95" s="208">
        <v>14118330.344421601</v>
      </c>
      <c r="E95" s="209">
        <v>45.522206787813303</v>
      </c>
      <c r="F95" s="210"/>
      <c r="G95" s="208">
        <v>7742674.37586712</v>
      </c>
      <c r="H95" s="209">
        <v>45.7512899479228</v>
      </c>
      <c r="I95" s="206"/>
      <c r="J95" s="208">
        <v>6596768.4511085898</v>
      </c>
      <c r="K95" s="209">
        <v>47.053016933659997</v>
      </c>
    </row>
    <row r="96" spans="2:11" ht="15" customHeight="1">
      <c r="B96" s="115" t="s">
        <v>41</v>
      </c>
      <c r="C96" s="117"/>
      <c r="D96" s="208">
        <v>14327703.9426204</v>
      </c>
      <c r="E96" s="209">
        <v>46.667380392153397</v>
      </c>
      <c r="F96" s="210"/>
      <c r="G96" s="208">
        <v>8241411.3528159503</v>
      </c>
      <c r="H96" s="209">
        <v>48.856125225848899</v>
      </c>
      <c r="I96" s="206"/>
      <c r="J96" s="208">
        <v>6348821.9654104598</v>
      </c>
      <c r="K96" s="209">
        <v>45.460516240096901</v>
      </c>
    </row>
    <row r="97" spans="2:11" ht="15" customHeight="1">
      <c r="B97" s="115" t="s">
        <v>65</v>
      </c>
      <c r="C97" s="117"/>
      <c r="D97" s="208">
        <v>153721.32821004599</v>
      </c>
      <c r="E97" s="209">
        <v>0.51481682932001205</v>
      </c>
      <c r="F97" s="210"/>
      <c r="G97" s="208">
        <v>108486.965232941</v>
      </c>
      <c r="H97" s="209">
        <v>0.66370173626543605</v>
      </c>
      <c r="I97" s="206"/>
      <c r="J97" s="208">
        <v>52804.040136252697</v>
      </c>
      <c r="K97" s="209">
        <v>0.39020448075028202</v>
      </c>
    </row>
    <row r="98" spans="2:11" ht="7.15" customHeight="1">
      <c r="B98" s="116"/>
      <c r="C98" s="117"/>
      <c r="D98" s="216"/>
      <c r="E98" s="216"/>
      <c r="F98" s="216"/>
      <c r="G98" s="216"/>
      <c r="H98" s="216"/>
      <c r="I98" s="217"/>
      <c r="J98" s="216"/>
      <c r="K98" s="216"/>
    </row>
    <row r="99" spans="2:11" ht="15" customHeight="1">
      <c r="B99" s="172" t="s">
        <v>1</v>
      </c>
      <c r="C99" s="44"/>
      <c r="D99" s="202">
        <v>58722602.216376103</v>
      </c>
      <c r="E99" s="203">
        <v>100</v>
      </c>
      <c r="F99" s="204"/>
      <c r="G99" s="202">
        <v>31539784.224373799</v>
      </c>
      <c r="H99" s="203">
        <v>100</v>
      </c>
      <c r="I99" s="205"/>
      <c r="J99" s="202">
        <v>27745562.505176</v>
      </c>
      <c r="K99" s="203">
        <v>100</v>
      </c>
    </row>
    <row r="100" spans="2:11" ht="7.15" customHeight="1">
      <c r="B100" s="113"/>
      <c r="C100" s="44"/>
      <c r="D100" s="208"/>
      <c r="E100" s="209"/>
      <c r="F100" s="204"/>
      <c r="G100" s="208"/>
      <c r="H100" s="209"/>
      <c r="I100" s="205"/>
      <c r="J100" s="208"/>
      <c r="K100" s="209"/>
    </row>
    <row r="101" spans="2:11" ht="30" customHeight="1">
      <c r="B101" s="171" t="s">
        <v>81</v>
      </c>
      <c r="C101" s="109"/>
      <c r="D101" s="202"/>
      <c r="E101" s="203"/>
      <c r="F101" s="204"/>
      <c r="G101" s="202"/>
      <c r="H101" s="203"/>
      <c r="I101" s="205"/>
      <c r="J101" s="202"/>
      <c r="K101" s="203"/>
    </row>
    <row r="102" spans="2:11" ht="6.95" customHeight="1">
      <c r="B102" s="171"/>
      <c r="C102" s="109"/>
      <c r="D102" s="208"/>
      <c r="E102" s="209"/>
      <c r="F102" s="210"/>
      <c r="G102" s="208"/>
      <c r="H102" s="209"/>
      <c r="I102" s="206"/>
      <c r="J102" s="208"/>
      <c r="K102" s="209"/>
    </row>
    <row r="103" spans="2:11" ht="15" customHeight="1">
      <c r="B103" s="115" t="s">
        <v>39</v>
      </c>
      <c r="C103" s="44"/>
      <c r="D103" s="208">
        <v>43852603.580345497</v>
      </c>
      <c r="E103" s="209">
        <v>75.507225268172803</v>
      </c>
      <c r="F103" s="210"/>
      <c r="G103" s="208">
        <v>23822445.508176599</v>
      </c>
      <c r="H103" s="209">
        <v>76.583297012571094</v>
      </c>
      <c r="I103" s="206"/>
      <c r="J103" s="208">
        <v>20508844.566792399</v>
      </c>
      <c r="K103" s="209">
        <v>75.300745841402104</v>
      </c>
    </row>
    <row r="104" spans="2:11" ht="15" customHeight="1">
      <c r="B104" s="115" t="s">
        <v>40</v>
      </c>
      <c r="C104" s="117"/>
      <c r="D104" s="208">
        <v>12914884.1659975</v>
      </c>
      <c r="E104" s="209">
        <v>22.5805879957103</v>
      </c>
      <c r="F104" s="210"/>
      <c r="G104" s="208">
        <v>6838789.2949927496</v>
      </c>
      <c r="H104" s="209">
        <v>22.483058896664101</v>
      </c>
      <c r="I104" s="206"/>
      <c r="J104" s="208">
        <v>6356260.7646229202</v>
      </c>
      <c r="K104" s="209">
        <v>23.662534151715398</v>
      </c>
    </row>
    <row r="105" spans="2:11" ht="15" customHeight="1">
      <c r="B105" s="115" t="s">
        <v>41</v>
      </c>
      <c r="C105" s="117"/>
      <c r="D105" s="208">
        <v>2570855.0864826599</v>
      </c>
      <c r="E105" s="209">
        <v>4.5213385971250597</v>
      </c>
      <c r="F105" s="210"/>
      <c r="G105" s="208">
        <v>1316305.8065057001</v>
      </c>
      <c r="H105" s="209">
        <v>4.3498531230627897</v>
      </c>
      <c r="I105" s="206"/>
      <c r="J105" s="208">
        <v>1377033.45566916</v>
      </c>
      <c r="K105" s="209">
        <v>5.1436397909909202</v>
      </c>
    </row>
    <row r="106" spans="2:11" ht="15" customHeight="1">
      <c r="B106" s="115" t="s">
        <v>65</v>
      </c>
      <c r="C106" s="117"/>
      <c r="D106" s="208">
        <v>152895.32775095</v>
      </c>
      <c r="E106" s="209">
        <v>0.269352493802199</v>
      </c>
      <c r="F106" s="210"/>
      <c r="G106" s="208">
        <v>104845.45146313299</v>
      </c>
      <c r="H106" s="209">
        <v>0.34794340502965898</v>
      </c>
      <c r="I106" s="206"/>
      <c r="J106" s="208">
        <v>65590.421385395297</v>
      </c>
      <c r="K106" s="209">
        <v>0.24641388789162699</v>
      </c>
    </row>
    <row r="107" spans="2:11" ht="6.95" customHeight="1">
      <c r="B107" s="118"/>
      <c r="C107" s="117"/>
      <c r="D107" s="213"/>
      <c r="E107" s="213"/>
      <c r="F107" s="214"/>
      <c r="G107" s="213"/>
      <c r="H107" s="213"/>
      <c r="I107" s="213"/>
      <c r="J107" s="213"/>
      <c r="K107" s="213"/>
    </row>
    <row r="108" spans="2:11" ht="15" customHeight="1">
      <c r="B108" s="170" t="s">
        <v>7</v>
      </c>
      <c r="C108" s="109"/>
      <c r="D108" s="202"/>
      <c r="E108" s="203"/>
      <c r="F108" s="204"/>
      <c r="G108" s="202"/>
      <c r="H108" s="203"/>
      <c r="I108" s="205"/>
      <c r="J108" s="202"/>
      <c r="K108" s="203"/>
    </row>
    <row r="109" spans="2:11" ht="6.95" customHeight="1">
      <c r="B109" s="114"/>
      <c r="C109" s="109"/>
      <c r="D109" s="208"/>
      <c r="E109" s="209"/>
      <c r="F109" s="210"/>
      <c r="G109" s="208"/>
      <c r="H109" s="209"/>
      <c r="I109" s="206"/>
      <c r="J109" s="208"/>
      <c r="K109" s="209"/>
    </row>
    <row r="110" spans="2:11" ht="15" customHeight="1">
      <c r="B110" s="115" t="s">
        <v>39</v>
      </c>
      <c r="C110" s="117"/>
      <c r="D110" s="208">
        <v>46804619.780178897</v>
      </c>
      <c r="E110" s="209">
        <v>80.588677511922796</v>
      </c>
      <c r="F110" s="210"/>
      <c r="G110" s="208">
        <v>25671579.7761111</v>
      </c>
      <c r="H110" s="209">
        <v>82.576539823878207</v>
      </c>
      <c r="I110" s="206"/>
      <c r="J110" s="208">
        <v>21649622.4357737</v>
      </c>
      <c r="K110" s="209">
        <v>79.192242197306001</v>
      </c>
    </row>
    <row r="111" spans="2:11" ht="15" customHeight="1">
      <c r="B111" s="115" t="s">
        <v>40</v>
      </c>
      <c r="C111" s="117"/>
      <c r="D111" s="208">
        <v>11612669.3283932</v>
      </c>
      <c r="E111" s="209">
        <v>20.260804447363501</v>
      </c>
      <c r="F111" s="210"/>
      <c r="G111" s="208">
        <v>5817641.0237996401</v>
      </c>
      <c r="H111" s="209">
        <v>19.028261331063302</v>
      </c>
      <c r="I111" s="206"/>
      <c r="J111" s="208">
        <v>6038996.3275105096</v>
      </c>
      <c r="K111" s="209">
        <v>22.509978564819601</v>
      </c>
    </row>
    <row r="112" spans="2:11" ht="15" customHeight="1">
      <c r="B112" s="115" t="s">
        <v>41</v>
      </c>
      <c r="C112" s="117"/>
      <c r="D112" s="208">
        <v>586756.02775997098</v>
      </c>
      <c r="E112" s="209">
        <v>1.03306870239528</v>
      </c>
      <c r="F112" s="210"/>
      <c r="G112" s="208">
        <v>273365.52759805101</v>
      </c>
      <c r="H112" s="209">
        <v>0.90525077262641895</v>
      </c>
      <c r="I112" s="206"/>
      <c r="J112" s="208">
        <v>354511.45255925698</v>
      </c>
      <c r="K112" s="209">
        <v>1.3338558986070901</v>
      </c>
    </row>
    <row r="113" spans="2:11" ht="15" customHeight="1">
      <c r="B113" s="115" t="s">
        <v>65</v>
      </c>
      <c r="C113" s="117"/>
      <c r="D113" s="208">
        <v>323575.76828655601</v>
      </c>
      <c r="E113" s="209">
        <v>0.57026063576551</v>
      </c>
      <c r="F113" s="210"/>
      <c r="G113" s="208">
        <v>174800.90714305101</v>
      </c>
      <c r="H113" s="209">
        <v>0.58083072905234101</v>
      </c>
      <c r="I113" s="206"/>
      <c r="J113" s="208">
        <v>172992.53210332201</v>
      </c>
      <c r="K113" s="209">
        <v>0.64967326943257697</v>
      </c>
    </row>
    <row r="114" spans="2:11" ht="6.95" customHeight="1">
      <c r="B114" s="118"/>
      <c r="C114" s="117"/>
      <c r="D114" s="213"/>
      <c r="E114" s="213"/>
      <c r="F114" s="214"/>
      <c r="G114" s="213"/>
      <c r="H114" s="213"/>
      <c r="I114" s="213"/>
      <c r="J114" s="213"/>
      <c r="K114" s="213"/>
    </row>
    <row r="115" spans="2:11" ht="30" customHeight="1">
      <c r="B115" s="171" t="s">
        <v>83</v>
      </c>
      <c r="C115" s="119"/>
      <c r="D115" s="202"/>
      <c r="E115" s="203"/>
      <c r="F115" s="204"/>
      <c r="G115" s="202"/>
      <c r="H115" s="203"/>
      <c r="I115" s="205"/>
      <c r="J115" s="202"/>
      <c r="K115" s="203"/>
    </row>
    <row r="116" spans="2:11" ht="6.95" customHeight="1">
      <c r="B116" s="114"/>
      <c r="C116" s="119"/>
      <c r="D116" s="208"/>
      <c r="E116" s="209"/>
      <c r="F116" s="210"/>
      <c r="G116" s="208"/>
      <c r="H116" s="209"/>
      <c r="I116" s="206"/>
      <c r="J116" s="208"/>
      <c r="K116" s="209"/>
    </row>
    <row r="117" spans="2:11" ht="15" customHeight="1">
      <c r="B117" s="115" t="s">
        <v>39</v>
      </c>
      <c r="C117" s="117"/>
      <c r="D117" s="208">
        <v>11328380.879899099</v>
      </c>
      <c r="E117" s="209">
        <v>19.797620569425099</v>
      </c>
      <c r="F117" s="210"/>
      <c r="G117" s="208">
        <v>6011088.9489754699</v>
      </c>
      <c r="H117" s="209">
        <v>19.702592051985</v>
      </c>
      <c r="I117" s="206"/>
      <c r="J117" s="208">
        <v>5649512.9150158102</v>
      </c>
      <c r="K117" s="209">
        <v>21.012083319070399</v>
      </c>
    </row>
    <row r="118" spans="2:11" ht="15" customHeight="1">
      <c r="B118" s="115" t="s">
        <v>40</v>
      </c>
      <c r="C118" s="117"/>
      <c r="D118" s="208">
        <v>30295401.625788499</v>
      </c>
      <c r="E118" s="209">
        <v>52.656956107451499</v>
      </c>
      <c r="F118" s="210"/>
      <c r="G118" s="208">
        <v>15750087.530243199</v>
      </c>
      <c r="H118" s="209">
        <v>51.340146457030798</v>
      </c>
      <c r="I118" s="206"/>
      <c r="J118" s="208">
        <v>14936237.671984799</v>
      </c>
      <c r="K118" s="209">
        <v>55.264452228813397</v>
      </c>
    </row>
    <row r="119" spans="2:11" ht="15" customHeight="1">
      <c r="B119" s="115" t="s">
        <v>41</v>
      </c>
      <c r="C119" s="117"/>
      <c r="D119" s="208">
        <v>17809152.884238601</v>
      </c>
      <c r="E119" s="209">
        <v>30.9218590405154</v>
      </c>
      <c r="F119" s="210"/>
      <c r="G119" s="208">
        <v>10322830.834900901</v>
      </c>
      <c r="H119" s="209">
        <v>33.649146775342501</v>
      </c>
      <c r="I119" s="206"/>
      <c r="J119" s="208">
        <v>7795345.3405456599</v>
      </c>
      <c r="K119" s="209">
        <v>28.8759933351039</v>
      </c>
    </row>
    <row r="120" spans="2:11" ht="15" customHeight="1">
      <c r="B120" s="115" t="s">
        <v>65</v>
      </c>
      <c r="C120" s="117"/>
      <c r="D120" s="208">
        <v>348507.26751129201</v>
      </c>
      <c r="E120" s="209">
        <v>0.61406365200712798</v>
      </c>
      <c r="F120" s="210"/>
      <c r="G120" s="208">
        <v>306262.78842000797</v>
      </c>
      <c r="H120" s="209">
        <v>1.01563588919432</v>
      </c>
      <c r="I120" s="206"/>
      <c r="J120" s="208">
        <v>67483.666085406003</v>
      </c>
      <c r="K120" s="209">
        <v>0.25356007835046501</v>
      </c>
    </row>
    <row r="121" spans="2:11" ht="6.95" customHeight="1">
      <c r="B121" s="118"/>
      <c r="C121" s="117"/>
      <c r="D121" s="213"/>
      <c r="E121" s="213"/>
      <c r="F121" s="214"/>
      <c r="G121" s="213"/>
      <c r="H121" s="213"/>
      <c r="I121" s="213"/>
      <c r="J121" s="213"/>
      <c r="K121" s="213"/>
    </row>
    <row r="122" spans="2:11" ht="30" customHeight="1">
      <c r="B122" s="171" t="s">
        <v>84</v>
      </c>
      <c r="C122" s="119"/>
      <c r="D122" s="202"/>
      <c r="E122" s="203"/>
      <c r="F122" s="204"/>
      <c r="G122" s="202"/>
      <c r="H122" s="203"/>
      <c r="I122" s="205"/>
      <c r="J122" s="202"/>
      <c r="K122" s="203"/>
    </row>
    <row r="123" spans="2:11" ht="6.95" customHeight="1">
      <c r="B123" s="114"/>
      <c r="C123" s="119"/>
      <c r="D123" s="208"/>
      <c r="E123" s="209"/>
      <c r="F123" s="210"/>
      <c r="G123" s="208"/>
      <c r="H123" s="209"/>
      <c r="I123" s="206"/>
      <c r="J123" s="208"/>
      <c r="K123" s="209"/>
    </row>
    <row r="124" spans="2:11" ht="15" customHeight="1">
      <c r="B124" s="115" t="s">
        <v>39</v>
      </c>
      <c r="C124" s="117"/>
      <c r="D124" s="208">
        <v>27431174.314244099</v>
      </c>
      <c r="E124" s="209">
        <v>47.557070490241202</v>
      </c>
      <c r="F124" s="210"/>
      <c r="G124" s="208">
        <v>14195953.2425228</v>
      </c>
      <c r="H124" s="209">
        <v>46.043310991616202</v>
      </c>
      <c r="I124" s="206"/>
      <c r="J124" s="208">
        <v>13625849.1192663</v>
      </c>
      <c r="K124" s="209">
        <v>50.2903739303596</v>
      </c>
    </row>
    <row r="125" spans="2:11" ht="15" customHeight="1">
      <c r="B125" s="115" t="s">
        <v>40</v>
      </c>
      <c r="C125" s="117"/>
      <c r="D125" s="208">
        <v>22518912.9150219</v>
      </c>
      <c r="E125" s="209">
        <v>39.230183637727002</v>
      </c>
      <c r="F125" s="210"/>
      <c r="G125" s="208">
        <v>12762529.4490574</v>
      </c>
      <c r="H125" s="209">
        <v>41.699021693054803</v>
      </c>
      <c r="I125" s="206"/>
      <c r="J125" s="208">
        <v>10080568.6785696</v>
      </c>
      <c r="K125" s="209">
        <v>37.435401433504403</v>
      </c>
    </row>
    <row r="126" spans="2:11" ht="15" customHeight="1">
      <c r="B126" s="115" t="s">
        <v>41</v>
      </c>
      <c r="C126" s="117"/>
      <c r="D126" s="208">
        <v>9524841.9410744291</v>
      </c>
      <c r="E126" s="209">
        <v>16.646111844279499</v>
      </c>
      <c r="F126" s="210"/>
      <c r="G126" s="208">
        <v>5142049.2885196302</v>
      </c>
      <c r="H126" s="209">
        <v>16.902035681102401</v>
      </c>
      <c r="I126" s="206"/>
      <c r="J126" s="208">
        <v>4620067.6505367896</v>
      </c>
      <c r="K126" s="209">
        <v>17.1916063440103</v>
      </c>
    </row>
    <row r="127" spans="2:11" ht="15" customHeight="1">
      <c r="B127" s="115" t="s">
        <v>65</v>
      </c>
      <c r="C127" s="117"/>
      <c r="D127" s="208">
        <v>317716.13730689097</v>
      </c>
      <c r="E127" s="209">
        <v>0.560183454519525</v>
      </c>
      <c r="F127" s="210"/>
      <c r="G127" s="208">
        <v>205973.44069264</v>
      </c>
      <c r="H127" s="209">
        <v>0.68369647709466197</v>
      </c>
      <c r="I127" s="206"/>
      <c r="J127" s="208">
        <v>146571.65162474001</v>
      </c>
      <c r="K127" s="209">
        <v>0.55110945540214795</v>
      </c>
    </row>
    <row r="128" spans="2:11" ht="6.95" customHeight="1">
      <c r="B128" s="118"/>
      <c r="C128" s="117"/>
      <c r="D128" s="213"/>
      <c r="E128" s="213"/>
      <c r="F128" s="214"/>
      <c r="G128" s="213"/>
      <c r="H128" s="213"/>
      <c r="I128" s="213"/>
      <c r="J128" s="213"/>
      <c r="K128" s="213"/>
    </row>
    <row r="129" spans="2:11" ht="30" customHeight="1">
      <c r="B129" s="171" t="s">
        <v>85</v>
      </c>
      <c r="C129" s="119"/>
      <c r="D129" s="202"/>
      <c r="E129" s="203"/>
      <c r="F129" s="204"/>
      <c r="G129" s="202"/>
      <c r="H129" s="203"/>
      <c r="I129" s="205"/>
      <c r="J129" s="202"/>
      <c r="K129" s="203"/>
    </row>
    <row r="130" spans="2:11" ht="6.95" customHeight="1">
      <c r="B130" s="114"/>
      <c r="C130" s="119"/>
      <c r="D130" s="208"/>
      <c r="E130" s="209"/>
      <c r="F130" s="210"/>
      <c r="G130" s="208"/>
      <c r="H130" s="209"/>
      <c r="I130" s="206"/>
      <c r="J130" s="208"/>
      <c r="K130" s="209"/>
    </row>
    <row r="131" spans="2:11" ht="15" customHeight="1">
      <c r="B131" s="115" t="s">
        <v>39</v>
      </c>
      <c r="C131" s="117"/>
      <c r="D131" s="208">
        <v>13538616.858420201</v>
      </c>
      <c r="E131" s="209">
        <v>23.592721251844299</v>
      </c>
      <c r="F131" s="210"/>
      <c r="G131" s="208">
        <v>7044019.0577996001</v>
      </c>
      <c r="H131" s="209">
        <v>23.0411069034086</v>
      </c>
      <c r="I131" s="206"/>
      <c r="J131" s="208">
        <v>6728768.3258924503</v>
      </c>
      <c r="K131" s="209">
        <v>24.980051715298401</v>
      </c>
    </row>
    <row r="132" spans="2:11" ht="15" customHeight="1">
      <c r="B132" s="115" t="s">
        <v>40</v>
      </c>
      <c r="C132" s="117"/>
      <c r="D132" s="208">
        <v>24810380.295226298</v>
      </c>
      <c r="E132" s="209">
        <v>43.029532651125798</v>
      </c>
      <c r="F132" s="210"/>
      <c r="G132" s="208">
        <v>13963126.5617128</v>
      </c>
      <c r="H132" s="209">
        <v>45.246536129814601</v>
      </c>
      <c r="I132" s="206"/>
      <c r="J132" s="208">
        <v>11242896.741887599</v>
      </c>
      <c r="K132" s="209">
        <v>41.602309025266898</v>
      </c>
    </row>
    <row r="133" spans="2:11" ht="15" customHeight="1">
      <c r="B133" s="115" t="s">
        <v>41</v>
      </c>
      <c r="C133" s="117"/>
      <c r="D133" s="208">
        <v>21309880.616713401</v>
      </c>
      <c r="E133" s="209">
        <v>37.293221480092903</v>
      </c>
      <c r="F133" s="210"/>
      <c r="G133" s="208">
        <v>11125973.5348019</v>
      </c>
      <c r="H133" s="209">
        <v>36.5939535663287</v>
      </c>
      <c r="I133" s="206"/>
      <c r="J133" s="208">
        <v>10494842.719923601</v>
      </c>
      <c r="K133" s="209">
        <v>39.0592068385061</v>
      </c>
    </row>
    <row r="134" spans="2:11" ht="15" customHeight="1">
      <c r="B134" s="115" t="s">
        <v>65</v>
      </c>
      <c r="C134" s="117"/>
      <c r="D134" s="208">
        <v>296814.136353079</v>
      </c>
      <c r="E134" s="209">
        <v>0.52177137119162897</v>
      </c>
      <c r="F134" s="210"/>
      <c r="G134" s="208">
        <v>207621.106002849</v>
      </c>
      <c r="H134" s="209">
        <v>0.68582269410782404</v>
      </c>
      <c r="I134" s="206"/>
      <c r="J134" s="208">
        <v>119453.801925369</v>
      </c>
      <c r="K134" s="209">
        <v>0.44927774942015303</v>
      </c>
    </row>
    <row r="135" spans="2:11" ht="6.95" customHeight="1">
      <c r="B135" s="118"/>
      <c r="C135" s="117"/>
      <c r="D135" s="213"/>
      <c r="E135" s="213"/>
      <c r="F135" s="214"/>
      <c r="G135" s="213"/>
      <c r="H135" s="213"/>
      <c r="I135" s="213"/>
      <c r="J135" s="213"/>
      <c r="K135" s="213"/>
    </row>
    <row r="136" spans="2:11" ht="15" customHeight="1">
      <c r="B136" s="170" t="s">
        <v>8</v>
      </c>
      <c r="C136" s="119"/>
      <c r="D136" s="202"/>
      <c r="E136" s="203"/>
      <c r="F136" s="204"/>
      <c r="G136" s="202"/>
      <c r="H136" s="203"/>
      <c r="I136" s="205"/>
      <c r="J136" s="202"/>
      <c r="K136" s="203"/>
    </row>
    <row r="137" spans="2:11" ht="6.95" customHeight="1">
      <c r="B137" s="114"/>
      <c r="C137" s="119"/>
      <c r="D137" s="208"/>
      <c r="E137" s="209"/>
      <c r="F137" s="210"/>
      <c r="G137" s="208"/>
      <c r="H137" s="209"/>
      <c r="I137" s="206"/>
      <c r="J137" s="208"/>
      <c r="K137" s="209"/>
    </row>
    <row r="138" spans="2:11" ht="15" customHeight="1">
      <c r="B138" s="115" t="s">
        <v>39</v>
      </c>
      <c r="C138" s="117"/>
      <c r="D138" s="208">
        <v>10203535.0379586</v>
      </c>
      <c r="E138" s="209">
        <v>17.9034283327507</v>
      </c>
      <c r="F138" s="210"/>
      <c r="G138" s="208">
        <v>4757036.06140811</v>
      </c>
      <c r="H138" s="209">
        <v>15.674405777886101</v>
      </c>
      <c r="I138" s="206"/>
      <c r="J138" s="208">
        <v>5684251.0466273297</v>
      </c>
      <c r="K138" s="209">
        <v>21.225970800916201</v>
      </c>
    </row>
    <row r="139" spans="2:11" ht="15" customHeight="1">
      <c r="B139" s="115" t="s">
        <v>40</v>
      </c>
      <c r="C139" s="117"/>
      <c r="D139" s="208">
        <v>31194409.286685199</v>
      </c>
      <c r="E139" s="209">
        <v>54.146240754318299</v>
      </c>
      <c r="F139" s="210"/>
      <c r="G139" s="208">
        <v>16385415.4597602</v>
      </c>
      <c r="H139" s="209">
        <v>53.270265521105102</v>
      </c>
      <c r="I139" s="206"/>
      <c r="J139" s="208">
        <v>15231378.372718601</v>
      </c>
      <c r="K139" s="209">
        <v>56.257979591895399</v>
      </c>
    </row>
    <row r="140" spans="2:11" ht="15" customHeight="1">
      <c r="B140" s="115" t="s">
        <v>41</v>
      </c>
      <c r="C140" s="117"/>
      <c r="D140" s="208">
        <v>18147189.826754302</v>
      </c>
      <c r="E140" s="209">
        <v>31.506128723436799</v>
      </c>
      <c r="F140" s="210"/>
      <c r="G140" s="208">
        <v>11041455.0315104</v>
      </c>
      <c r="H140" s="209">
        <v>35.9799029650259</v>
      </c>
      <c r="I140" s="206"/>
      <c r="J140" s="208">
        <v>7448238.0482339198</v>
      </c>
      <c r="K140" s="209">
        <v>27.604709891098</v>
      </c>
    </row>
    <row r="141" spans="2:11" ht="15" customHeight="1">
      <c r="B141" s="115" t="s">
        <v>65</v>
      </c>
      <c r="C141" s="117"/>
      <c r="D141" s="208">
        <v>267723.97782204201</v>
      </c>
      <c r="E141" s="209">
        <v>0.47146356565541497</v>
      </c>
      <c r="F141" s="210"/>
      <c r="G141" s="208">
        <v>145567.42946276499</v>
      </c>
      <c r="H141" s="209">
        <v>0.48322112696500902</v>
      </c>
      <c r="I141" s="206"/>
      <c r="J141" s="208">
        <v>156699.44573402201</v>
      </c>
      <c r="K141" s="209">
        <v>0.58810625554013496</v>
      </c>
    </row>
    <row r="142" spans="2:11" ht="6.95" customHeight="1">
      <c r="B142" s="12"/>
      <c r="C142" s="12"/>
      <c r="D142" s="159"/>
      <c r="E142" s="68"/>
      <c r="F142" s="45"/>
      <c r="G142" s="159"/>
      <c r="H142" s="68"/>
      <c r="I142" s="68"/>
      <c r="J142" s="161"/>
      <c r="K142" s="68"/>
    </row>
    <row r="143" spans="2:11" ht="6.95" customHeight="1">
      <c r="B143" s="66"/>
      <c r="C143" s="66"/>
      <c r="D143" s="160"/>
      <c r="E143" s="67"/>
      <c r="F143" s="67"/>
      <c r="G143" s="160"/>
    </row>
    <row r="144" spans="2:11" customFormat="1" ht="12" customHeight="1">
      <c r="B144" s="247" t="s">
        <v>77</v>
      </c>
      <c r="C144" s="247"/>
      <c r="D144" s="247"/>
      <c r="E144" s="247"/>
      <c r="F144" s="247"/>
      <c r="G144" s="247"/>
      <c r="J144" s="152"/>
    </row>
  </sheetData>
  <mergeCells count="6">
    <mergeCell ref="B144:G144"/>
    <mergeCell ref="D7:E8"/>
    <mergeCell ref="G7:K7"/>
    <mergeCell ref="G8:H8"/>
    <mergeCell ref="J8:K8"/>
    <mergeCell ref="B7:B9"/>
  </mergeCells>
  <hyperlinks>
    <hyperlink ref="K1" location="ÍNDICE!A1" tooltip="Ir a ÍNDICE" display="ÍNDICE" xr:uid="{8E3ECD28-A076-42AB-83A8-36580432788D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29F0-1E5A-41FE-B78E-D7AFCD7E62D5}">
  <dimension ref="B1:Q3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254" t="s">
        <v>113</v>
      </c>
      <c r="C5" s="254"/>
      <c r="D5" s="254"/>
      <c r="E5" s="254"/>
      <c r="F5" s="254"/>
      <c r="G5" s="254"/>
      <c r="H5" s="97"/>
      <c r="J5" s="155"/>
      <c r="K5" s="99" t="s">
        <v>21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114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22" t="s">
        <v>6</v>
      </c>
      <c r="C11" s="14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  <c r="L11" s="43"/>
    </row>
    <row r="12" spans="2:17" ht="6.95" customHeight="1">
      <c r="B12" s="122"/>
      <c r="C12" s="14"/>
      <c r="D12" s="208"/>
      <c r="E12" s="209"/>
      <c r="F12" s="204"/>
      <c r="G12" s="208"/>
      <c r="H12" s="209"/>
      <c r="I12" s="205"/>
      <c r="J12" s="208"/>
      <c r="K12" s="209"/>
      <c r="L12" s="43"/>
    </row>
    <row r="13" spans="2:17" s="43" customFormat="1" ht="30" customHeight="1">
      <c r="B13" s="171" t="s">
        <v>86</v>
      </c>
      <c r="C13" s="109"/>
      <c r="D13" s="202"/>
      <c r="E13" s="203"/>
      <c r="F13" s="204"/>
      <c r="G13" s="202"/>
      <c r="H13" s="203"/>
      <c r="I13" s="205"/>
      <c r="J13" s="202"/>
      <c r="K13" s="203"/>
    </row>
    <row r="14" spans="2:17" s="43" customFormat="1" ht="6.95" customHeight="1">
      <c r="B14" s="171"/>
      <c r="C14" s="109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15"/>
      <c r="D15" s="208">
        <v>80928826.140441701</v>
      </c>
      <c r="E15" s="209">
        <v>92.338666014536102</v>
      </c>
      <c r="F15" s="210"/>
      <c r="G15" s="208">
        <v>43672518.7742045</v>
      </c>
      <c r="H15" s="209">
        <v>92.139038376826804</v>
      </c>
      <c r="I15" s="206"/>
      <c r="J15" s="208">
        <v>38144868.149099499</v>
      </c>
      <c r="K15" s="209">
        <v>92.980493274668405</v>
      </c>
      <c r="L15" s="43"/>
    </row>
    <row r="16" spans="2:17" ht="15" customHeight="1">
      <c r="B16" s="115" t="s">
        <v>35</v>
      </c>
      <c r="C16" s="15"/>
      <c r="D16" s="208">
        <v>4379295.4830789398</v>
      </c>
      <c r="E16" s="209">
        <v>5.0436041816778898</v>
      </c>
      <c r="F16" s="210"/>
      <c r="G16" s="208">
        <v>2334989.9885666599</v>
      </c>
      <c r="H16" s="209">
        <v>4.9967866975234099</v>
      </c>
      <c r="I16" s="206"/>
      <c r="J16" s="208">
        <v>2210749.2739406498</v>
      </c>
      <c r="K16" s="209">
        <v>5.4968753458540496</v>
      </c>
    </row>
    <row r="17" spans="2:11" ht="15" customHeight="1">
      <c r="B17" s="115" t="s">
        <v>65</v>
      </c>
      <c r="C17" s="15"/>
      <c r="D17" s="208">
        <v>3590224.8745830501</v>
      </c>
      <c r="E17" s="209">
        <v>4.1374622925552904</v>
      </c>
      <c r="F17" s="210"/>
      <c r="G17" s="208">
        <v>2283556.2825284498</v>
      </c>
      <c r="H17" s="209">
        <v>4.9021021947277399</v>
      </c>
      <c r="I17" s="206"/>
      <c r="J17" s="208">
        <v>1406647.20142906</v>
      </c>
      <c r="K17" s="209">
        <v>3.50105528148217</v>
      </c>
    </row>
    <row r="18" spans="2:11" ht="6.95" customHeight="1">
      <c r="B18" s="115"/>
      <c r="C18" s="123"/>
      <c r="D18" s="206"/>
      <c r="E18" s="206"/>
      <c r="F18" s="218"/>
      <c r="G18" s="206"/>
      <c r="H18" s="206"/>
      <c r="I18" s="206"/>
      <c r="J18" s="206"/>
      <c r="K18" s="206"/>
    </row>
    <row r="19" spans="2:11" ht="15" customHeight="1">
      <c r="B19" s="175" t="s">
        <v>0</v>
      </c>
      <c r="C19" s="15"/>
      <c r="D19" s="202">
        <v>31876327.629939102</v>
      </c>
      <c r="E19" s="203">
        <v>100</v>
      </c>
      <c r="F19" s="204"/>
      <c r="G19" s="202">
        <v>17557347.996399298</v>
      </c>
      <c r="H19" s="203">
        <v>100</v>
      </c>
      <c r="I19" s="205"/>
      <c r="J19" s="202">
        <v>14624214.675651999</v>
      </c>
      <c r="K19" s="203">
        <v>100</v>
      </c>
    </row>
    <row r="20" spans="2:11" ht="6.95" customHeight="1">
      <c r="B20" s="122"/>
      <c r="C20" s="69"/>
      <c r="D20" s="208"/>
      <c r="E20" s="209"/>
      <c r="F20" s="204"/>
      <c r="G20" s="208"/>
      <c r="H20" s="209"/>
      <c r="I20" s="205"/>
      <c r="J20" s="208"/>
      <c r="K20" s="209"/>
    </row>
    <row r="21" spans="2:11" s="43" customFormat="1" ht="30" customHeight="1">
      <c r="B21" s="171" t="s">
        <v>86</v>
      </c>
      <c r="C21" s="109"/>
      <c r="D21" s="202"/>
      <c r="E21" s="203"/>
      <c r="F21" s="204"/>
      <c r="G21" s="202"/>
      <c r="H21" s="203"/>
      <c r="I21" s="205"/>
      <c r="J21" s="202"/>
      <c r="K21" s="203"/>
    </row>
    <row r="22" spans="2:11" s="43" customFormat="1" ht="6.95" customHeight="1">
      <c r="B22" s="171"/>
      <c r="C22" s="109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15"/>
      <c r="D23" s="208">
        <v>28254813.190302201</v>
      </c>
      <c r="E23" s="209">
        <v>89.808637535056903</v>
      </c>
      <c r="F23" s="210"/>
      <c r="G23" s="208">
        <v>15459721.2043871</v>
      </c>
      <c r="H23" s="209">
        <v>89.517169098539398</v>
      </c>
      <c r="I23" s="206"/>
      <c r="J23" s="208">
        <v>13088946.328921299</v>
      </c>
      <c r="K23" s="209">
        <v>90.775029765778001</v>
      </c>
    </row>
    <row r="24" spans="2:11" ht="15" customHeight="1">
      <c r="B24" s="115" t="s">
        <v>35</v>
      </c>
      <c r="C24" s="15"/>
      <c r="D24" s="208">
        <v>1681307.9626885999</v>
      </c>
      <c r="E24" s="209">
        <v>5.5393446837215201</v>
      </c>
      <c r="F24" s="210"/>
      <c r="G24" s="208">
        <v>971257.64361744502</v>
      </c>
      <c r="H24" s="209">
        <v>5.83866984782264</v>
      </c>
      <c r="I24" s="206"/>
      <c r="J24" s="208">
        <v>812130.49540323694</v>
      </c>
      <c r="K24" s="209">
        <v>5.9367113640641502</v>
      </c>
    </row>
    <row r="25" spans="2:11" ht="15" customHeight="1">
      <c r="B25" s="115" t="s">
        <v>65</v>
      </c>
      <c r="C25" s="15"/>
      <c r="D25" s="208">
        <v>2337393.3589681098</v>
      </c>
      <c r="E25" s="209">
        <v>7.7384799307604899</v>
      </c>
      <c r="F25" s="210"/>
      <c r="G25" s="208">
        <v>1406236.1165446499</v>
      </c>
      <c r="H25" s="209">
        <v>8.4989992832491907</v>
      </c>
      <c r="I25" s="206"/>
      <c r="J25" s="208">
        <v>992524.57755039097</v>
      </c>
      <c r="K25" s="209">
        <v>7.2993321246744598</v>
      </c>
    </row>
    <row r="26" spans="2:11" ht="6.95" customHeight="1">
      <c r="B26" s="123"/>
      <c r="C26" s="123"/>
      <c r="D26" s="206"/>
      <c r="E26" s="206"/>
      <c r="F26" s="218"/>
      <c r="G26" s="206"/>
      <c r="H26" s="206"/>
      <c r="I26" s="206"/>
      <c r="J26" s="206"/>
      <c r="K26" s="206"/>
    </row>
    <row r="27" spans="2:11" ht="15" customHeight="1">
      <c r="B27" s="173" t="s">
        <v>1</v>
      </c>
      <c r="C27" s="15"/>
      <c r="D27" s="202">
        <v>58722602.216376103</v>
      </c>
      <c r="E27" s="203">
        <v>100</v>
      </c>
      <c r="F27" s="204"/>
      <c r="G27" s="202">
        <v>31539784.224373799</v>
      </c>
      <c r="H27" s="203">
        <v>100</v>
      </c>
      <c r="I27" s="205"/>
      <c r="J27" s="202">
        <v>27745562.505176</v>
      </c>
      <c r="K27" s="203">
        <v>100</v>
      </c>
    </row>
    <row r="28" spans="2:11" ht="6.95" customHeight="1">
      <c r="B28" s="122"/>
      <c r="C28" s="69"/>
      <c r="D28" s="208"/>
      <c r="E28" s="209"/>
      <c r="F28" s="204"/>
      <c r="G28" s="208"/>
      <c r="H28" s="209"/>
      <c r="I28" s="205"/>
      <c r="J28" s="208"/>
      <c r="K28" s="209"/>
    </row>
    <row r="29" spans="2:11" s="43" customFormat="1" ht="30" customHeight="1">
      <c r="B29" s="171" t="s">
        <v>86</v>
      </c>
      <c r="C29" s="109"/>
      <c r="D29" s="202"/>
      <c r="E29" s="203"/>
      <c r="F29" s="204"/>
      <c r="G29" s="202"/>
      <c r="H29" s="203"/>
      <c r="I29" s="205"/>
      <c r="J29" s="202"/>
      <c r="K29" s="203"/>
    </row>
    <row r="30" spans="2:11" s="43" customFormat="1" ht="6.95" customHeight="1">
      <c r="B30" s="171"/>
      <c r="C30" s="109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115" t="s">
        <v>34</v>
      </c>
      <c r="C31" s="15"/>
      <c r="D31" s="208">
        <v>54873530.3820948</v>
      </c>
      <c r="E31" s="209">
        <v>94.036892654567197</v>
      </c>
      <c r="F31" s="210"/>
      <c r="G31" s="208">
        <v>29405886.1465891</v>
      </c>
      <c r="H31" s="209">
        <v>94.0565281831867</v>
      </c>
      <c r="I31" s="206"/>
      <c r="J31" s="208">
        <v>26016120.395739999</v>
      </c>
      <c r="K31" s="209">
        <v>94.575710413356404</v>
      </c>
    </row>
    <row r="32" spans="2:11" ht="15" customHeight="1">
      <c r="B32" s="115" t="s">
        <v>35</v>
      </c>
      <c r="C32" s="15"/>
      <c r="D32" s="208">
        <v>2870835.03445163</v>
      </c>
      <c r="E32" s="209">
        <v>5.0366539981831497</v>
      </c>
      <c r="F32" s="210"/>
      <c r="G32" s="208">
        <v>1486160.32094874</v>
      </c>
      <c r="H32" s="209">
        <v>4.90521395977634</v>
      </c>
      <c r="I32" s="206"/>
      <c r="J32" s="208">
        <v>1512400.32789095</v>
      </c>
      <c r="K32" s="209">
        <v>5.6554522167233099</v>
      </c>
    </row>
    <row r="33" spans="2:11" ht="15" customHeight="1">
      <c r="B33" s="115" t="s">
        <v>65</v>
      </c>
      <c r="C33" s="15"/>
      <c r="D33" s="208">
        <v>1416680.1925964199</v>
      </c>
      <c r="E33" s="209">
        <v>2.4902736508318801</v>
      </c>
      <c r="F33" s="210"/>
      <c r="G33" s="208">
        <v>1002089.26079502</v>
      </c>
      <c r="H33" s="209">
        <v>3.31808514106035</v>
      </c>
      <c r="I33" s="206"/>
      <c r="J33" s="208">
        <v>495918.322981312</v>
      </c>
      <c r="K33" s="209">
        <v>1.8598580985909401</v>
      </c>
    </row>
    <row r="34" spans="2:11" ht="6.95" customHeight="1">
      <c r="B34" s="1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3"/>
      <c r="C35" s="13"/>
      <c r="E35" s="59"/>
      <c r="F35" s="59"/>
    </row>
    <row r="36" spans="2:11" ht="12" customHeight="1">
      <c r="B36" s="247" t="s">
        <v>77</v>
      </c>
      <c r="C36" s="247"/>
      <c r="D36" s="247"/>
      <c r="E36" s="247"/>
      <c r="F36" s="247"/>
      <c r="G36" s="247"/>
    </row>
  </sheetData>
  <mergeCells count="7">
    <mergeCell ref="B36:G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CFE4F2C8-007B-452D-9EB7-71FD6ECFEB8B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7C6-D377-4176-8A88-D89D00119F73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9</v>
      </c>
      <c r="C5" s="101"/>
      <c r="D5" s="151"/>
      <c r="E5" s="102"/>
      <c r="F5" s="102"/>
      <c r="G5" s="151"/>
      <c r="H5" s="97"/>
      <c r="J5" s="155"/>
      <c r="K5" s="99" t="s">
        <v>22</v>
      </c>
    </row>
    <row r="6" spans="2:17" s="98" customFormat="1" ht="6.95" customHeight="1">
      <c r="D6" s="162"/>
      <c r="E6" s="100"/>
      <c r="F6" s="100"/>
      <c r="G6" s="162"/>
      <c r="H6" s="100"/>
      <c r="J6" s="155"/>
    </row>
    <row r="7" spans="2:17" ht="15" customHeight="1">
      <c r="B7" s="248" t="s">
        <v>95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19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</row>
    <row r="12" spans="2:17" ht="6.95" customHeight="1">
      <c r="B12" s="18"/>
      <c r="C12" s="19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10</v>
      </c>
      <c r="C13" s="22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22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20"/>
      <c r="D15" s="208">
        <v>68944590.5496535</v>
      </c>
      <c r="E15" s="209">
        <v>78.919505589861998</v>
      </c>
      <c r="F15" s="210"/>
      <c r="G15" s="208">
        <v>37615029.488370299</v>
      </c>
      <c r="H15" s="209">
        <v>79.649728850972906</v>
      </c>
      <c r="I15" s="206"/>
      <c r="J15" s="208">
        <v>32154667.656487301</v>
      </c>
      <c r="K15" s="209">
        <v>78.758073730427498</v>
      </c>
    </row>
    <row r="16" spans="2:17" ht="15" customHeight="1">
      <c r="B16" s="115" t="s">
        <v>35</v>
      </c>
      <c r="C16" s="20"/>
      <c r="D16" s="208">
        <v>17500559.174649801</v>
      </c>
      <c r="E16" s="209">
        <v>20.1272135159481</v>
      </c>
      <c r="F16" s="210"/>
      <c r="G16" s="208">
        <v>9043567.8367100898</v>
      </c>
      <c r="H16" s="209">
        <v>19.344787121097799</v>
      </c>
      <c r="I16" s="206"/>
      <c r="J16" s="208">
        <v>8732789.3371722009</v>
      </c>
      <c r="K16" s="209">
        <v>21.676518800849799</v>
      </c>
    </row>
    <row r="17" spans="2:11" ht="15" customHeight="1">
      <c r="B17" s="115" t="s">
        <v>65</v>
      </c>
      <c r="C17" s="20"/>
      <c r="D17" s="208">
        <v>2907413.5245153098</v>
      </c>
      <c r="E17" s="209">
        <v>3.3562780848290399</v>
      </c>
      <c r="F17" s="210"/>
      <c r="G17" s="208">
        <v>1895263.9075496399</v>
      </c>
      <c r="H17" s="209">
        <v>4.0751947538958797</v>
      </c>
      <c r="I17" s="206"/>
      <c r="J17" s="208">
        <v>1118038.4320873499</v>
      </c>
      <c r="K17" s="209">
        <v>2.7814250814031198</v>
      </c>
    </row>
    <row r="18" spans="2:11" ht="6.95" customHeight="1">
      <c r="B18" s="124"/>
      <c r="C18" s="24"/>
      <c r="D18" s="217"/>
      <c r="E18" s="217"/>
      <c r="F18" s="219"/>
      <c r="G18" s="217"/>
      <c r="H18" s="217"/>
      <c r="I18" s="217"/>
      <c r="J18" s="217"/>
      <c r="K18" s="217"/>
    </row>
    <row r="19" spans="2:11" ht="15" customHeight="1">
      <c r="B19" s="174" t="s">
        <v>0</v>
      </c>
      <c r="C19" s="20"/>
      <c r="D19" s="202">
        <v>31876327.629939102</v>
      </c>
      <c r="E19" s="203">
        <v>100</v>
      </c>
      <c r="F19" s="204"/>
      <c r="G19" s="202">
        <v>17557347.996399298</v>
      </c>
      <c r="H19" s="203">
        <v>100</v>
      </c>
      <c r="I19" s="205"/>
      <c r="J19" s="202">
        <v>14624214.675651999</v>
      </c>
      <c r="K19" s="203">
        <v>100</v>
      </c>
    </row>
    <row r="20" spans="2:11" ht="6.95" customHeight="1">
      <c r="B20" s="18"/>
      <c r="C20" s="70"/>
      <c r="D20" s="208"/>
      <c r="E20" s="209"/>
      <c r="F20" s="204"/>
      <c r="G20" s="208"/>
      <c r="H20" s="209"/>
      <c r="I20" s="205"/>
      <c r="J20" s="208"/>
      <c r="K20" s="209"/>
    </row>
    <row r="21" spans="2:11" ht="30" customHeight="1">
      <c r="B21" s="171" t="s">
        <v>10</v>
      </c>
      <c r="C21" s="22"/>
      <c r="D21" s="202"/>
      <c r="E21" s="203"/>
      <c r="F21" s="204"/>
      <c r="G21" s="202"/>
      <c r="H21" s="203"/>
      <c r="I21" s="205"/>
      <c r="J21" s="202"/>
      <c r="K21" s="203"/>
    </row>
    <row r="22" spans="2:11" ht="6.95" customHeight="1">
      <c r="B22" s="171"/>
      <c r="C22" s="22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20"/>
      <c r="D23" s="208">
        <v>23307756.772327598</v>
      </c>
      <c r="E23" s="209">
        <v>74.606432225500001</v>
      </c>
      <c r="F23" s="210"/>
      <c r="G23" s="208">
        <v>12966336.6011553</v>
      </c>
      <c r="H23" s="209">
        <v>75.802500515286397</v>
      </c>
      <c r="I23" s="206"/>
      <c r="J23" s="208">
        <v>10661734.967302499</v>
      </c>
      <c r="K23" s="209">
        <v>74.662631587471907</v>
      </c>
    </row>
    <row r="24" spans="2:11" ht="15" customHeight="1">
      <c r="B24" s="115" t="s">
        <v>35</v>
      </c>
      <c r="C24" s="20"/>
      <c r="D24" s="208">
        <v>7367270.7833597399</v>
      </c>
      <c r="E24" s="209">
        <v>24.0726309376386</v>
      </c>
      <c r="F24" s="210"/>
      <c r="G24" s="208">
        <v>3899256.6040126001</v>
      </c>
      <c r="H24" s="209">
        <v>23.306297282833999</v>
      </c>
      <c r="I24" s="206"/>
      <c r="J24" s="208">
        <v>3623282.88266904</v>
      </c>
      <c r="K24" s="209">
        <v>26.379017672825601</v>
      </c>
    </row>
    <row r="25" spans="2:11" ht="15" customHeight="1">
      <c r="B25" s="115" t="s">
        <v>65</v>
      </c>
      <c r="C25" s="20"/>
      <c r="D25" s="208">
        <v>1756324.66195646</v>
      </c>
      <c r="E25" s="209">
        <v>5.8578700774870303</v>
      </c>
      <c r="F25" s="210"/>
      <c r="G25" s="208">
        <v>1109935.48115168</v>
      </c>
      <c r="H25" s="209">
        <v>6.7536502979391004</v>
      </c>
      <c r="I25" s="206"/>
      <c r="J25" s="208">
        <v>711065.48596616904</v>
      </c>
      <c r="K25" s="209">
        <v>5.21202393108174</v>
      </c>
    </row>
    <row r="26" spans="2:11" ht="6.95" customHeight="1">
      <c r="B26" s="115"/>
      <c r="C26" s="22"/>
      <c r="D26" s="217"/>
      <c r="E26" s="217"/>
      <c r="F26" s="219"/>
      <c r="G26" s="217"/>
      <c r="H26" s="217"/>
      <c r="I26" s="217"/>
      <c r="J26" s="217"/>
      <c r="K26" s="217"/>
    </row>
    <row r="27" spans="2:11" ht="15" customHeight="1">
      <c r="B27" s="174" t="s">
        <v>1</v>
      </c>
      <c r="C27" s="20"/>
      <c r="D27" s="202">
        <v>58722602.216376103</v>
      </c>
      <c r="E27" s="203">
        <v>100</v>
      </c>
      <c r="F27" s="204"/>
      <c r="G27" s="202">
        <v>31539784.224373799</v>
      </c>
      <c r="H27" s="203">
        <v>100</v>
      </c>
      <c r="I27" s="205"/>
      <c r="J27" s="202">
        <v>27745562.505176</v>
      </c>
      <c r="K27" s="203">
        <v>100</v>
      </c>
    </row>
    <row r="28" spans="2:11" ht="6.95" customHeight="1">
      <c r="B28" s="18"/>
      <c r="C28" s="70"/>
      <c r="D28" s="208"/>
      <c r="E28" s="209"/>
      <c r="F28" s="204"/>
      <c r="G28" s="208"/>
      <c r="H28" s="209"/>
      <c r="I28" s="205"/>
      <c r="J28" s="208"/>
      <c r="K28" s="209"/>
    </row>
    <row r="29" spans="2:11" s="71" customFormat="1" ht="30" customHeight="1">
      <c r="B29" s="171" t="s">
        <v>10</v>
      </c>
      <c r="C29" s="72"/>
      <c r="D29" s="202"/>
      <c r="E29" s="203"/>
      <c r="F29" s="204"/>
      <c r="G29" s="202"/>
      <c r="H29" s="203"/>
      <c r="I29" s="205"/>
      <c r="J29" s="202"/>
      <c r="K29" s="203"/>
    </row>
    <row r="30" spans="2:11" s="71" customFormat="1" ht="6.95" customHeight="1">
      <c r="B30" s="171"/>
      <c r="C30" s="72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115" t="s">
        <v>34</v>
      </c>
      <c r="C31" s="20"/>
      <c r="D31" s="208">
        <v>47462814.488431498</v>
      </c>
      <c r="E31" s="209">
        <v>81.811639969085604</v>
      </c>
      <c r="F31" s="210"/>
      <c r="G31" s="208">
        <v>25664110.510929499</v>
      </c>
      <c r="H31" s="209">
        <v>82.525312215143202</v>
      </c>
      <c r="I31" s="206"/>
      <c r="J31" s="208">
        <v>22319612.762578201</v>
      </c>
      <c r="K31" s="209">
        <v>81.729923322899495</v>
      </c>
    </row>
    <row r="32" spans="2:11" ht="15" customHeight="1">
      <c r="B32" s="115" t="s">
        <v>35</v>
      </c>
      <c r="C32" s="20"/>
      <c r="D32" s="208">
        <v>10652972.786041901</v>
      </c>
      <c r="E32" s="209">
        <v>18.618120257409402</v>
      </c>
      <c r="F32" s="210"/>
      <c r="G32" s="208">
        <v>5449725.3411443299</v>
      </c>
      <c r="H32" s="209">
        <v>17.8969462895795</v>
      </c>
      <c r="I32" s="206"/>
      <c r="J32" s="208">
        <v>5401935.5435204301</v>
      </c>
      <c r="K32" s="209">
        <v>20.124686586658001</v>
      </c>
    </row>
    <row r="33" spans="2:11" ht="15" customHeight="1">
      <c r="B33" s="115" t="s">
        <v>65</v>
      </c>
      <c r="C33" s="20"/>
      <c r="D33" s="208">
        <v>1297675.4473110901</v>
      </c>
      <c r="E33" s="209">
        <v>2.2809473936789901</v>
      </c>
      <c r="F33" s="210"/>
      <c r="G33" s="208">
        <v>900400.672453398</v>
      </c>
      <c r="H33" s="209">
        <v>2.9814601019754101</v>
      </c>
      <c r="I33" s="206"/>
      <c r="J33" s="208">
        <v>482260.23473931901</v>
      </c>
      <c r="K33" s="209">
        <v>1.81038507245239</v>
      </c>
    </row>
    <row r="34" spans="2:11" ht="6.95" customHeight="1">
      <c r="B34" s="17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3"/>
      <c r="C35" s="13"/>
      <c r="E35" s="59"/>
      <c r="F35" s="59"/>
    </row>
    <row r="36" spans="2:11" ht="12" customHeight="1">
      <c r="B36" s="247" t="s">
        <v>77</v>
      </c>
      <c r="C36" s="247"/>
      <c r="D36" s="247"/>
      <c r="E36" s="247"/>
      <c r="F36" s="247"/>
      <c r="G36" s="247"/>
    </row>
    <row r="37" spans="2:11" ht="15" customHeight="1"/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4C2FA187-214A-4AFF-8A5C-0E85DD12569D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A5AB-FC7A-41F4-8B93-E172573A0DD4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115</v>
      </c>
      <c r="C5" s="101"/>
      <c r="D5" s="151"/>
      <c r="E5" s="102"/>
      <c r="F5" s="102"/>
      <c r="G5" s="151"/>
      <c r="H5" s="97"/>
      <c r="J5" s="155"/>
      <c r="K5" s="99" t="s">
        <v>23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96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25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</row>
    <row r="12" spans="2:17" ht="6.95" customHeight="1">
      <c r="B12" s="18"/>
      <c r="C12" s="25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87</v>
      </c>
      <c r="C13" s="21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21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27"/>
      <c r="D15" s="208">
        <v>62674288.818798497</v>
      </c>
      <c r="E15" s="209">
        <v>71.729125521084001</v>
      </c>
      <c r="F15" s="210"/>
      <c r="G15" s="208">
        <v>33128466.5782963</v>
      </c>
      <c r="H15" s="209">
        <v>70.313875237300394</v>
      </c>
      <c r="I15" s="206"/>
      <c r="J15" s="208">
        <v>30251002.3524216</v>
      </c>
      <c r="K15" s="209">
        <v>74.319504480792105</v>
      </c>
    </row>
    <row r="16" spans="2:17" ht="15" customHeight="1">
      <c r="B16" s="115" t="s">
        <v>35</v>
      </c>
      <c r="C16" s="26"/>
      <c r="D16" s="208">
        <v>23031334.883131899</v>
      </c>
      <c r="E16" s="209">
        <v>26.494612695146898</v>
      </c>
      <c r="F16" s="210"/>
      <c r="G16" s="208">
        <v>13371054.048946301</v>
      </c>
      <c r="H16" s="209">
        <v>28.546257725066098</v>
      </c>
      <c r="I16" s="206"/>
      <c r="J16" s="208">
        <v>10095754.1844435</v>
      </c>
      <c r="K16" s="209">
        <v>24.983714366011199</v>
      </c>
    </row>
    <row r="17" spans="2:11" ht="15" customHeight="1">
      <c r="B17" s="115" t="s">
        <v>65</v>
      </c>
      <c r="C17" s="26"/>
      <c r="D17" s="208">
        <v>3710986.38262934</v>
      </c>
      <c r="E17" s="209">
        <v>4.2828959672801101</v>
      </c>
      <c r="F17" s="210"/>
      <c r="G17" s="208">
        <v>2109344.4027440199</v>
      </c>
      <c r="H17" s="209">
        <v>4.5304180228439197</v>
      </c>
      <c r="I17" s="206"/>
      <c r="J17" s="208">
        <v>1771203.2047478</v>
      </c>
      <c r="K17" s="209">
        <v>4.4013563941712297</v>
      </c>
    </row>
    <row r="18" spans="2:11" ht="6.95" customHeight="1">
      <c r="B18" s="23"/>
      <c r="C18" s="23"/>
      <c r="D18" s="206"/>
      <c r="E18" s="206"/>
      <c r="F18" s="220"/>
      <c r="G18" s="206"/>
      <c r="H18" s="206"/>
      <c r="I18" s="206"/>
      <c r="J18" s="217"/>
      <c r="K18" s="217"/>
    </row>
    <row r="19" spans="2:11" ht="15" customHeight="1">
      <c r="B19" s="174" t="s">
        <v>0</v>
      </c>
      <c r="C19" s="26"/>
      <c r="D19" s="202">
        <v>31876327.629939102</v>
      </c>
      <c r="E19" s="203">
        <v>100</v>
      </c>
      <c r="F19" s="204"/>
      <c r="G19" s="202">
        <v>17557347.996399298</v>
      </c>
      <c r="H19" s="203">
        <v>100</v>
      </c>
      <c r="I19" s="205"/>
      <c r="J19" s="202">
        <v>14624214.675651999</v>
      </c>
      <c r="K19" s="203">
        <v>100</v>
      </c>
    </row>
    <row r="20" spans="2:11" ht="6.95" customHeight="1">
      <c r="B20" s="23"/>
      <c r="C20" s="23"/>
      <c r="D20" s="208"/>
      <c r="E20" s="209"/>
      <c r="F20" s="204"/>
      <c r="G20" s="208"/>
      <c r="H20" s="209"/>
      <c r="I20" s="205"/>
      <c r="J20" s="208"/>
      <c r="K20" s="209"/>
    </row>
    <row r="21" spans="2:11" ht="30" customHeight="1">
      <c r="B21" s="171" t="s">
        <v>63</v>
      </c>
      <c r="C21" s="21"/>
      <c r="D21" s="202"/>
      <c r="E21" s="203"/>
      <c r="F21" s="204"/>
      <c r="G21" s="202"/>
      <c r="H21" s="203"/>
      <c r="I21" s="205"/>
      <c r="J21" s="202"/>
      <c r="K21" s="203"/>
    </row>
    <row r="22" spans="2:11" ht="6.95" customHeight="1">
      <c r="B22" s="171"/>
      <c r="C22" s="21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26"/>
      <c r="D23" s="208">
        <v>20950215.018683098</v>
      </c>
      <c r="E23" s="209">
        <v>67.202408845690201</v>
      </c>
      <c r="F23" s="210"/>
      <c r="G23" s="208">
        <v>11471906.808497399</v>
      </c>
      <c r="H23" s="209">
        <v>67.146484359259304</v>
      </c>
      <c r="I23" s="206"/>
      <c r="J23" s="208">
        <v>9754578.6471377108</v>
      </c>
      <c r="K23" s="209">
        <v>68.701851077925198</v>
      </c>
    </row>
    <row r="24" spans="2:11" ht="15" customHeight="1">
      <c r="B24" s="115" t="s">
        <v>35</v>
      </c>
      <c r="C24" s="26"/>
      <c r="D24" s="208">
        <v>9366594.7335640602</v>
      </c>
      <c r="E24" s="209">
        <v>30.5211006867947</v>
      </c>
      <c r="F24" s="210"/>
      <c r="G24" s="208">
        <v>5466461.3067081003</v>
      </c>
      <c r="H24" s="209">
        <v>32.536721950035698</v>
      </c>
      <c r="I24" s="206"/>
      <c r="J24" s="208">
        <v>4085280.17249833</v>
      </c>
      <c r="K24" s="209">
        <v>29.509039995352701</v>
      </c>
    </row>
    <row r="25" spans="2:11" ht="15" customHeight="1">
      <c r="B25" s="115" t="s">
        <v>65</v>
      </c>
      <c r="C25" s="26"/>
      <c r="D25" s="208">
        <v>2106701.5611144798</v>
      </c>
      <c r="E25" s="209">
        <v>7.0082090005122097</v>
      </c>
      <c r="F25" s="210"/>
      <c r="G25" s="208">
        <v>1050659.8996622399</v>
      </c>
      <c r="H25" s="209">
        <v>6.44426744816242</v>
      </c>
      <c r="I25" s="206"/>
      <c r="J25" s="208">
        <v>1152089.08247293</v>
      </c>
      <c r="K25" s="209">
        <v>8.3546651764716007</v>
      </c>
    </row>
    <row r="26" spans="2:11" ht="6.95" customHeight="1">
      <c r="B26" s="21"/>
      <c r="C26" s="21"/>
      <c r="D26" s="206"/>
      <c r="E26" s="206"/>
      <c r="F26" s="220"/>
      <c r="G26" s="206"/>
      <c r="H26" s="206"/>
      <c r="I26" s="206"/>
      <c r="J26" s="217"/>
      <c r="K26" s="217"/>
    </row>
    <row r="27" spans="2:11" ht="15" customHeight="1">
      <c r="B27" s="174" t="s">
        <v>1</v>
      </c>
      <c r="C27" s="26"/>
      <c r="D27" s="202">
        <v>58722602.216376103</v>
      </c>
      <c r="E27" s="203">
        <v>100</v>
      </c>
      <c r="F27" s="204"/>
      <c r="G27" s="202">
        <v>31539784.224373799</v>
      </c>
      <c r="H27" s="203">
        <v>100</v>
      </c>
      <c r="I27" s="205"/>
      <c r="J27" s="202">
        <v>27745562.505176</v>
      </c>
      <c r="K27" s="203">
        <v>100</v>
      </c>
    </row>
    <row r="28" spans="2:11" ht="6.95" customHeight="1">
      <c r="B28" s="18"/>
      <c r="C28" s="73"/>
      <c r="D28" s="208"/>
      <c r="E28" s="209"/>
      <c r="F28" s="204"/>
      <c r="G28" s="208"/>
      <c r="H28" s="209"/>
      <c r="I28" s="205"/>
      <c r="J28" s="208"/>
      <c r="K28" s="209"/>
    </row>
    <row r="29" spans="2:11" ht="30" customHeight="1">
      <c r="B29" s="171" t="s">
        <v>63</v>
      </c>
      <c r="C29" s="21"/>
      <c r="D29" s="202"/>
      <c r="E29" s="203"/>
      <c r="F29" s="204"/>
      <c r="G29" s="202"/>
      <c r="H29" s="203"/>
      <c r="I29" s="205"/>
      <c r="J29" s="202"/>
      <c r="K29" s="203"/>
    </row>
    <row r="30" spans="2:11" ht="6.95" customHeight="1">
      <c r="B30" s="140"/>
      <c r="C30" s="21"/>
      <c r="D30" s="208"/>
      <c r="E30" s="209"/>
      <c r="F30" s="210"/>
      <c r="G30" s="208"/>
      <c r="H30" s="209"/>
      <c r="I30" s="206"/>
      <c r="J30" s="208"/>
      <c r="K30" s="209"/>
    </row>
    <row r="31" spans="2:11" s="74" customFormat="1" ht="15" customHeight="1">
      <c r="B31" s="115" t="s">
        <v>34</v>
      </c>
      <c r="C31" s="75"/>
      <c r="D31" s="208">
        <v>43349769.5753676</v>
      </c>
      <c r="E31" s="209">
        <v>74.7436092626331</v>
      </c>
      <c r="F31" s="210"/>
      <c r="G31" s="208">
        <v>22555150.2529638</v>
      </c>
      <c r="H31" s="209">
        <v>72.952443681686802</v>
      </c>
      <c r="I31" s="206"/>
      <c r="J31" s="208">
        <v>21257291.350960601</v>
      </c>
      <c r="K31" s="209">
        <v>78.095548367390705</v>
      </c>
    </row>
    <row r="32" spans="2:11" s="74" customFormat="1" ht="15" customHeight="1">
      <c r="B32" s="115" t="s">
        <v>35</v>
      </c>
      <c r="C32" s="75"/>
      <c r="D32" s="208">
        <v>14314469.229013</v>
      </c>
      <c r="E32" s="209">
        <v>24.957450078712402</v>
      </c>
      <c r="F32" s="210"/>
      <c r="G32" s="208">
        <v>8351392.1673766105</v>
      </c>
      <c r="H32" s="209">
        <v>27.2573195740726</v>
      </c>
      <c r="I32" s="206"/>
      <c r="J32" s="208">
        <v>6340848.29327791</v>
      </c>
      <c r="K32" s="209">
        <v>23.5697020320654</v>
      </c>
    </row>
    <row r="33" spans="2:11" s="74" customFormat="1" ht="15" customHeight="1">
      <c r="B33" s="115" t="s">
        <v>65</v>
      </c>
      <c r="C33" s="75"/>
      <c r="D33" s="208">
        <v>1777248.8120637599</v>
      </c>
      <c r="E33" s="209">
        <v>3.12742223492539</v>
      </c>
      <c r="F33" s="210"/>
      <c r="G33" s="208">
        <v>1170179.1433371999</v>
      </c>
      <c r="H33" s="209">
        <v>3.86789192699363</v>
      </c>
      <c r="I33" s="206"/>
      <c r="J33" s="208">
        <v>746768.30419181997</v>
      </c>
      <c r="K33" s="209">
        <v>2.8024320457711198</v>
      </c>
    </row>
    <row r="34" spans="2:11" ht="6.95" customHeight="1">
      <c r="B34" s="17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15"/>
      <c r="C35" s="13"/>
      <c r="E35" s="59"/>
      <c r="F35" s="59"/>
    </row>
    <row r="36" spans="2:11" ht="12" customHeight="1">
      <c r="B36" s="247" t="s">
        <v>77</v>
      </c>
      <c r="C36" s="247"/>
      <c r="D36" s="247"/>
      <c r="E36" s="247"/>
      <c r="F36" s="247"/>
      <c r="G36" s="247"/>
    </row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615B8AA1-A028-43C3-80AD-9A2C2D26C9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ED4A-6C76-45FB-AB15-EDC0C2CAB29A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3" customWidth="1"/>
    <col min="2" max="2" width="40.7109375" style="43" customWidth="1"/>
    <col min="3" max="3" width="1.7109375" style="43" customWidth="1"/>
    <col min="4" max="4" width="15.7109375" style="158" customWidth="1"/>
    <col min="5" max="5" width="15.7109375" style="43" customWidth="1"/>
    <col min="6" max="6" width="1.7109375" style="43" customWidth="1"/>
    <col min="7" max="7" width="15.7109375" style="158" customWidth="1"/>
    <col min="8" max="8" width="15.7109375" style="43" customWidth="1"/>
    <col min="9" max="9" width="1.7109375" style="43" customWidth="1"/>
    <col min="10" max="10" width="15.7109375" style="158" customWidth="1"/>
    <col min="11" max="11" width="15.7109375" style="43" customWidth="1"/>
    <col min="12" max="16384" width="11.42578125" style="43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116</v>
      </c>
      <c r="C5" s="101"/>
      <c r="D5" s="151"/>
      <c r="E5" s="102"/>
      <c r="F5" s="102"/>
      <c r="G5" s="151"/>
      <c r="H5" s="97"/>
      <c r="J5" s="155"/>
      <c r="K5" s="99" t="s">
        <v>24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customFormat="1" ht="15" customHeight="1">
      <c r="B7" s="248" t="s">
        <v>88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25" t="s">
        <v>6</v>
      </c>
      <c r="C11" s="44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</row>
    <row r="12" spans="2:17" ht="6.95" customHeight="1">
      <c r="B12" s="125"/>
      <c r="C12" s="44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97</v>
      </c>
      <c r="C13" s="44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44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36</v>
      </c>
      <c r="C15" s="44"/>
      <c r="D15" s="208">
        <v>35565309.523700997</v>
      </c>
      <c r="E15" s="209">
        <v>40.8784422613572</v>
      </c>
      <c r="F15" s="210"/>
      <c r="G15" s="208">
        <v>18650488.934564698</v>
      </c>
      <c r="H15" s="209">
        <v>39.707355012982298</v>
      </c>
      <c r="I15" s="206"/>
      <c r="J15" s="208">
        <v>17461504.978473101</v>
      </c>
      <c r="K15" s="209">
        <v>43.112938820132499</v>
      </c>
    </row>
    <row r="16" spans="2:17" ht="15" customHeight="1">
      <c r="B16" s="115" t="s">
        <v>37</v>
      </c>
      <c r="C16" s="126"/>
      <c r="D16" s="208">
        <v>21589689.126552101</v>
      </c>
      <c r="E16" s="209">
        <v>24.770633145863101</v>
      </c>
      <c r="F16" s="210"/>
      <c r="G16" s="208">
        <v>11464754.3991923</v>
      </c>
      <c r="H16" s="209">
        <v>24.451307345810299</v>
      </c>
      <c r="I16" s="206"/>
      <c r="J16" s="208">
        <v>10516007.607280301</v>
      </c>
      <c r="K16" s="209">
        <v>25.9903831596597</v>
      </c>
    </row>
    <row r="17" spans="2:11" ht="15" customHeight="1">
      <c r="B17" s="115" t="s">
        <v>38</v>
      </c>
      <c r="C17" s="126"/>
      <c r="D17" s="208">
        <v>31831049.3631755</v>
      </c>
      <c r="E17" s="209">
        <v>36.607353380218797</v>
      </c>
      <c r="F17" s="210"/>
      <c r="G17" s="208">
        <v>18197422.811381001</v>
      </c>
      <c r="H17" s="209">
        <v>38.895534059098502</v>
      </c>
      <c r="I17" s="206"/>
      <c r="J17" s="208">
        <v>14126842.4240923</v>
      </c>
      <c r="K17" s="209">
        <v>34.929448174755599</v>
      </c>
    </row>
    <row r="18" spans="2:11" ht="15" customHeight="1">
      <c r="B18" s="115" t="s">
        <v>65</v>
      </c>
      <c r="C18" s="126"/>
      <c r="D18" s="208">
        <v>804485.63539925904</v>
      </c>
      <c r="E18" s="209">
        <v>0.92870017288719997</v>
      </c>
      <c r="F18" s="210"/>
      <c r="G18" s="208">
        <v>573956.30714807694</v>
      </c>
      <c r="H18" s="209">
        <v>1.2348410347353</v>
      </c>
      <c r="I18" s="206"/>
      <c r="J18" s="208">
        <v>268343.39911648299</v>
      </c>
      <c r="K18" s="209">
        <v>0.669616088551925</v>
      </c>
    </row>
    <row r="19" spans="2:11" ht="6.95" customHeight="1">
      <c r="B19" s="127"/>
      <c r="C19" s="126"/>
      <c r="D19" s="213"/>
      <c r="E19" s="213"/>
      <c r="F19" s="221"/>
      <c r="G19" s="213"/>
      <c r="H19" s="213"/>
      <c r="I19" s="213"/>
      <c r="J19" s="213"/>
      <c r="K19" s="213"/>
    </row>
    <row r="20" spans="2:11" ht="15" customHeight="1">
      <c r="B20" s="171" t="s">
        <v>12</v>
      </c>
      <c r="C20" s="128"/>
      <c r="D20" s="202"/>
      <c r="E20" s="203"/>
      <c r="F20" s="204"/>
      <c r="G20" s="202"/>
      <c r="H20" s="203"/>
      <c r="I20" s="205"/>
      <c r="J20" s="202"/>
      <c r="K20" s="203"/>
    </row>
    <row r="21" spans="2:11" ht="6.95" customHeight="1">
      <c r="B21" s="171"/>
      <c r="C21" s="44"/>
      <c r="D21" s="208"/>
      <c r="E21" s="209"/>
      <c r="F21" s="210"/>
      <c r="G21" s="208"/>
      <c r="H21" s="209"/>
      <c r="I21" s="206"/>
      <c r="J21" s="208"/>
      <c r="K21" s="209"/>
    </row>
    <row r="22" spans="2:11" ht="15" customHeight="1">
      <c r="B22" s="115" t="s">
        <v>36</v>
      </c>
      <c r="C22" s="126"/>
      <c r="D22" s="208">
        <v>40621170.3152624</v>
      </c>
      <c r="E22" s="209">
        <v>46.635327107360801</v>
      </c>
      <c r="F22" s="210"/>
      <c r="G22" s="208">
        <v>21045857.761874098</v>
      </c>
      <c r="H22" s="209">
        <v>44.800918452273997</v>
      </c>
      <c r="I22" s="206"/>
      <c r="J22" s="208">
        <v>20127108.5985411</v>
      </c>
      <c r="K22" s="209">
        <v>49.600107647991997</v>
      </c>
    </row>
    <row r="23" spans="2:11" ht="15" customHeight="1">
      <c r="B23" s="115" t="s">
        <v>37</v>
      </c>
      <c r="C23" s="126"/>
      <c r="D23" s="208">
        <v>28159257.525914099</v>
      </c>
      <c r="E23" s="209">
        <v>32.362516613694801</v>
      </c>
      <c r="F23" s="210"/>
      <c r="G23" s="208">
        <v>15519918.9908689</v>
      </c>
      <c r="H23" s="209">
        <v>33.162841492288798</v>
      </c>
      <c r="I23" s="206"/>
      <c r="J23" s="208">
        <v>13062755.6175946</v>
      </c>
      <c r="K23" s="209">
        <v>32.281590183216103</v>
      </c>
    </row>
    <row r="24" spans="2:11" ht="15" customHeight="1">
      <c r="B24" s="115" t="s">
        <v>38</v>
      </c>
      <c r="C24" s="126"/>
      <c r="D24" s="208">
        <v>20868099.905025501</v>
      </c>
      <c r="E24" s="209">
        <v>24.022069446923702</v>
      </c>
      <c r="F24" s="210"/>
      <c r="G24" s="208">
        <v>12123568.3072393</v>
      </c>
      <c r="H24" s="209">
        <v>25.893317372991898</v>
      </c>
      <c r="I24" s="206"/>
      <c r="J24" s="208">
        <v>9130298.88394369</v>
      </c>
      <c r="K24" s="209">
        <v>22.673618429832501</v>
      </c>
    </row>
    <row r="25" spans="2:11" ht="15" customHeight="1">
      <c r="B25" s="115" t="s">
        <v>65</v>
      </c>
      <c r="C25" s="126"/>
      <c r="D25" s="208">
        <v>255688.53448040999</v>
      </c>
      <c r="E25" s="209">
        <v>0.29542470302566498</v>
      </c>
      <c r="F25" s="210"/>
      <c r="G25" s="208">
        <v>180960.945308275</v>
      </c>
      <c r="H25" s="209">
        <v>0.38952859781084298</v>
      </c>
      <c r="I25" s="206"/>
      <c r="J25" s="208">
        <v>98142.240908930005</v>
      </c>
      <c r="K25" s="209">
        <v>0.24465374507175799</v>
      </c>
    </row>
    <row r="26" spans="2:11" ht="6.95" customHeight="1">
      <c r="B26" s="127"/>
      <c r="C26" s="126"/>
      <c r="D26" s="216"/>
      <c r="E26" s="216"/>
      <c r="F26" s="222"/>
      <c r="G26" s="216"/>
      <c r="H26" s="216"/>
      <c r="I26" s="217"/>
      <c r="J26" s="216"/>
      <c r="K26" s="216"/>
    </row>
    <row r="27" spans="2:11" ht="30" customHeight="1">
      <c r="B27" s="171" t="s">
        <v>99</v>
      </c>
      <c r="C27" s="126"/>
      <c r="D27" s="202"/>
      <c r="E27" s="203"/>
      <c r="F27" s="204"/>
      <c r="G27" s="202"/>
      <c r="H27" s="203"/>
      <c r="I27" s="205"/>
      <c r="J27" s="202"/>
      <c r="K27" s="203"/>
    </row>
    <row r="28" spans="2:11" ht="6.95" customHeight="1">
      <c r="B28" s="171"/>
      <c r="C28" s="44"/>
      <c r="D28" s="208"/>
      <c r="E28" s="209"/>
      <c r="F28" s="210"/>
      <c r="G28" s="208"/>
      <c r="H28" s="209"/>
      <c r="I28" s="206"/>
      <c r="J28" s="208"/>
      <c r="K28" s="209"/>
    </row>
    <row r="29" spans="2:11" ht="15" customHeight="1">
      <c r="B29" s="115" t="s">
        <v>36</v>
      </c>
      <c r="C29" s="126"/>
      <c r="D29" s="208">
        <v>42240045.983762003</v>
      </c>
      <c r="E29" s="209">
        <v>48.534242850541098</v>
      </c>
      <c r="F29" s="210"/>
      <c r="G29" s="208">
        <v>23762692.341350202</v>
      </c>
      <c r="H29" s="209">
        <v>50.565086223093701</v>
      </c>
      <c r="I29" s="206"/>
      <c r="J29" s="208">
        <v>19069603.3868545</v>
      </c>
      <c r="K29" s="209">
        <v>47.110435287011697</v>
      </c>
    </row>
    <row r="30" spans="2:11" ht="15" customHeight="1">
      <c r="B30" s="115" t="s">
        <v>37</v>
      </c>
      <c r="C30" s="126"/>
      <c r="D30" s="208">
        <v>22850244.252316002</v>
      </c>
      <c r="E30" s="209">
        <v>26.264939007606099</v>
      </c>
      <c r="F30" s="210"/>
      <c r="G30" s="208">
        <v>12620613.1677709</v>
      </c>
      <c r="H30" s="209">
        <v>26.981441102406801</v>
      </c>
      <c r="I30" s="206"/>
      <c r="J30" s="208">
        <v>10618435.0834933</v>
      </c>
      <c r="K30" s="209">
        <v>26.280002312538102</v>
      </c>
    </row>
    <row r="31" spans="2:11" ht="15" customHeight="1">
      <c r="B31" s="115" t="s">
        <v>38</v>
      </c>
      <c r="C31" s="126"/>
      <c r="D31" s="208">
        <v>24149360.81433</v>
      </c>
      <c r="E31" s="209">
        <v>27.780289065682201</v>
      </c>
      <c r="F31" s="210"/>
      <c r="G31" s="208">
        <v>12191503.201177699</v>
      </c>
      <c r="H31" s="209">
        <v>26.081670579478999</v>
      </c>
      <c r="I31" s="206"/>
      <c r="J31" s="208">
        <v>12347543.545131201</v>
      </c>
      <c r="K31" s="209">
        <v>30.5059984971173</v>
      </c>
    </row>
    <row r="32" spans="2:11" ht="15" customHeight="1">
      <c r="B32" s="115" t="s">
        <v>65</v>
      </c>
      <c r="C32" s="126"/>
      <c r="D32" s="208">
        <v>810970.75527630502</v>
      </c>
      <c r="E32" s="209">
        <v>0.93478388724195804</v>
      </c>
      <c r="F32" s="210"/>
      <c r="G32" s="208">
        <v>445240.49357028003</v>
      </c>
      <c r="H32" s="209">
        <v>0.95818217458113597</v>
      </c>
      <c r="I32" s="206"/>
      <c r="J32" s="208">
        <v>418045.40324877697</v>
      </c>
      <c r="K32" s="209">
        <v>1.0402683786896501</v>
      </c>
    </row>
    <row r="33" spans="2:11" ht="6.95" customHeight="1">
      <c r="B33" s="127"/>
      <c r="C33" s="126"/>
      <c r="D33" s="216"/>
      <c r="E33" s="216"/>
      <c r="F33" s="222"/>
      <c r="G33" s="216"/>
      <c r="H33" s="216"/>
      <c r="I33" s="217"/>
      <c r="J33" s="216"/>
      <c r="K33" s="216"/>
    </row>
    <row r="34" spans="2:11" ht="30" customHeight="1">
      <c r="B34" s="171" t="s">
        <v>100</v>
      </c>
      <c r="C34" s="126"/>
      <c r="D34" s="202"/>
      <c r="E34" s="203"/>
      <c r="F34" s="204"/>
      <c r="G34" s="202"/>
      <c r="H34" s="203"/>
      <c r="I34" s="205"/>
      <c r="J34" s="202"/>
      <c r="K34" s="203"/>
    </row>
    <row r="35" spans="2:11" ht="6.95" customHeight="1">
      <c r="B35" s="171"/>
      <c r="C35" s="44"/>
      <c r="D35" s="208"/>
      <c r="E35" s="209"/>
      <c r="F35" s="210"/>
      <c r="G35" s="208"/>
      <c r="H35" s="209"/>
      <c r="I35" s="206"/>
      <c r="J35" s="208"/>
      <c r="K35" s="209"/>
    </row>
    <row r="36" spans="2:11" ht="15" customHeight="1">
      <c r="B36" s="115" t="s">
        <v>36</v>
      </c>
      <c r="C36" s="126"/>
      <c r="D36" s="208">
        <v>35497269.173130199</v>
      </c>
      <c r="E36" s="209">
        <v>40.78381107357</v>
      </c>
      <c r="F36" s="210"/>
      <c r="G36" s="208">
        <v>18156085.197724599</v>
      </c>
      <c r="H36" s="209">
        <v>38.692947008174997</v>
      </c>
      <c r="I36" s="206"/>
      <c r="J36" s="208">
        <v>17872487.717405599</v>
      </c>
      <c r="K36" s="209">
        <v>44.153200190047301</v>
      </c>
    </row>
    <row r="37" spans="2:11" ht="15" customHeight="1">
      <c r="B37" s="115" t="s">
        <v>37</v>
      </c>
      <c r="C37" s="126"/>
      <c r="D37" s="208">
        <v>28178217.195940401</v>
      </c>
      <c r="E37" s="209">
        <v>32.326185003505202</v>
      </c>
      <c r="F37" s="210"/>
      <c r="G37" s="208">
        <v>15351012.2944877</v>
      </c>
      <c r="H37" s="209">
        <v>32.731937250196502</v>
      </c>
      <c r="I37" s="206"/>
      <c r="J37" s="208">
        <v>13286066.2003111</v>
      </c>
      <c r="K37" s="209">
        <v>32.826699984485103</v>
      </c>
    </row>
    <row r="38" spans="2:11" ht="15" customHeight="1">
      <c r="B38" s="115" t="s">
        <v>38</v>
      </c>
      <c r="C38" s="126"/>
      <c r="D38" s="208">
        <v>25224286.539371599</v>
      </c>
      <c r="E38" s="209">
        <v>29.042569256507999</v>
      </c>
      <c r="F38" s="210"/>
      <c r="G38" s="208">
        <v>14767393.9290979</v>
      </c>
      <c r="H38" s="209">
        <v>31.575285285682298</v>
      </c>
      <c r="I38" s="206"/>
      <c r="J38" s="208">
        <v>10898528.863674199</v>
      </c>
      <c r="K38" s="209">
        <v>26.969454268004199</v>
      </c>
    </row>
    <row r="39" spans="2:11" ht="15" customHeight="1">
      <c r="B39" s="115" t="s">
        <v>65</v>
      </c>
      <c r="C39" s="126"/>
      <c r="D39" s="208">
        <v>1057723.8863774701</v>
      </c>
      <c r="E39" s="209">
        <v>1.2211943691548299</v>
      </c>
      <c r="F39" s="210"/>
      <c r="G39" s="208">
        <v>711286.46763641597</v>
      </c>
      <c r="H39" s="209">
        <v>1.5297656353868601</v>
      </c>
      <c r="I39" s="206"/>
      <c r="J39" s="208">
        <v>411880.71431163099</v>
      </c>
      <c r="K39" s="209">
        <v>1.0255259551687299</v>
      </c>
    </row>
    <row r="40" spans="2:11" ht="6.95" customHeight="1">
      <c r="B40" s="127"/>
      <c r="C40" s="126"/>
      <c r="D40" s="213"/>
      <c r="E40" s="213"/>
      <c r="F40" s="221"/>
      <c r="G40" s="213"/>
      <c r="H40" s="213"/>
      <c r="I40" s="213"/>
      <c r="J40" s="213"/>
      <c r="K40" s="213"/>
    </row>
    <row r="41" spans="2:11" ht="30" customHeight="1">
      <c r="B41" s="171" t="s">
        <v>98</v>
      </c>
      <c r="C41" s="126"/>
      <c r="D41" s="202"/>
      <c r="E41" s="203"/>
      <c r="F41" s="204"/>
      <c r="G41" s="202"/>
      <c r="H41" s="203"/>
      <c r="I41" s="205"/>
      <c r="J41" s="202"/>
      <c r="K41" s="203"/>
    </row>
    <row r="42" spans="2:11" ht="6.95" customHeight="1">
      <c r="B42" s="171"/>
      <c r="C42" s="44"/>
      <c r="D42" s="208"/>
      <c r="E42" s="209"/>
      <c r="F42" s="210"/>
      <c r="G42" s="208"/>
      <c r="H42" s="209"/>
      <c r="I42" s="206"/>
      <c r="J42" s="208"/>
      <c r="K42" s="209"/>
    </row>
    <row r="43" spans="2:11" ht="15" customHeight="1">
      <c r="B43" s="115" t="s">
        <v>36</v>
      </c>
      <c r="C43" s="126"/>
      <c r="D43" s="208">
        <v>38140613.830069102</v>
      </c>
      <c r="E43" s="209">
        <v>43.6986145434592</v>
      </c>
      <c r="F43" s="210"/>
      <c r="G43" s="208">
        <v>18892502.731543701</v>
      </c>
      <c r="H43" s="209">
        <v>40.241119644526897</v>
      </c>
      <c r="I43" s="206"/>
      <c r="J43" s="208">
        <v>19747108.934911899</v>
      </c>
      <c r="K43" s="209">
        <v>48.659208433239797</v>
      </c>
    </row>
    <row r="44" spans="2:11" ht="15" customHeight="1">
      <c r="B44" s="115" t="s">
        <v>37</v>
      </c>
      <c r="C44" s="126"/>
      <c r="D44" s="208">
        <v>25889543.132407598</v>
      </c>
      <c r="E44" s="209">
        <v>29.772240153632101</v>
      </c>
      <c r="F44" s="210"/>
      <c r="G44" s="208">
        <v>14652560.670187</v>
      </c>
      <c r="H44" s="209">
        <v>31.2118106782128</v>
      </c>
      <c r="I44" s="206"/>
      <c r="J44" s="208">
        <v>11648788.8765122</v>
      </c>
      <c r="K44" s="209">
        <v>28.882018019430699</v>
      </c>
    </row>
    <row r="45" spans="2:11" ht="15" customHeight="1">
      <c r="B45" s="115" t="s">
        <v>38</v>
      </c>
      <c r="C45" s="126"/>
      <c r="D45" s="208">
        <v>25562694.292217501</v>
      </c>
      <c r="E45" s="209">
        <v>29.469719863561199</v>
      </c>
      <c r="F45" s="210"/>
      <c r="G45" s="208">
        <v>15146844.689583</v>
      </c>
      <c r="H45" s="209">
        <v>32.457333360232099</v>
      </c>
      <c r="I45" s="206"/>
      <c r="J45" s="208">
        <v>10880721.900767099</v>
      </c>
      <c r="K45" s="209">
        <v>26.9081252545596</v>
      </c>
    </row>
    <row r="46" spans="2:11" ht="15" customHeight="1">
      <c r="B46" s="115" t="s">
        <v>65</v>
      </c>
      <c r="C46" s="126"/>
      <c r="D46" s="208">
        <v>313911.96506819199</v>
      </c>
      <c r="E46" s="209">
        <v>0.36234305623702101</v>
      </c>
      <c r="F46" s="210"/>
      <c r="G46" s="208">
        <v>229413.89338791801</v>
      </c>
      <c r="H46" s="209">
        <v>0.492944180741062</v>
      </c>
      <c r="I46" s="206"/>
      <c r="J46" s="208">
        <v>103586.740860893</v>
      </c>
      <c r="K46" s="209">
        <v>0.25851161558809499</v>
      </c>
    </row>
    <row r="47" spans="2:11" ht="6.95" customHeight="1">
      <c r="B47" s="127"/>
      <c r="C47" s="126"/>
      <c r="D47" s="213"/>
      <c r="E47" s="213"/>
      <c r="F47" s="221"/>
      <c r="G47" s="213"/>
      <c r="H47" s="213"/>
      <c r="I47" s="213"/>
      <c r="J47" s="213"/>
      <c r="K47" s="213"/>
    </row>
    <row r="48" spans="2:11" ht="30" customHeight="1">
      <c r="B48" s="171" t="s">
        <v>89</v>
      </c>
      <c r="C48" s="126"/>
      <c r="D48" s="202"/>
      <c r="E48" s="203"/>
      <c r="F48" s="204"/>
      <c r="G48" s="202"/>
      <c r="H48" s="203"/>
      <c r="I48" s="205"/>
      <c r="J48" s="202"/>
      <c r="K48" s="203"/>
    </row>
    <row r="49" spans="2:11" ht="6.95" customHeight="1">
      <c r="B49" s="171"/>
      <c r="C49" s="44"/>
      <c r="D49" s="208"/>
      <c r="E49" s="209"/>
      <c r="F49" s="210"/>
      <c r="G49" s="208"/>
      <c r="H49" s="209"/>
      <c r="I49" s="206"/>
      <c r="J49" s="208"/>
      <c r="K49" s="209"/>
    </row>
    <row r="50" spans="2:11" ht="15" customHeight="1">
      <c r="B50" s="115" t="s">
        <v>36</v>
      </c>
      <c r="C50" s="126"/>
      <c r="D50" s="208">
        <v>32124114.552695598</v>
      </c>
      <c r="E50" s="209">
        <v>36.854209207851802</v>
      </c>
      <c r="F50" s="210"/>
      <c r="G50" s="208">
        <v>16651830.600001</v>
      </c>
      <c r="H50" s="209">
        <v>35.464091234707404</v>
      </c>
      <c r="I50" s="206"/>
      <c r="J50" s="208">
        <v>15915075.746868899</v>
      </c>
      <c r="K50" s="209">
        <v>39.315545378247698</v>
      </c>
    </row>
    <row r="51" spans="2:11" ht="15" customHeight="1">
      <c r="B51" s="115" t="s">
        <v>37</v>
      </c>
      <c r="C51" s="126"/>
      <c r="D51" s="208">
        <v>25503020.7657362</v>
      </c>
      <c r="E51" s="209">
        <v>29.347168960684801</v>
      </c>
      <c r="F51" s="210"/>
      <c r="G51" s="208">
        <v>14041937.067689899</v>
      </c>
      <c r="H51" s="209">
        <v>29.9868958182646</v>
      </c>
      <c r="I51" s="206"/>
      <c r="J51" s="208">
        <v>11897707.7317314</v>
      </c>
      <c r="K51" s="209">
        <v>29.494606816443</v>
      </c>
    </row>
    <row r="52" spans="2:11" ht="15" customHeight="1">
      <c r="B52" s="115" t="s">
        <v>38</v>
      </c>
      <c r="C52" s="126"/>
      <c r="D52" s="208">
        <v>32033440.861974798</v>
      </c>
      <c r="E52" s="209">
        <v>36.851071169489899</v>
      </c>
      <c r="F52" s="210"/>
      <c r="G52" s="208">
        <v>18054354.614452701</v>
      </c>
      <c r="H52" s="209">
        <v>38.577533367756502</v>
      </c>
      <c r="I52" s="206"/>
      <c r="J52" s="208">
        <v>14479811.573083499</v>
      </c>
      <c r="K52" s="209">
        <v>35.7390446483478</v>
      </c>
    </row>
    <row r="53" spans="2:11" ht="15" customHeight="1">
      <c r="B53" s="115" t="s">
        <v>65</v>
      </c>
      <c r="C53" s="126"/>
      <c r="D53" s="208">
        <v>304614.80949450698</v>
      </c>
      <c r="E53" s="209">
        <v>0.352048132339076</v>
      </c>
      <c r="F53" s="210"/>
      <c r="G53" s="208">
        <v>168816.98386638801</v>
      </c>
      <c r="H53" s="209">
        <v>0.36327425318368201</v>
      </c>
      <c r="I53" s="206"/>
      <c r="J53" s="208">
        <v>160068.663827677</v>
      </c>
      <c r="K53" s="209">
        <v>0.39855203413837798</v>
      </c>
    </row>
    <row r="54" spans="2:11" ht="6.95" customHeight="1">
      <c r="B54" s="129"/>
      <c r="C54" s="130"/>
      <c r="D54" s="213"/>
      <c r="E54" s="213"/>
      <c r="F54" s="223"/>
      <c r="G54" s="213"/>
      <c r="H54" s="213"/>
      <c r="I54" s="213"/>
      <c r="J54" s="213"/>
      <c r="K54" s="213"/>
    </row>
    <row r="55" spans="2:11" ht="15" customHeight="1">
      <c r="B55" s="177" t="s">
        <v>0</v>
      </c>
      <c r="C55" s="44"/>
      <c r="D55" s="202">
        <v>31876327.629939102</v>
      </c>
      <c r="E55" s="203">
        <v>100</v>
      </c>
      <c r="F55" s="204"/>
      <c r="G55" s="202">
        <v>17557347.996399298</v>
      </c>
      <c r="H55" s="203">
        <v>100</v>
      </c>
      <c r="I55" s="205"/>
      <c r="J55" s="202">
        <v>14624214.675651999</v>
      </c>
      <c r="K55" s="203">
        <v>100</v>
      </c>
    </row>
    <row r="56" spans="2:11" ht="6.95" customHeight="1">
      <c r="B56" s="125"/>
      <c r="C56" s="44"/>
      <c r="D56" s="208"/>
      <c r="E56" s="209"/>
      <c r="F56" s="204"/>
      <c r="G56" s="208"/>
      <c r="H56" s="209"/>
      <c r="I56" s="205"/>
      <c r="J56" s="208"/>
      <c r="K56" s="209"/>
    </row>
    <row r="57" spans="2:11" ht="30" customHeight="1">
      <c r="B57" s="171" t="s">
        <v>97</v>
      </c>
      <c r="C57" s="44"/>
      <c r="D57" s="202"/>
      <c r="E57" s="203"/>
      <c r="F57" s="204"/>
      <c r="G57" s="202"/>
      <c r="H57" s="203"/>
      <c r="I57" s="205"/>
      <c r="J57" s="202"/>
      <c r="K57" s="203"/>
    </row>
    <row r="58" spans="2:11" ht="6.95" customHeight="1">
      <c r="B58" s="171"/>
      <c r="C58" s="44"/>
      <c r="D58" s="208"/>
      <c r="E58" s="209"/>
      <c r="F58" s="210"/>
      <c r="G58" s="208"/>
      <c r="H58" s="209"/>
      <c r="I58" s="206"/>
      <c r="J58" s="208"/>
      <c r="K58" s="209"/>
    </row>
    <row r="59" spans="2:11" ht="15" customHeight="1">
      <c r="B59" s="115" t="s">
        <v>36</v>
      </c>
      <c r="C59" s="44"/>
      <c r="D59" s="208">
        <v>14000152.0777911</v>
      </c>
      <c r="E59" s="209">
        <v>45.404151731673501</v>
      </c>
      <c r="F59" s="210"/>
      <c r="G59" s="208">
        <v>7501418.5722631803</v>
      </c>
      <c r="H59" s="209">
        <v>44.406157564869297</v>
      </c>
      <c r="I59" s="206"/>
      <c r="J59" s="208">
        <v>6717674.59899732</v>
      </c>
      <c r="K59" s="209">
        <v>47.861012597740697</v>
      </c>
    </row>
    <row r="60" spans="2:11" ht="15" customHeight="1">
      <c r="B60" s="115" t="s">
        <v>37</v>
      </c>
      <c r="C60" s="126"/>
      <c r="D60" s="208">
        <v>7291727.2217189102</v>
      </c>
      <c r="E60" s="209">
        <v>23.6028516750957</v>
      </c>
      <c r="F60" s="210"/>
      <c r="G60" s="208">
        <v>4239999.6100839796</v>
      </c>
      <c r="H60" s="209">
        <v>25.154060204155801</v>
      </c>
      <c r="I60" s="206"/>
      <c r="J60" s="208">
        <v>3239124.2461243202</v>
      </c>
      <c r="K60" s="209">
        <v>23.3931641461308</v>
      </c>
    </row>
    <row r="61" spans="2:11" ht="15" customHeight="1">
      <c r="B61" s="115" t="s">
        <v>38</v>
      </c>
      <c r="C61" s="126"/>
      <c r="D61" s="208">
        <v>10652327.4812754</v>
      </c>
      <c r="E61" s="209">
        <v>34.696243082964003</v>
      </c>
      <c r="F61" s="210"/>
      <c r="G61" s="208">
        <v>5901416.78467876</v>
      </c>
      <c r="H61" s="209">
        <v>35.095791126945301</v>
      </c>
      <c r="I61" s="206"/>
      <c r="J61" s="208">
        <v>4976079.7744234595</v>
      </c>
      <c r="K61" s="209">
        <v>35.5989123908153</v>
      </c>
    </row>
    <row r="62" spans="2:11" ht="15" customHeight="1">
      <c r="B62" s="115" t="s">
        <v>65</v>
      </c>
      <c r="C62" s="126"/>
      <c r="D62" s="208">
        <v>606027.34854429797</v>
      </c>
      <c r="E62" s="209">
        <v>2.0272317320246298</v>
      </c>
      <c r="F62" s="210"/>
      <c r="G62" s="208">
        <v>440867.33884904702</v>
      </c>
      <c r="H62" s="209">
        <v>2.6982976941807801</v>
      </c>
      <c r="I62" s="206"/>
      <c r="J62" s="208">
        <v>193704.459631518</v>
      </c>
      <c r="K62" s="209">
        <v>1.43699312176146</v>
      </c>
    </row>
    <row r="63" spans="2:11" ht="6.95" customHeight="1">
      <c r="B63" s="127"/>
      <c r="C63" s="126"/>
      <c r="D63" s="213"/>
      <c r="E63" s="213"/>
      <c r="F63" s="221"/>
      <c r="G63" s="213"/>
      <c r="H63" s="213"/>
      <c r="I63" s="213"/>
      <c r="J63" s="213"/>
      <c r="K63" s="213"/>
    </row>
    <row r="64" spans="2:11" ht="15" customHeight="1">
      <c r="B64" s="171" t="s">
        <v>12</v>
      </c>
      <c r="C64" s="128"/>
      <c r="D64" s="202"/>
      <c r="E64" s="203"/>
      <c r="F64" s="204"/>
      <c r="G64" s="202"/>
      <c r="H64" s="203"/>
      <c r="I64" s="205"/>
      <c r="J64" s="202"/>
      <c r="K64" s="203"/>
    </row>
    <row r="65" spans="2:11" ht="6.95" customHeight="1">
      <c r="B65" s="171"/>
      <c r="C65" s="44"/>
      <c r="D65" s="208"/>
      <c r="E65" s="209"/>
      <c r="F65" s="210"/>
      <c r="G65" s="208"/>
      <c r="H65" s="209"/>
      <c r="I65" s="206"/>
      <c r="J65" s="208"/>
      <c r="K65" s="209"/>
    </row>
    <row r="66" spans="2:11" ht="15" customHeight="1">
      <c r="B66" s="115" t="s">
        <v>36</v>
      </c>
      <c r="C66" s="126"/>
      <c r="D66" s="208">
        <v>16288204.4265127</v>
      </c>
      <c r="E66" s="209">
        <v>52.9582580369242</v>
      </c>
      <c r="F66" s="210"/>
      <c r="G66" s="208">
        <v>8641154.9167303406</v>
      </c>
      <c r="H66" s="209">
        <v>51.219131469173803</v>
      </c>
      <c r="I66" s="206"/>
      <c r="J66" s="208">
        <v>7886940.6976385703</v>
      </c>
      <c r="K66" s="209">
        <v>56.519455379891902</v>
      </c>
    </row>
    <row r="67" spans="2:11" ht="15" customHeight="1">
      <c r="B67" s="115" t="s">
        <v>37</v>
      </c>
      <c r="C67" s="126"/>
      <c r="D67" s="208">
        <v>9167244.9275532309</v>
      </c>
      <c r="E67" s="209">
        <v>29.757977446124201</v>
      </c>
      <c r="F67" s="210"/>
      <c r="G67" s="208">
        <v>4973341.2408071896</v>
      </c>
      <c r="H67" s="209">
        <v>29.681724790042001</v>
      </c>
      <c r="I67" s="206"/>
      <c r="J67" s="208">
        <v>4355963.4347210098</v>
      </c>
      <c r="K67" s="209">
        <v>31.1714801249495</v>
      </c>
    </row>
    <row r="68" spans="2:11" ht="15" customHeight="1">
      <c r="B68" s="115" t="s">
        <v>38</v>
      </c>
      <c r="C68" s="126"/>
      <c r="D68" s="208">
        <v>6989299.9076241599</v>
      </c>
      <c r="E68" s="209">
        <v>22.865599706073201</v>
      </c>
      <c r="F68" s="210"/>
      <c r="G68" s="208">
        <v>4340903.4608374601</v>
      </c>
      <c r="H68" s="209">
        <v>25.794057599741301</v>
      </c>
      <c r="I68" s="206"/>
      <c r="J68" s="208">
        <v>2866978.2038144399</v>
      </c>
      <c r="K68" s="209">
        <v>20.743403458710901</v>
      </c>
    </row>
    <row r="69" spans="2:11" ht="15" customHeight="1">
      <c r="B69" s="115" t="s">
        <v>65</v>
      </c>
      <c r="C69" s="126"/>
      <c r="D69" s="208">
        <v>190748.17386490799</v>
      </c>
      <c r="E69" s="209">
        <v>0.64027165640647798</v>
      </c>
      <c r="F69" s="210"/>
      <c r="G69" s="208">
        <v>141065.699022363</v>
      </c>
      <c r="H69" s="209">
        <v>0.86604173473903201</v>
      </c>
      <c r="I69" s="206"/>
      <c r="J69" s="208">
        <v>69918.218113325202</v>
      </c>
      <c r="K69" s="209">
        <v>0.51640497174661204</v>
      </c>
    </row>
    <row r="70" spans="2:11" ht="6.95" customHeight="1">
      <c r="B70" s="127"/>
      <c r="C70" s="126"/>
      <c r="D70" s="216"/>
      <c r="E70" s="216"/>
      <c r="F70" s="222"/>
      <c r="G70" s="216"/>
      <c r="H70" s="216"/>
      <c r="I70" s="217"/>
      <c r="J70" s="216"/>
      <c r="K70" s="216"/>
    </row>
    <row r="71" spans="2:11" ht="30" customHeight="1">
      <c r="B71" s="171" t="s">
        <v>99</v>
      </c>
      <c r="C71" s="126"/>
      <c r="D71" s="202"/>
      <c r="E71" s="203"/>
      <c r="F71" s="204"/>
      <c r="G71" s="202"/>
      <c r="H71" s="203"/>
      <c r="I71" s="205"/>
      <c r="J71" s="202"/>
      <c r="K71" s="203"/>
    </row>
    <row r="72" spans="2:11" ht="6.95" customHeight="1">
      <c r="B72" s="171"/>
      <c r="C72" s="44"/>
      <c r="D72" s="208"/>
      <c r="E72" s="209"/>
      <c r="F72" s="210"/>
      <c r="G72" s="208"/>
      <c r="H72" s="209"/>
      <c r="I72" s="206"/>
      <c r="J72" s="208"/>
      <c r="K72" s="209"/>
    </row>
    <row r="73" spans="2:11" ht="15" customHeight="1">
      <c r="B73" s="115" t="s">
        <v>36</v>
      </c>
      <c r="C73" s="126"/>
      <c r="D73" s="208">
        <v>14276393.6723333</v>
      </c>
      <c r="E73" s="209">
        <v>46.436419952774799</v>
      </c>
      <c r="F73" s="210"/>
      <c r="G73" s="208">
        <v>8423886.0867745392</v>
      </c>
      <c r="H73" s="209">
        <v>50.035665058259902</v>
      </c>
      <c r="I73" s="206"/>
      <c r="J73" s="208">
        <v>6108892.3871758804</v>
      </c>
      <c r="K73" s="209">
        <v>43.712467859484903</v>
      </c>
    </row>
    <row r="74" spans="2:11" ht="15" customHeight="1">
      <c r="B74" s="115" t="s">
        <v>37</v>
      </c>
      <c r="C74" s="126"/>
      <c r="D74" s="208">
        <v>7481583.29884852</v>
      </c>
      <c r="E74" s="209">
        <v>24.387006086901099</v>
      </c>
      <c r="F74" s="210"/>
      <c r="G74" s="208">
        <v>4117067.7917625899</v>
      </c>
      <c r="H74" s="209">
        <v>24.557250148956999</v>
      </c>
      <c r="I74" s="206"/>
      <c r="J74" s="208">
        <v>3557018.4661441301</v>
      </c>
      <c r="K74" s="209">
        <v>25.621324544619601</v>
      </c>
    </row>
    <row r="75" spans="2:11" ht="15" customHeight="1">
      <c r="B75" s="115" t="s">
        <v>38</v>
      </c>
      <c r="C75" s="126"/>
      <c r="D75" s="208">
        <v>10399235.662454</v>
      </c>
      <c r="E75" s="209">
        <v>33.827527043247599</v>
      </c>
      <c r="F75" s="210"/>
      <c r="G75" s="208">
        <v>5272653.1726193205</v>
      </c>
      <c r="H75" s="209">
        <v>31.3030914968123</v>
      </c>
      <c r="I75" s="206"/>
      <c r="J75" s="208">
        <v>5332594.5085160499</v>
      </c>
      <c r="K75" s="209">
        <v>38.310343001476497</v>
      </c>
    </row>
    <row r="76" spans="2:11" ht="15" customHeight="1">
      <c r="B76" s="115" t="s">
        <v>65</v>
      </c>
      <c r="C76" s="126"/>
      <c r="D76" s="208">
        <v>501170.00792898802</v>
      </c>
      <c r="E76" s="209">
        <v>1.67147325796892</v>
      </c>
      <c r="F76" s="210"/>
      <c r="G76" s="208">
        <v>326610.92845312302</v>
      </c>
      <c r="H76" s="209">
        <v>2.0006915405546302</v>
      </c>
      <c r="I76" s="206"/>
      <c r="J76" s="208">
        <v>207623.08258086801</v>
      </c>
      <c r="K76" s="209">
        <v>1.5307550823849301</v>
      </c>
    </row>
    <row r="77" spans="2:11" ht="6.95" customHeight="1">
      <c r="B77" s="127"/>
      <c r="C77" s="126"/>
      <c r="D77" s="216"/>
      <c r="E77" s="216"/>
      <c r="F77" s="222"/>
      <c r="G77" s="216"/>
      <c r="H77" s="216"/>
      <c r="I77" s="217"/>
      <c r="J77" s="216"/>
      <c r="K77" s="216"/>
    </row>
    <row r="78" spans="2:11" ht="30" customHeight="1">
      <c r="B78" s="171" t="s">
        <v>100</v>
      </c>
      <c r="C78" s="126"/>
      <c r="D78" s="202"/>
      <c r="E78" s="203"/>
      <c r="F78" s="204"/>
      <c r="G78" s="202"/>
      <c r="H78" s="203"/>
      <c r="I78" s="205"/>
      <c r="J78" s="202"/>
      <c r="K78" s="203"/>
    </row>
    <row r="79" spans="2:11" ht="6.95" customHeight="1">
      <c r="B79" s="171"/>
      <c r="C79" s="44"/>
      <c r="D79" s="208"/>
      <c r="E79" s="209"/>
      <c r="F79" s="210"/>
      <c r="G79" s="208"/>
      <c r="H79" s="209"/>
      <c r="I79" s="206"/>
      <c r="J79" s="208"/>
      <c r="K79" s="209"/>
    </row>
    <row r="80" spans="2:11" ht="15" customHeight="1">
      <c r="B80" s="115" t="s">
        <v>36</v>
      </c>
      <c r="C80" s="126"/>
      <c r="D80" s="208">
        <v>11282436.855259901</v>
      </c>
      <c r="E80" s="209">
        <v>36.5984637158897</v>
      </c>
      <c r="F80" s="210"/>
      <c r="G80" s="208">
        <v>5726334.3745457996</v>
      </c>
      <c r="H80" s="209">
        <v>34.0741395130906</v>
      </c>
      <c r="I80" s="206"/>
      <c r="J80" s="208">
        <v>5775937.0875870297</v>
      </c>
      <c r="K80" s="209">
        <v>41.218501927293403</v>
      </c>
    </row>
    <row r="81" spans="2:11" ht="15" customHeight="1">
      <c r="B81" s="115" t="s">
        <v>37</v>
      </c>
      <c r="C81" s="126"/>
      <c r="D81" s="208">
        <v>9601331.3637846801</v>
      </c>
      <c r="E81" s="209">
        <v>31.017116386024899</v>
      </c>
      <c r="F81" s="210"/>
      <c r="G81" s="208">
        <v>5558169.1363728298</v>
      </c>
      <c r="H81" s="209">
        <v>32.971193425532697</v>
      </c>
      <c r="I81" s="206"/>
      <c r="J81" s="208">
        <v>4223984.53807793</v>
      </c>
      <c r="K81" s="209">
        <v>30.166151499828398</v>
      </c>
    </row>
    <row r="82" spans="2:11" ht="15" customHeight="1">
      <c r="B82" s="115" t="s">
        <v>38</v>
      </c>
      <c r="C82" s="126"/>
      <c r="D82" s="208">
        <v>11011275.581908699</v>
      </c>
      <c r="E82" s="209">
        <v>36.129966059690098</v>
      </c>
      <c r="F82" s="210"/>
      <c r="G82" s="208">
        <v>6362680.2281468399</v>
      </c>
      <c r="H82" s="209">
        <v>37.891208407334098</v>
      </c>
      <c r="I82" s="206"/>
      <c r="J82" s="208">
        <v>4909897.3339328403</v>
      </c>
      <c r="K82" s="209">
        <v>35.552682069758603</v>
      </c>
    </row>
    <row r="83" spans="2:11" ht="15" customHeight="1">
      <c r="B83" s="115" t="s">
        <v>65</v>
      </c>
      <c r="C83" s="126"/>
      <c r="D83" s="208">
        <v>770355.44526067597</v>
      </c>
      <c r="E83" s="209">
        <v>2.5739885162114802</v>
      </c>
      <c r="F83" s="210"/>
      <c r="G83" s="208">
        <v>526998.67800721596</v>
      </c>
      <c r="H83" s="209">
        <v>3.2204044063287398</v>
      </c>
      <c r="I83" s="206"/>
      <c r="J83" s="208">
        <v>297274.719904283</v>
      </c>
      <c r="K83" s="209">
        <v>2.1928864786932301</v>
      </c>
    </row>
    <row r="84" spans="2:11" ht="6.95" customHeight="1">
      <c r="B84" s="127"/>
      <c r="C84" s="126"/>
      <c r="D84" s="213"/>
      <c r="E84" s="213"/>
      <c r="F84" s="221"/>
      <c r="G84" s="213"/>
      <c r="H84" s="213"/>
      <c r="I84" s="213"/>
      <c r="J84" s="213"/>
      <c r="K84" s="213"/>
    </row>
    <row r="85" spans="2:11" ht="30" customHeight="1">
      <c r="B85" s="171" t="s">
        <v>98</v>
      </c>
      <c r="C85" s="126"/>
      <c r="D85" s="202"/>
      <c r="E85" s="203"/>
      <c r="F85" s="204"/>
      <c r="G85" s="202"/>
      <c r="H85" s="203"/>
      <c r="I85" s="205"/>
      <c r="J85" s="202"/>
      <c r="K85" s="203"/>
    </row>
    <row r="86" spans="2:11" ht="6.95" customHeight="1">
      <c r="B86" s="171"/>
      <c r="C86" s="44"/>
      <c r="D86" s="208"/>
      <c r="E86" s="209"/>
      <c r="F86" s="210"/>
      <c r="G86" s="208"/>
      <c r="H86" s="209"/>
      <c r="I86" s="206"/>
      <c r="J86" s="208"/>
      <c r="K86" s="209"/>
    </row>
    <row r="87" spans="2:11" ht="15" customHeight="1">
      <c r="B87" s="115" t="s">
        <v>36</v>
      </c>
      <c r="C87" s="126"/>
      <c r="D87" s="208">
        <v>11600582.855139401</v>
      </c>
      <c r="E87" s="209">
        <v>37.290139709583002</v>
      </c>
      <c r="F87" s="210"/>
      <c r="G87" s="208">
        <v>5837152.4561476298</v>
      </c>
      <c r="H87" s="209">
        <v>34.568269953428903</v>
      </c>
      <c r="I87" s="206"/>
      <c r="J87" s="208">
        <v>5940072.8359937603</v>
      </c>
      <c r="K87" s="209">
        <v>42.1065398934835</v>
      </c>
    </row>
    <row r="88" spans="2:11" ht="15" customHeight="1">
      <c r="B88" s="115" t="s">
        <v>37</v>
      </c>
      <c r="C88" s="126"/>
      <c r="D88" s="208">
        <v>9038240.0458601695</v>
      </c>
      <c r="E88" s="209">
        <v>29.5170546193138</v>
      </c>
      <c r="F88" s="210"/>
      <c r="G88" s="208">
        <v>5451031.1287678499</v>
      </c>
      <c r="H88" s="209">
        <v>32.3847033646231</v>
      </c>
      <c r="I88" s="206"/>
      <c r="J88" s="208">
        <v>3786175.2153175198</v>
      </c>
      <c r="K88" s="209">
        <v>27.352033870594401</v>
      </c>
    </row>
    <row r="89" spans="2:11" ht="15" customHeight="1">
      <c r="B89" s="115" t="s">
        <v>38</v>
      </c>
      <c r="C89" s="126"/>
      <c r="D89" s="208">
        <v>11754647.772570601</v>
      </c>
      <c r="E89" s="209">
        <v>38.673631995124602</v>
      </c>
      <c r="F89" s="210"/>
      <c r="G89" s="208">
        <v>6615635.9229538497</v>
      </c>
      <c r="H89" s="209">
        <v>39.488056787700003</v>
      </c>
      <c r="I89" s="206"/>
      <c r="J89" s="208">
        <v>5392003.7624146203</v>
      </c>
      <c r="K89" s="209">
        <v>39.091509440168402</v>
      </c>
    </row>
    <row r="90" spans="2:11" ht="15" customHeight="1">
      <c r="B90" s="115" t="s">
        <v>65</v>
      </c>
      <c r="C90" s="126"/>
      <c r="D90" s="208">
        <v>226721.21789904</v>
      </c>
      <c r="E90" s="209">
        <v>0.75779845964537895</v>
      </c>
      <c r="F90" s="210"/>
      <c r="G90" s="208">
        <v>176133.88548781199</v>
      </c>
      <c r="H90" s="209">
        <v>1.0730626172197</v>
      </c>
      <c r="I90" s="206"/>
      <c r="J90" s="208">
        <v>65642.798474765805</v>
      </c>
      <c r="K90" s="209">
        <v>0.48701227721519402</v>
      </c>
    </row>
    <row r="91" spans="2:11" ht="6.95" customHeight="1">
      <c r="B91" s="127"/>
      <c r="C91" s="126"/>
      <c r="D91" s="213"/>
      <c r="E91" s="213"/>
      <c r="F91" s="221"/>
      <c r="G91" s="213"/>
      <c r="H91" s="213"/>
      <c r="I91" s="213"/>
      <c r="J91" s="213"/>
      <c r="K91" s="213"/>
    </row>
    <row r="92" spans="2:11" ht="30" customHeight="1">
      <c r="B92" s="171" t="s">
        <v>89</v>
      </c>
      <c r="C92" s="126"/>
      <c r="D92" s="202"/>
      <c r="E92" s="203"/>
      <c r="F92" s="204"/>
      <c r="G92" s="202"/>
      <c r="H92" s="203"/>
      <c r="I92" s="205"/>
      <c r="J92" s="202"/>
      <c r="K92" s="203"/>
    </row>
    <row r="93" spans="2:11" ht="6.95" customHeight="1">
      <c r="B93" s="171"/>
      <c r="C93" s="44"/>
      <c r="D93" s="208"/>
      <c r="E93" s="209"/>
      <c r="F93" s="210"/>
      <c r="G93" s="208"/>
      <c r="H93" s="209"/>
      <c r="I93" s="206"/>
      <c r="J93" s="208"/>
      <c r="K93" s="209"/>
    </row>
    <row r="94" spans="2:11" ht="15" customHeight="1">
      <c r="B94" s="115" t="s">
        <v>36</v>
      </c>
      <c r="C94" s="126"/>
      <c r="D94" s="208">
        <v>10296056.562438199</v>
      </c>
      <c r="E94" s="209">
        <v>33.254371711459697</v>
      </c>
      <c r="F94" s="210"/>
      <c r="G94" s="208">
        <v>5355494.9927101796</v>
      </c>
      <c r="H94" s="209">
        <v>31.693392779494999</v>
      </c>
      <c r="I94" s="206"/>
      <c r="J94" s="208">
        <v>5102424.6988498596</v>
      </c>
      <c r="K94" s="209">
        <v>36.458127557626099</v>
      </c>
    </row>
    <row r="95" spans="2:11" ht="15" customHeight="1">
      <c r="B95" s="115" t="s">
        <v>37</v>
      </c>
      <c r="C95" s="126"/>
      <c r="D95" s="208">
        <v>8091534.9999216702</v>
      </c>
      <c r="E95" s="209">
        <v>26.4097643940019</v>
      </c>
      <c r="F95" s="210"/>
      <c r="G95" s="208">
        <v>4863122.14097986</v>
      </c>
      <c r="H95" s="209">
        <v>29.027972425929001</v>
      </c>
      <c r="I95" s="206"/>
      <c r="J95" s="208">
        <v>3453981.1083551999</v>
      </c>
      <c r="K95" s="209">
        <v>24.9991827176752</v>
      </c>
    </row>
    <row r="96" spans="2:11" ht="15" customHeight="1">
      <c r="B96" s="115" t="s">
        <v>38</v>
      </c>
      <c r="C96" s="126"/>
      <c r="D96" s="208">
        <v>13983184.113879001</v>
      </c>
      <c r="E96" s="209">
        <v>45.623928066185996</v>
      </c>
      <c r="F96" s="210"/>
      <c r="G96" s="208">
        <v>7756739.6229173504</v>
      </c>
      <c r="H96" s="209">
        <v>46.088992898929902</v>
      </c>
      <c r="I96" s="206"/>
      <c r="J96" s="208">
        <v>6518223.5109642101</v>
      </c>
      <c r="K96" s="209">
        <v>46.752232461072801</v>
      </c>
    </row>
    <row r="97" spans="2:11" ht="15" customHeight="1">
      <c r="B97" s="115" t="s">
        <v>65</v>
      </c>
      <c r="C97" s="126"/>
      <c r="D97" s="208">
        <v>226763.075250441</v>
      </c>
      <c r="E97" s="209">
        <v>0.76240553423602597</v>
      </c>
      <c r="F97" s="210"/>
      <c r="G97" s="208">
        <v>111044.968356215</v>
      </c>
      <c r="H97" s="209">
        <v>0.68136423094940901</v>
      </c>
      <c r="I97" s="206"/>
      <c r="J97" s="208">
        <v>134678.978425715</v>
      </c>
      <c r="K97" s="209">
        <v>0.99325509195877304</v>
      </c>
    </row>
    <row r="98" spans="2:11" ht="6.95" customHeight="1">
      <c r="B98" s="129"/>
      <c r="C98" s="129"/>
      <c r="D98" s="216"/>
      <c r="E98" s="216"/>
      <c r="F98" s="222"/>
      <c r="G98" s="216"/>
      <c r="H98" s="216"/>
      <c r="I98" s="217"/>
      <c r="J98" s="216"/>
      <c r="K98" s="216"/>
    </row>
    <row r="99" spans="2:11" s="141" customFormat="1" ht="15" customHeight="1">
      <c r="B99" s="177" t="s">
        <v>1</v>
      </c>
      <c r="C99" s="44"/>
      <c r="D99" s="202">
        <v>58722602.216376103</v>
      </c>
      <c r="E99" s="203">
        <v>100</v>
      </c>
      <c r="F99" s="204"/>
      <c r="G99" s="202">
        <v>31539784.224373799</v>
      </c>
      <c r="H99" s="203">
        <v>100</v>
      </c>
      <c r="I99" s="205"/>
      <c r="J99" s="202">
        <v>27745562.505176</v>
      </c>
      <c r="K99" s="203">
        <v>100</v>
      </c>
    </row>
    <row r="100" spans="2:11" ht="6.95" customHeight="1">
      <c r="B100" s="125"/>
      <c r="C100" s="44"/>
      <c r="D100" s="208"/>
      <c r="E100" s="209"/>
      <c r="F100" s="204"/>
      <c r="G100" s="208"/>
      <c r="H100" s="209"/>
      <c r="I100" s="205"/>
      <c r="J100" s="208"/>
      <c r="K100" s="209"/>
    </row>
    <row r="101" spans="2:11" ht="30" customHeight="1">
      <c r="B101" s="171" t="s">
        <v>97</v>
      </c>
      <c r="C101" s="44"/>
      <c r="D101" s="202"/>
      <c r="E101" s="203"/>
      <c r="F101" s="204"/>
      <c r="G101" s="202"/>
      <c r="H101" s="203"/>
      <c r="I101" s="205"/>
      <c r="J101" s="202"/>
      <c r="K101" s="203"/>
    </row>
    <row r="102" spans="2:11" ht="6.95" customHeight="1">
      <c r="B102" s="171"/>
      <c r="C102" s="44"/>
      <c r="D102" s="208"/>
      <c r="E102" s="209"/>
      <c r="F102" s="210"/>
      <c r="G102" s="208"/>
      <c r="H102" s="209"/>
      <c r="I102" s="206"/>
      <c r="J102" s="208"/>
      <c r="K102" s="209"/>
    </row>
    <row r="103" spans="2:11" ht="15" customHeight="1">
      <c r="B103" s="115" t="s">
        <v>36</v>
      </c>
      <c r="C103" s="44"/>
      <c r="D103" s="208">
        <v>22602392.811971799</v>
      </c>
      <c r="E103" s="209">
        <v>39.196716981088699</v>
      </c>
      <c r="F103" s="210"/>
      <c r="G103" s="208">
        <v>11711619.465151399</v>
      </c>
      <c r="H103" s="209">
        <v>37.9873721188169</v>
      </c>
      <c r="I103" s="206"/>
      <c r="J103" s="208">
        <v>11277488.898910901</v>
      </c>
      <c r="K103" s="209">
        <v>41.741711180920902</v>
      </c>
    </row>
    <row r="104" spans="2:11" ht="15" customHeight="1">
      <c r="B104" s="115" t="s">
        <v>37</v>
      </c>
      <c r="C104" s="126"/>
      <c r="D104" s="208">
        <v>14850485.4462569</v>
      </c>
      <c r="E104" s="209">
        <v>25.9606982472082</v>
      </c>
      <c r="F104" s="210"/>
      <c r="G104" s="208">
        <v>7581848.51790669</v>
      </c>
      <c r="H104" s="209">
        <v>24.844650829287801</v>
      </c>
      <c r="I104" s="206"/>
      <c r="J104" s="208">
        <v>7577104.8342604898</v>
      </c>
      <c r="K104" s="209">
        <v>28.1487885845218</v>
      </c>
    </row>
    <row r="105" spans="2:11" ht="15" customHeight="1">
      <c r="B105" s="115" t="s">
        <v>38</v>
      </c>
      <c r="C105" s="126"/>
      <c r="D105" s="208">
        <v>22010317.115248099</v>
      </c>
      <c r="E105" s="209">
        <v>38.245547881500499</v>
      </c>
      <c r="F105" s="210"/>
      <c r="G105" s="208">
        <v>12783821.2676013</v>
      </c>
      <c r="H105" s="209">
        <v>41.772170864367403</v>
      </c>
      <c r="I105" s="206"/>
      <c r="J105" s="208">
        <v>9572834.5099785309</v>
      </c>
      <c r="K105" s="209">
        <v>35.543477596214899</v>
      </c>
    </row>
    <row r="106" spans="2:11" ht="15" customHeight="1">
      <c r="B106" s="115" t="s">
        <v>65</v>
      </c>
      <c r="C106" s="126"/>
      <c r="D106" s="208">
        <v>250142.817603381</v>
      </c>
      <c r="E106" s="209">
        <v>0.44106229776459099</v>
      </c>
      <c r="F106" s="210"/>
      <c r="G106" s="208">
        <v>175828.52736435301</v>
      </c>
      <c r="H106" s="209">
        <v>0.58372028590814595</v>
      </c>
      <c r="I106" s="206"/>
      <c r="J106" s="208">
        <v>100463.25167104699</v>
      </c>
      <c r="K106" s="209">
        <v>0.37761182955392297</v>
      </c>
    </row>
    <row r="107" spans="2:11" ht="6.95" customHeight="1">
      <c r="B107" s="127"/>
      <c r="C107" s="126"/>
      <c r="D107" s="213"/>
      <c r="E107" s="213"/>
      <c r="F107" s="221"/>
      <c r="G107" s="213"/>
      <c r="H107" s="213"/>
      <c r="I107" s="213"/>
      <c r="J107" s="213"/>
      <c r="K107" s="213"/>
    </row>
    <row r="108" spans="2:11" ht="15" customHeight="1">
      <c r="B108" s="171" t="s">
        <v>12</v>
      </c>
      <c r="C108" s="128"/>
      <c r="D108" s="202"/>
      <c r="E108" s="203"/>
      <c r="F108" s="204"/>
      <c r="G108" s="202"/>
      <c r="H108" s="203"/>
      <c r="I108" s="205"/>
      <c r="J108" s="202"/>
      <c r="K108" s="203"/>
    </row>
    <row r="109" spans="2:11" ht="6.95" customHeight="1">
      <c r="B109" s="171"/>
      <c r="C109" s="44"/>
      <c r="D109" s="208"/>
      <c r="E109" s="209"/>
      <c r="F109" s="210"/>
      <c r="G109" s="208"/>
      <c r="H109" s="209"/>
      <c r="I109" s="206"/>
      <c r="J109" s="208"/>
      <c r="K109" s="209"/>
    </row>
    <row r="110" spans="2:11" ht="15" customHeight="1">
      <c r="B110" s="115" t="s">
        <v>36</v>
      </c>
      <c r="C110" s="126"/>
      <c r="D110" s="208">
        <v>25390396.270762201</v>
      </c>
      <c r="E110" s="209">
        <v>44.137060460551098</v>
      </c>
      <c r="F110" s="210"/>
      <c r="G110" s="208">
        <v>13032459.693213301</v>
      </c>
      <c r="H110" s="209">
        <v>42.329692986262899</v>
      </c>
      <c r="I110" s="206"/>
      <c r="J110" s="208">
        <v>12776910.046381401</v>
      </c>
      <c r="K110" s="209">
        <v>47.229453269933899</v>
      </c>
    </row>
    <row r="111" spans="2:11" ht="15" customHeight="1">
      <c r="B111" s="115" t="s">
        <v>37</v>
      </c>
      <c r="C111" s="126"/>
      <c r="D111" s="208">
        <v>19771605.985520098</v>
      </c>
      <c r="E111" s="209">
        <v>34.4234650956219</v>
      </c>
      <c r="F111" s="210"/>
      <c r="G111" s="208">
        <v>10965246.209741799</v>
      </c>
      <c r="H111" s="209">
        <v>35.868990836558602</v>
      </c>
      <c r="I111" s="206"/>
      <c r="J111" s="208">
        <v>9132654.50101915</v>
      </c>
      <c r="K111" s="209">
        <v>33.831042764519601</v>
      </c>
    </row>
    <row r="112" spans="2:11" ht="15" customHeight="1">
      <c r="B112" s="115" t="s">
        <v>38</v>
      </c>
      <c r="C112" s="126"/>
      <c r="D112" s="208">
        <v>14481567.734905699</v>
      </c>
      <c r="E112" s="209">
        <v>25.2200048843223</v>
      </c>
      <c r="F112" s="210"/>
      <c r="G112" s="208">
        <v>8193104.8549320698</v>
      </c>
      <c r="H112" s="209">
        <v>26.800443523210699</v>
      </c>
      <c r="I112" s="206"/>
      <c r="J112" s="208">
        <v>6551190.8466097601</v>
      </c>
      <c r="K112" s="209">
        <v>24.442633322952702</v>
      </c>
    </row>
    <row r="113" spans="2:11" ht="15" customHeight="1">
      <c r="B113" s="115" t="s">
        <v>65</v>
      </c>
      <c r="C113" s="126"/>
      <c r="D113" s="208">
        <v>87417.801513168102</v>
      </c>
      <c r="E113" s="209">
        <v>0.15418409685474199</v>
      </c>
      <c r="F113" s="210"/>
      <c r="G113" s="208">
        <v>58945.072938418001</v>
      </c>
      <c r="H113" s="209">
        <v>0.195534196988009</v>
      </c>
      <c r="I113" s="206"/>
      <c r="J113" s="208">
        <v>40078.726217902004</v>
      </c>
      <c r="K113" s="209">
        <v>0.15083367954837901</v>
      </c>
    </row>
    <row r="114" spans="2:11" ht="6.95" customHeight="1">
      <c r="B114" s="127"/>
      <c r="C114" s="126"/>
      <c r="D114" s="216"/>
      <c r="E114" s="216"/>
      <c r="F114" s="222"/>
      <c r="G114" s="216"/>
      <c r="H114" s="216"/>
      <c r="I114" s="217"/>
      <c r="J114" s="216"/>
      <c r="K114" s="216"/>
    </row>
    <row r="115" spans="2:11" ht="30" customHeight="1">
      <c r="B115" s="171" t="s">
        <v>99</v>
      </c>
      <c r="C115" s="126"/>
      <c r="D115" s="202"/>
      <c r="E115" s="203"/>
      <c r="F115" s="204"/>
      <c r="G115" s="202"/>
      <c r="H115" s="203"/>
      <c r="I115" s="205"/>
      <c r="J115" s="202"/>
      <c r="K115" s="203"/>
    </row>
    <row r="116" spans="2:11" ht="6.95" customHeight="1">
      <c r="B116" s="171"/>
      <c r="C116" s="44"/>
      <c r="D116" s="208"/>
      <c r="E116" s="209"/>
      <c r="F116" s="210"/>
      <c r="G116" s="208"/>
      <c r="H116" s="209"/>
      <c r="I116" s="206"/>
      <c r="J116" s="208"/>
      <c r="K116" s="209"/>
    </row>
    <row r="117" spans="2:11" ht="15" customHeight="1">
      <c r="B117" s="115" t="s">
        <v>36</v>
      </c>
      <c r="C117" s="126"/>
      <c r="D117" s="208">
        <v>29014267.911077</v>
      </c>
      <c r="E117" s="209">
        <v>50.316905511339897</v>
      </c>
      <c r="F117" s="210"/>
      <c r="G117" s="208">
        <v>15946441.349303</v>
      </c>
      <c r="H117" s="209">
        <v>51.7520568357832</v>
      </c>
      <c r="I117" s="206"/>
      <c r="J117" s="208">
        <v>13475732.4295137</v>
      </c>
      <c r="K117" s="209">
        <v>49.816592651407802</v>
      </c>
    </row>
    <row r="118" spans="2:11" ht="15" customHeight="1">
      <c r="B118" s="115" t="s">
        <v>37</v>
      </c>
      <c r="C118" s="126"/>
      <c r="D118" s="208">
        <v>15992648.318443</v>
      </c>
      <c r="E118" s="209">
        <v>27.943042723377701</v>
      </c>
      <c r="F118" s="210"/>
      <c r="G118" s="208">
        <v>8892193.5840643905</v>
      </c>
      <c r="H118" s="209">
        <v>29.1665749165346</v>
      </c>
      <c r="I118" s="206"/>
      <c r="J118" s="208">
        <v>7400776.68273733</v>
      </c>
      <c r="K118" s="209">
        <v>27.5826174647292</v>
      </c>
    </row>
    <row r="119" spans="2:11" ht="15" customHeight="1">
      <c r="B119" s="115" t="s">
        <v>38</v>
      </c>
      <c r="C119" s="126"/>
      <c r="D119" s="208">
        <v>14493857.327473899</v>
      </c>
      <c r="E119" s="209">
        <v>25.2755429767872</v>
      </c>
      <c r="F119" s="210"/>
      <c r="G119" s="208">
        <v>7347137.9205827201</v>
      </c>
      <c r="H119" s="209">
        <v>24.0683112850698</v>
      </c>
      <c r="I119" s="206"/>
      <c r="J119" s="208">
        <v>7420638.3988863304</v>
      </c>
      <c r="K119" s="209">
        <v>27.507922505468901</v>
      </c>
    </row>
    <row r="120" spans="2:11" ht="15" customHeight="1">
      <c r="B120" s="115" t="s">
        <v>65</v>
      </c>
      <c r="C120" s="126"/>
      <c r="D120" s="208">
        <v>370044.88109830802</v>
      </c>
      <c r="E120" s="209">
        <v>0.65093729496353103</v>
      </c>
      <c r="F120" s="210"/>
      <c r="G120" s="208">
        <v>152574.19879229501</v>
      </c>
      <c r="H120" s="209">
        <v>0.50633365278748799</v>
      </c>
      <c r="I120" s="206"/>
      <c r="J120" s="208">
        <v>250689.725626514</v>
      </c>
      <c r="K120" s="209">
        <v>0.94064893118285997</v>
      </c>
    </row>
    <row r="121" spans="2:11" ht="6.95" customHeight="1">
      <c r="B121" s="127"/>
      <c r="C121" s="126"/>
      <c r="D121" s="216"/>
      <c r="E121" s="216"/>
      <c r="F121" s="222"/>
      <c r="G121" s="216"/>
      <c r="H121" s="216"/>
      <c r="I121" s="217"/>
      <c r="J121" s="216"/>
      <c r="K121" s="216"/>
    </row>
    <row r="122" spans="2:11" ht="30" customHeight="1">
      <c r="B122" s="171" t="s">
        <v>100</v>
      </c>
      <c r="C122" s="126"/>
      <c r="D122" s="202"/>
      <c r="E122" s="203"/>
      <c r="F122" s="204"/>
      <c r="G122" s="202"/>
      <c r="H122" s="203"/>
      <c r="I122" s="205"/>
      <c r="J122" s="202"/>
      <c r="K122" s="203"/>
    </row>
    <row r="123" spans="2:11" ht="6.95" customHeight="1">
      <c r="B123" s="171"/>
      <c r="C123" s="44"/>
      <c r="D123" s="208"/>
      <c r="E123" s="209"/>
      <c r="F123" s="210"/>
      <c r="G123" s="208"/>
      <c r="H123" s="209"/>
      <c r="I123" s="206"/>
      <c r="J123" s="208"/>
      <c r="K123" s="209"/>
    </row>
    <row r="124" spans="2:11" ht="15" customHeight="1">
      <c r="B124" s="115" t="s">
        <v>36</v>
      </c>
      <c r="C124" s="126"/>
      <c r="D124" s="208">
        <v>25114329.1198093</v>
      </c>
      <c r="E124" s="209">
        <v>43.665367607888498</v>
      </c>
      <c r="F124" s="210"/>
      <c r="G124" s="208">
        <v>12940836.778612901</v>
      </c>
      <c r="H124" s="209">
        <v>42.033560706430002</v>
      </c>
      <c r="I124" s="206"/>
      <c r="J124" s="208">
        <v>12569488.671348499</v>
      </c>
      <c r="K124" s="209">
        <v>46.674541273668197</v>
      </c>
    </row>
    <row r="125" spans="2:11" ht="15" customHeight="1">
      <c r="B125" s="115" t="s">
        <v>37</v>
      </c>
      <c r="C125" s="126"/>
      <c r="D125" s="208">
        <v>19347351.675793301</v>
      </c>
      <c r="E125" s="209">
        <v>33.635810759787802</v>
      </c>
      <c r="F125" s="210"/>
      <c r="G125" s="208">
        <v>10246395.3814443</v>
      </c>
      <c r="H125" s="209">
        <v>33.462122214871599</v>
      </c>
      <c r="I125" s="206"/>
      <c r="J125" s="208">
        <v>9465347.4291299209</v>
      </c>
      <c r="K125" s="209">
        <v>35.069706022658004</v>
      </c>
    </row>
    <row r="126" spans="2:11" ht="15" customHeight="1">
      <c r="B126" s="115" t="s">
        <v>38</v>
      </c>
      <c r="C126" s="126"/>
      <c r="D126" s="208">
        <v>14935660.2113983</v>
      </c>
      <c r="E126" s="209">
        <v>26.020386177806301</v>
      </c>
      <c r="F126" s="210"/>
      <c r="G126" s="208">
        <v>8861279.3295363691</v>
      </c>
      <c r="H126" s="209">
        <v>29.013108061576901</v>
      </c>
      <c r="I126" s="206"/>
      <c r="J126" s="208">
        <v>6359902.1750282403</v>
      </c>
      <c r="K126" s="209">
        <v>23.602362444745602</v>
      </c>
    </row>
    <row r="127" spans="2:11" ht="15" customHeight="1">
      <c r="B127" s="115" t="s">
        <v>65</v>
      </c>
      <c r="C127" s="126"/>
      <c r="D127" s="208">
        <v>357612.80013826699</v>
      </c>
      <c r="E127" s="209">
        <v>0.63038975170933698</v>
      </c>
      <c r="F127" s="210"/>
      <c r="G127" s="208">
        <v>242422.29909566301</v>
      </c>
      <c r="H127" s="209">
        <v>0.80362107495420299</v>
      </c>
      <c r="I127" s="206"/>
      <c r="J127" s="208">
        <v>152779.87448201899</v>
      </c>
      <c r="K127" s="209">
        <v>0.57394736586652495</v>
      </c>
    </row>
    <row r="128" spans="2:11" ht="6.95" customHeight="1">
      <c r="B128" s="127"/>
      <c r="C128" s="126"/>
      <c r="D128" s="213"/>
      <c r="E128" s="213"/>
      <c r="F128" s="221"/>
      <c r="G128" s="213"/>
      <c r="H128" s="213"/>
      <c r="I128" s="213"/>
      <c r="J128" s="213"/>
      <c r="K128" s="213"/>
    </row>
    <row r="129" spans="2:11" ht="30" customHeight="1">
      <c r="B129" s="171" t="s">
        <v>98</v>
      </c>
      <c r="C129" s="126"/>
      <c r="D129" s="202"/>
      <c r="E129" s="203"/>
      <c r="F129" s="204"/>
      <c r="G129" s="202"/>
      <c r="H129" s="203"/>
      <c r="I129" s="205"/>
      <c r="J129" s="202"/>
      <c r="K129" s="203"/>
    </row>
    <row r="130" spans="2:11" ht="6.95" customHeight="1">
      <c r="B130" s="171"/>
      <c r="C130" s="44"/>
      <c r="D130" s="208"/>
      <c r="E130" s="209"/>
      <c r="F130" s="210"/>
      <c r="G130" s="208"/>
      <c r="H130" s="209"/>
      <c r="I130" s="206"/>
      <c r="J130" s="208"/>
      <c r="K130" s="209"/>
    </row>
    <row r="131" spans="2:11" ht="15" customHeight="1">
      <c r="B131" s="115" t="s">
        <v>36</v>
      </c>
      <c r="C131" s="126"/>
      <c r="D131" s="208">
        <v>27561270.160984501</v>
      </c>
      <c r="E131" s="209">
        <v>47.835196775046597</v>
      </c>
      <c r="F131" s="210"/>
      <c r="G131" s="208">
        <v>13580806.689174499</v>
      </c>
      <c r="H131" s="209">
        <v>44.1643956630368</v>
      </c>
      <c r="I131" s="206"/>
      <c r="J131" s="208">
        <v>14358717.294947499</v>
      </c>
      <c r="K131" s="209">
        <v>53.080922255158399</v>
      </c>
    </row>
    <row r="132" spans="2:11" ht="15" customHeight="1">
      <c r="B132" s="115" t="s">
        <v>37</v>
      </c>
      <c r="C132" s="126"/>
      <c r="D132" s="208">
        <v>17550202.805564199</v>
      </c>
      <c r="E132" s="209">
        <v>30.5859775938052</v>
      </c>
      <c r="F132" s="210"/>
      <c r="G132" s="208">
        <v>9659265.5043606106</v>
      </c>
      <c r="H132" s="209">
        <v>31.4982741993263</v>
      </c>
      <c r="I132" s="206"/>
      <c r="J132" s="208">
        <v>8200387.7893072199</v>
      </c>
      <c r="K132" s="209">
        <v>30.4990747211544</v>
      </c>
    </row>
    <row r="133" spans="2:11" ht="15" customHeight="1">
      <c r="B133" s="115" t="s">
        <v>38</v>
      </c>
      <c r="C133" s="126"/>
      <c r="D133" s="208">
        <v>14549239.074207701</v>
      </c>
      <c r="E133" s="209">
        <v>25.377548332321201</v>
      </c>
      <c r="F133" s="210"/>
      <c r="G133" s="208">
        <v>9000221.1347342208</v>
      </c>
      <c r="H133" s="209">
        <v>29.545717944812001</v>
      </c>
      <c r="I133" s="206"/>
      <c r="J133" s="208">
        <v>5853362.8185023004</v>
      </c>
      <c r="K133" s="209">
        <v>21.715535750221399</v>
      </c>
    </row>
    <row r="134" spans="2:11" ht="15" customHeight="1">
      <c r="B134" s="115" t="s">
        <v>65</v>
      </c>
      <c r="C134" s="126"/>
      <c r="D134" s="208">
        <v>111394.32605238</v>
      </c>
      <c r="E134" s="209">
        <v>0.19638116804243499</v>
      </c>
      <c r="F134" s="210"/>
      <c r="G134" s="208">
        <v>73612.615005095606</v>
      </c>
      <c r="H134" s="209">
        <v>0.244122997686265</v>
      </c>
      <c r="I134" s="206"/>
      <c r="J134" s="208">
        <v>49930.594472780402</v>
      </c>
      <c r="K134" s="209">
        <v>0.18794550132434801</v>
      </c>
    </row>
    <row r="135" spans="2:11" ht="6.95" customHeight="1">
      <c r="B135" s="127"/>
      <c r="C135" s="126"/>
      <c r="D135" s="213"/>
      <c r="E135" s="213"/>
      <c r="F135" s="221"/>
      <c r="G135" s="213"/>
      <c r="H135" s="213"/>
      <c r="I135" s="213"/>
      <c r="J135" s="213"/>
      <c r="K135" s="213"/>
    </row>
    <row r="136" spans="2:11" ht="30" customHeight="1">
      <c r="B136" s="171" t="s">
        <v>89</v>
      </c>
      <c r="C136" s="126"/>
      <c r="D136" s="202"/>
      <c r="E136" s="203"/>
      <c r="F136" s="204"/>
      <c r="G136" s="202"/>
      <c r="H136" s="203"/>
      <c r="I136" s="205"/>
      <c r="J136" s="202"/>
      <c r="K136" s="203"/>
    </row>
    <row r="137" spans="2:11" ht="6.95" customHeight="1">
      <c r="B137" s="171"/>
      <c r="C137" s="44"/>
      <c r="D137" s="208"/>
      <c r="E137" s="209"/>
      <c r="F137" s="210"/>
      <c r="G137" s="208"/>
      <c r="H137" s="209"/>
      <c r="I137" s="206"/>
      <c r="J137" s="208"/>
      <c r="K137" s="209"/>
    </row>
    <row r="138" spans="2:11" ht="15" customHeight="1">
      <c r="B138" s="115" t="s">
        <v>36</v>
      </c>
      <c r="C138" s="126"/>
      <c r="D138" s="208">
        <v>22676031.408548299</v>
      </c>
      <c r="E138" s="209">
        <v>39.468838508496297</v>
      </c>
      <c r="F138" s="210"/>
      <c r="G138" s="208">
        <v>11775258.9488886</v>
      </c>
      <c r="H138" s="209">
        <v>38.299928475295303</v>
      </c>
      <c r="I138" s="206"/>
      <c r="J138" s="208">
        <v>11258703.4745255</v>
      </c>
      <c r="K138" s="209">
        <v>41.8267507110398</v>
      </c>
    </row>
    <row r="139" spans="2:11" ht="15" customHeight="1">
      <c r="B139" s="115" t="s">
        <v>37</v>
      </c>
      <c r="C139" s="126"/>
      <c r="D139" s="208">
        <v>18122266.707430702</v>
      </c>
      <c r="E139" s="209">
        <v>31.570195921766601</v>
      </c>
      <c r="F139" s="210"/>
      <c r="G139" s="208">
        <v>9645997.1142455097</v>
      </c>
      <c r="H139" s="209">
        <v>31.484443168351401</v>
      </c>
      <c r="I139" s="206"/>
      <c r="J139" s="208">
        <v>8779871.06951309</v>
      </c>
      <c r="K139" s="209">
        <v>32.637274163179498</v>
      </c>
    </row>
    <row r="140" spans="2:11" ht="15" customHeight="1">
      <c r="B140" s="115" t="s">
        <v>38</v>
      </c>
      <c r="C140" s="126"/>
      <c r="D140" s="208">
        <v>18920143.779803101</v>
      </c>
      <c r="E140" s="209">
        <v>32.933366746291497</v>
      </c>
      <c r="F140" s="210"/>
      <c r="G140" s="208">
        <v>10807931.1356737</v>
      </c>
      <c r="H140" s="209">
        <v>35.417739621720102</v>
      </c>
      <c r="I140" s="206"/>
      <c r="J140" s="208">
        <v>8430300.6578555703</v>
      </c>
      <c r="K140" s="209">
        <v>31.158673113125801</v>
      </c>
    </row>
    <row r="141" spans="2:11" ht="15" customHeight="1">
      <c r="B141" s="115" t="s">
        <v>65</v>
      </c>
      <c r="C141" s="126"/>
      <c r="D141" s="208">
        <v>104712.771158637</v>
      </c>
      <c r="E141" s="209">
        <v>0.184678942301396</v>
      </c>
      <c r="F141" s="210"/>
      <c r="G141" s="208">
        <v>77850.160443735804</v>
      </c>
      <c r="H141" s="209">
        <v>0.25840317046831701</v>
      </c>
      <c r="I141" s="206"/>
      <c r="J141" s="208">
        <v>38278.6817141438</v>
      </c>
      <c r="K141" s="209">
        <v>0.144055945033566</v>
      </c>
    </row>
    <row r="142" spans="2:11" ht="6.95" customHeight="1">
      <c r="B142" s="12"/>
      <c r="C142" s="12"/>
      <c r="D142" s="159"/>
      <c r="E142" s="68"/>
      <c r="F142" s="45"/>
      <c r="G142" s="159"/>
      <c r="H142" s="68"/>
      <c r="I142" s="68"/>
      <c r="J142" s="161"/>
      <c r="K142" s="68"/>
    </row>
    <row r="143" spans="2:11" ht="6.95" customHeight="1">
      <c r="B143" s="66"/>
      <c r="C143" s="66"/>
      <c r="D143" s="160"/>
      <c r="E143" s="67"/>
      <c r="F143" s="67"/>
      <c r="G143" s="160"/>
    </row>
    <row r="144" spans="2:11" customFormat="1" ht="12" customHeight="1">
      <c r="B144" s="247" t="s">
        <v>77</v>
      </c>
      <c r="C144" s="247"/>
      <c r="D144" s="247"/>
      <c r="E144" s="247"/>
      <c r="F144" s="247"/>
      <c r="G144" s="247"/>
      <c r="J144" s="152"/>
    </row>
  </sheetData>
  <mergeCells count="6">
    <mergeCell ref="B144:G144"/>
    <mergeCell ref="B7:B9"/>
    <mergeCell ref="D7:E8"/>
    <mergeCell ref="G7:K7"/>
    <mergeCell ref="G8:H8"/>
    <mergeCell ref="J8:K8"/>
  </mergeCells>
  <hyperlinks>
    <hyperlink ref="K1" location="ÍNDICE!A1" tooltip="Ir a ÍNDICE" display="ÍNDICE" xr:uid="{B762DF15-3575-4A70-AB9E-E245BB294A85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FF34-E015-43DD-9000-ED4AF1A127A3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117</v>
      </c>
      <c r="C5" s="104"/>
      <c r="D5" s="104"/>
      <c r="E5" s="104"/>
      <c r="F5" s="104"/>
      <c r="G5" s="104"/>
      <c r="H5" s="97"/>
      <c r="J5" s="155"/>
      <c r="K5" s="99" t="s">
        <v>25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11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25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</row>
    <row r="12" spans="2:17" ht="6.95" customHeight="1">
      <c r="B12" s="18"/>
      <c r="C12" s="25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3" t="s">
        <v>42</v>
      </c>
      <c r="C13" s="29"/>
      <c r="D13" s="208">
        <v>53367661.056413397</v>
      </c>
      <c r="E13" s="209">
        <v>61.090233110805201</v>
      </c>
      <c r="F13" s="210"/>
      <c r="G13" s="208">
        <v>27204351.464938201</v>
      </c>
      <c r="H13" s="209">
        <v>57.655739510581398</v>
      </c>
      <c r="I13" s="206"/>
      <c r="J13" s="208">
        <v>26773930.1239135</v>
      </c>
      <c r="K13" s="209">
        <v>65.829031107204699</v>
      </c>
    </row>
    <row r="14" spans="2:17" ht="15" customHeight="1">
      <c r="B14" s="83" t="s">
        <v>43</v>
      </c>
      <c r="C14" s="28"/>
      <c r="D14" s="208">
        <v>35838065.4655504</v>
      </c>
      <c r="E14" s="209">
        <v>41.258960069858901</v>
      </c>
      <c r="F14" s="210"/>
      <c r="G14" s="208">
        <v>21150630.7682999</v>
      </c>
      <c r="H14" s="209">
        <v>45.202388200227901</v>
      </c>
      <c r="I14" s="206"/>
      <c r="J14" s="208">
        <v>15148815.1476788</v>
      </c>
      <c r="K14" s="209">
        <v>37.451293543315003</v>
      </c>
    </row>
    <row r="15" spans="2:17" ht="6.95" customHeight="1">
      <c r="B15" s="23"/>
      <c r="C15" s="30"/>
      <c r="D15" s="206"/>
      <c r="E15" s="206"/>
      <c r="F15" s="220"/>
      <c r="G15" s="206"/>
      <c r="H15" s="206"/>
      <c r="I15" s="206"/>
      <c r="J15" s="206"/>
      <c r="K15" s="206"/>
    </row>
    <row r="16" spans="2:17" ht="15" customHeight="1">
      <c r="B16" s="18" t="s">
        <v>0</v>
      </c>
      <c r="C16" s="28"/>
      <c r="D16" s="202">
        <v>31876327.629939102</v>
      </c>
      <c r="E16" s="203">
        <v>100</v>
      </c>
      <c r="F16" s="204"/>
      <c r="G16" s="202">
        <v>17557347.996399298</v>
      </c>
      <c r="H16" s="203">
        <v>100</v>
      </c>
      <c r="I16" s="205"/>
      <c r="J16" s="202">
        <v>14624214.675651999</v>
      </c>
      <c r="K16" s="203">
        <v>100</v>
      </c>
    </row>
    <row r="17" spans="2:11" ht="6.95" customHeight="1">
      <c r="B17" s="18"/>
      <c r="C17" s="28"/>
      <c r="D17" s="208"/>
      <c r="E17" s="209"/>
      <c r="F17" s="210"/>
      <c r="G17" s="208"/>
      <c r="H17" s="209"/>
      <c r="I17" s="206"/>
      <c r="J17" s="208"/>
      <c r="K17" s="209"/>
    </row>
    <row r="18" spans="2:11" ht="15" customHeight="1">
      <c r="B18" s="83" t="s">
        <v>42</v>
      </c>
      <c r="C18" s="28"/>
      <c r="D18" s="208">
        <v>18214544.286823899</v>
      </c>
      <c r="E18" s="209">
        <v>58.323415145367598</v>
      </c>
      <c r="F18" s="210"/>
      <c r="G18" s="208">
        <v>9593613.0157196503</v>
      </c>
      <c r="H18" s="209">
        <v>55.978903739922302</v>
      </c>
      <c r="I18" s="206"/>
      <c r="J18" s="208">
        <v>8886367.6973369997</v>
      </c>
      <c r="K18" s="209">
        <v>62.4684534016002</v>
      </c>
    </row>
    <row r="19" spans="2:11" ht="15" customHeight="1">
      <c r="B19" s="83" t="s">
        <v>43</v>
      </c>
      <c r="C19" s="28"/>
      <c r="D19" s="208">
        <v>14037629.641778801</v>
      </c>
      <c r="E19" s="209">
        <v>45.958776734618098</v>
      </c>
      <c r="F19" s="210"/>
      <c r="G19" s="208">
        <v>8225299.3564617299</v>
      </c>
      <c r="H19" s="209">
        <v>49.218261808673702</v>
      </c>
      <c r="I19" s="206"/>
      <c r="J19" s="208">
        <v>6002465.5781854903</v>
      </c>
      <c r="K19" s="209">
        <v>43.338522940366403</v>
      </c>
    </row>
    <row r="20" spans="2:11" ht="6.95" customHeight="1">
      <c r="B20" s="21"/>
      <c r="C20" s="31"/>
      <c r="D20" s="206"/>
      <c r="E20" s="206"/>
      <c r="F20" s="220"/>
      <c r="G20" s="206"/>
      <c r="H20" s="206"/>
      <c r="I20" s="206"/>
      <c r="J20" s="206"/>
      <c r="K20" s="206"/>
    </row>
    <row r="21" spans="2:11" ht="15" customHeight="1">
      <c r="B21" s="18" t="s">
        <v>1</v>
      </c>
      <c r="C21" s="28"/>
      <c r="D21" s="202">
        <v>58722602.216376103</v>
      </c>
      <c r="E21" s="203">
        <v>100</v>
      </c>
      <c r="F21" s="204"/>
      <c r="G21" s="202">
        <v>31539784.224373799</v>
      </c>
      <c r="H21" s="203">
        <v>100</v>
      </c>
      <c r="I21" s="205"/>
      <c r="J21" s="202">
        <v>27745562.505176</v>
      </c>
      <c r="K21" s="203">
        <v>100</v>
      </c>
    </row>
    <row r="22" spans="2:11" ht="6.95" customHeight="1">
      <c r="B22" s="18"/>
      <c r="C22" s="28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3" t="s">
        <v>42</v>
      </c>
      <c r="C23" s="28"/>
      <c r="D23" s="208">
        <v>36587083.416813903</v>
      </c>
      <c r="E23" s="209">
        <v>63.337799587584399</v>
      </c>
      <c r="F23" s="210"/>
      <c r="G23" s="208">
        <v>18402220.649264101</v>
      </c>
      <c r="H23" s="209">
        <v>59.533272230486503</v>
      </c>
      <c r="I23" s="206"/>
      <c r="J23" s="208">
        <v>18604514.193291701</v>
      </c>
      <c r="K23" s="209">
        <v>68.586002291155793</v>
      </c>
    </row>
    <row r="24" spans="2:11" ht="15" customHeight="1">
      <c r="B24" s="83" t="s">
        <v>43</v>
      </c>
      <c r="C24" s="28"/>
      <c r="D24" s="208">
        <v>22745995.093053699</v>
      </c>
      <c r="E24" s="209">
        <v>39.570983001376099</v>
      </c>
      <c r="F24" s="210"/>
      <c r="G24" s="208">
        <v>13501120.720623299</v>
      </c>
      <c r="H24" s="209">
        <v>43.990963829861997</v>
      </c>
      <c r="I24" s="206"/>
      <c r="J24" s="208">
        <v>9582754.9798907097</v>
      </c>
      <c r="K24" s="209">
        <v>35.496709733456598</v>
      </c>
    </row>
    <row r="25" spans="2:11" ht="6.95" customHeight="1">
      <c r="B25" s="16"/>
      <c r="C25" s="16"/>
      <c r="D25" s="153"/>
      <c r="E25" s="42"/>
      <c r="F25" s="17"/>
      <c r="G25" s="153"/>
      <c r="H25" s="42"/>
      <c r="I25" s="42"/>
      <c r="J25" s="153"/>
      <c r="K25" s="42"/>
    </row>
    <row r="26" spans="2:11" ht="6.95" customHeight="1">
      <c r="B26" s="13"/>
      <c r="C26" s="13"/>
      <c r="E26" s="59"/>
      <c r="F26" s="59"/>
    </row>
    <row r="27" spans="2:11" ht="12" customHeight="1">
      <c r="B27" s="247" t="s">
        <v>77</v>
      </c>
      <c r="C27" s="247"/>
      <c r="D27" s="247"/>
      <c r="E27" s="247"/>
      <c r="F27" s="247"/>
      <c r="G27" s="247"/>
    </row>
    <row r="28" spans="2:11" ht="6.95" customHeight="1"/>
    <row r="52" ht="6.95" customHeight="1"/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A2A64132-E545-4EC9-B5EC-E0E6564854F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21AD-08F7-4868-A028-E9C0F03632D1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50" customFormat="1" ht="30" customHeight="1">
      <c r="B5" s="255" t="s">
        <v>124</v>
      </c>
      <c r="C5" s="255"/>
      <c r="D5" s="255"/>
      <c r="E5" s="255"/>
      <c r="F5" s="255"/>
      <c r="G5" s="255"/>
      <c r="H5" s="52"/>
      <c r="J5" s="154"/>
      <c r="K5" s="148" t="s">
        <v>26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20.100000000000001" customHeight="1">
      <c r="B7" s="248" t="s">
        <v>90</v>
      </c>
      <c r="C7" s="54"/>
      <c r="D7" s="251" t="s">
        <v>130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20.100000000000001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35838065.4655504</v>
      </c>
      <c r="E11" s="203">
        <v>100</v>
      </c>
      <c r="F11" s="204"/>
      <c r="G11" s="202">
        <v>21150630.7682999</v>
      </c>
      <c r="H11" s="203">
        <v>100</v>
      </c>
      <c r="I11" s="205"/>
      <c r="J11" s="202">
        <v>15148815.1476788</v>
      </c>
      <c r="K11" s="203">
        <v>100</v>
      </c>
    </row>
    <row r="12" spans="2:17" ht="6.95" customHeight="1">
      <c r="B12" s="33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44</v>
      </c>
      <c r="C13" s="27"/>
      <c r="D13" s="208">
        <v>19070900.109088998</v>
      </c>
      <c r="E13" s="209">
        <v>54.177468679764402</v>
      </c>
      <c r="F13" s="210"/>
      <c r="G13" s="208">
        <v>11183951.0844333</v>
      </c>
      <c r="H13" s="209">
        <v>54.128190414504502</v>
      </c>
      <c r="I13" s="206"/>
      <c r="J13" s="208">
        <v>8232234.8643658198</v>
      </c>
      <c r="K13" s="209">
        <v>55.889001259999503</v>
      </c>
    </row>
    <row r="14" spans="2:17" ht="15" customHeight="1">
      <c r="B14" s="85" t="s">
        <v>45</v>
      </c>
      <c r="C14" s="26"/>
      <c r="D14" s="208">
        <v>15917380.430734299</v>
      </c>
      <c r="E14" s="209">
        <v>45.379525984422401</v>
      </c>
      <c r="F14" s="210"/>
      <c r="G14" s="208">
        <v>9750399.9529529493</v>
      </c>
      <c r="H14" s="209">
        <v>47.345448771522697</v>
      </c>
      <c r="I14" s="206"/>
      <c r="J14" s="208">
        <v>6464215.3494798299</v>
      </c>
      <c r="K14" s="209">
        <v>44.248730328312497</v>
      </c>
    </row>
    <row r="15" spans="2:17" ht="15" customHeight="1">
      <c r="B15" s="85" t="s">
        <v>46</v>
      </c>
      <c r="C15" s="26"/>
      <c r="D15" s="208">
        <v>25422900.5557485</v>
      </c>
      <c r="E15" s="209">
        <v>72.207327896503699</v>
      </c>
      <c r="F15" s="210"/>
      <c r="G15" s="208">
        <v>15465988.9875817</v>
      </c>
      <c r="H15" s="209">
        <v>74.533941817511007</v>
      </c>
      <c r="I15" s="206"/>
      <c r="J15" s="208">
        <v>10340848.215169299</v>
      </c>
      <c r="K15" s="209">
        <v>70.445065914051199</v>
      </c>
    </row>
    <row r="16" spans="2:17" ht="15" customHeight="1">
      <c r="B16" s="84" t="s">
        <v>47</v>
      </c>
      <c r="C16" s="26"/>
      <c r="D16" s="208">
        <v>5224424.0504720202</v>
      </c>
      <c r="E16" s="209">
        <v>14.931451027471001</v>
      </c>
      <c r="F16" s="210"/>
      <c r="G16" s="208">
        <v>2659948.5518338401</v>
      </c>
      <c r="H16" s="209">
        <v>12.9903198347378</v>
      </c>
      <c r="I16" s="206"/>
      <c r="J16" s="208">
        <v>2741031.1536801299</v>
      </c>
      <c r="K16" s="209">
        <v>18.834396774995501</v>
      </c>
    </row>
    <row r="17" spans="2:11" ht="30" customHeight="1">
      <c r="B17" s="110" t="s">
        <v>91</v>
      </c>
      <c r="C17" s="26"/>
      <c r="D17" s="208">
        <v>6547239.9678502604</v>
      </c>
      <c r="E17" s="209">
        <v>18.769636904569399</v>
      </c>
      <c r="F17" s="210"/>
      <c r="G17" s="208">
        <v>3064613.8135886202</v>
      </c>
      <c r="H17" s="209">
        <v>15.0150949746559</v>
      </c>
      <c r="I17" s="206"/>
      <c r="J17" s="208">
        <v>3656365.4462618399</v>
      </c>
      <c r="K17" s="209">
        <v>25.381424085286</v>
      </c>
    </row>
    <row r="18" spans="2:11" ht="30" customHeight="1">
      <c r="B18" s="110" t="s">
        <v>92</v>
      </c>
      <c r="C18" s="26"/>
      <c r="D18" s="208">
        <v>4173878.90420673</v>
      </c>
      <c r="E18" s="209">
        <v>12.0030556638046</v>
      </c>
      <c r="F18" s="210"/>
      <c r="G18" s="208">
        <v>2450389.2006729599</v>
      </c>
      <c r="H18" s="209">
        <v>11.975285944811301</v>
      </c>
      <c r="I18" s="206"/>
      <c r="J18" s="208">
        <v>1870210.41907416</v>
      </c>
      <c r="K18" s="209">
        <v>12.9648675369728</v>
      </c>
    </row>
    <row r="19" spans="2:11" ht="15" customHeight="1">
      <c r="B19" s="84" t="s">
        <v>48</v>
      </c>
      <c r="C19" s="26"/>
      <c r="D19" s="208">
        <v>3561877.7754654302</v>
      </c>
      <c r="E19" s="209">
        <v>10.258566356058999</v>
      </c>
      <c r="F19" s="210"/>
      <c r="G19" s="208">
        <v>1983378.7335387201</v>
      </c>
      <c r="H19" s="209">
        <v>9.7297596292630608</v>
      </c>
      <c r="I19" s="206"/>
      <c r="J19" s="208">
        <v>1733908.1485866001</v>
      </c>
      <c r="K19" s="209">
        <v>12.012479020220001</v>
      </c>
    </row>
    <row r="20" spans="2:11" ht="6.95" customHeight="1">
      <c r="B20" s="33"/>
      <c r="C20" s="36"/>
      <c r="D20" s="206"/>
      <c r="E20" s="206"/>
      <c r="F20" s="224"/>
      <c r="G20" s="206"/>
      <c r="H20" s="206"/>
      <c r="I20" s="206"/>
      <c r="J20" s="206"/>
      <c r="K20" s="206"/>
    </row>
    <row r="21" spans="2:11" ht="15" customHeight="1">
      <c r="B21" s="179" t="s">
        <v>0</v>
      </c>
      <c r="C21" s="26"/>
      <c r="D21" s="202">
        <v>14037629.641778801</v>
      </c>
      <c r="E21" s="203">
        <v>100</v>
      </c>
      <c r="F21" s="204"/>
      <c r="G21" s="202">
        <v>8225299.3564617299</v>
      </c>
      <c r="H21" s="203">
        <v>100</v>
      </c>
      <c r="I21" s="205"/>
      <c r="J21" s="202">
        <v>6002465.5781854903</v>
      </c>
      <c r="K21" s="203">
        <v>100</v>
      </c>
    </row>
    <row r="22" spans="2:11" ht="6.95" customHeight="1">
      <c r="B22" s="33"/>
      <c r="C22" s="26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4" t="s">
        <v>44</v>
      </c>
      <c r="C23" s="26"/>
      <c r="D23" s="208">
        <v>8266645.2357610101</v>
      </c>
      <c r="E23" s="209">
        <v>60.410247522903497</v>
      </c>
      <c r="F23" s="210"/>
      <c r="G23" s="208">
        <v>4675823.3617458995</v>
      </c>
      <c r="H23" s="209">
        <v>58.534988772465901</v>
      </c>
      <c r="I23" s="206"/>
      <c r="J23" s="208">
        <v>3774290.4606397399</v>
      </c>
      <c r="K23" s="209">
        <v>65.217273190718998</v>
      </c>
    </row>
    <row r="24" spans="2:11" ht="15" customHeight="1">
      <c r="B24" s="85" t="s">
        <v>45</v>
      </c>
      <c r="C24" s="26"/>
      <c r="D24" s="208">
        <v>6565974.4769957</v>
      </c>
      <c r="E24" s="209">
        <v>48.540125464514396</v>
      </c>
      <c r="F24" s="210"/>
      <c r="G24" s="208">
        <v>4029460.8429138502</v>
      </c>
      <c r="H24" s="209">
        <v>51.349504659188803</v>
      </c>
      <c r="I24" s="206"/>
      <c r="J24" s="208">
        <v>2710116.9819805901</v>
      </c>
      <c r="K24" s="209">
        <v>47.610924742480101</v>
      </c>
    </row>
    <row r="25" spans="2:11" ht="15" customHeight="1">
      <c r="B25" s="85" t="s">
        <v>46</v>
      </c>
      <c r="C25" s="26"/>
      <c r="D25" s="208">
        <v>10312858.5842379</v>
      </c>
      <c r="E25" s="209">
        <v>75.447580997551995</v>
      </c>
      <c r="F25" s="210"/>
      <c r="G25" s="208">
        <v>6109808.9808104299</v>
      </c>
      <c r="H25" s="209">
        <v>76.727686055948197</v>
      </c>
      <c r="I25" s="206"/>
      <c r="J25" s="208">
        <v>4365994.33936485</v>
      </c>
      <c r="K25" s="209">
        <v>76.014533039243005</v>
      </c>
    </row>
    <row r="26" spans="2:11" ht="15" customHeight="1">
      <c r="B26" s="84" t="s">
        <v>47</v>
      </c>
      <c r="C26" s="26"/>
      <c r="D26" s="208">
        <v>2010088.2058283</v>
      </c>
      <c r="E26" s="209">
        <v>14.983916584620999</v>
      </c>
      <c r="F26" s="210"/>
      <c r="G26" s="208">
        <v>940295.17248239496</v>
      </c>
      <c r="H26" s="209">
        <v>12.121873032365301</v>
      </c>
      <c r="I26" s="206"/>
      <c r="J26" s="208">
        <v>1143316.0460902101</v>
      </c>
      <c r="K26" s="209">
        <v>20.3524123458151</v>
      </c>
    </row>
    <row r="27" spans="2:11" ht="30" customHeight="1">
      <c r="B27" s="110" t="s">
        <v>91</v>
      </c>
      <c r="C27" s="26"/>
      <c r="D27" s="208">
        <v>2681713.2581434101</v>
      </c>
      <c r="E27" s="209">
        <v>20.080217248482899</v>
      </c>
      <c r="F27" s="210"/>
      <c r="G27" s="208">
        <v>1180535.87959176</v>
      </c>
      <c r="H27" s="209">
        <v>15.185142948237401</v>
      </c>
      <c r="I27" s="206"/>
      <c r="J27" s="208">
        <v>1615186.19680853</v>
      </c>
      <c r="K27" s="209">
        <v>29.197499582437199</v>
      </c>
    </row>
    <row r="28" spans="2:11" ht="30" customHeight="1">
      <c r="B28" s="110" t="s">
        <v>92</v>
      </c>
      <c r="C28" s="26"/>
      <c r="D28" s="208">
        <v>1260363.5455130599</v>
      </c>
      <c r="E28" s="209">
        <v>9.5147023202821508</v>
      </c>
      <c r="F28" s="210"/>
      <c r="G28" s="208">
        <v>765560.25115834898</v>
      </c>
      <c r="H28" s="209">
        <v>9.8729419817360906</v>
      </c>
      <c r="I28" s="206"/>
      <c r="J28" s="208">
        <v>559076.42622800102</v>
      </c>
      <c r="K28" s="209">
        <v>10.195901885589601</v>
      </c>
    </row>
    <row r="29" spans="2:11" ht="15" customHeight="1">
      <c r="B29" s="84" t="s">
        <v>48</v>
      </c>
      <c r="C29" s="26"/>
      <c r="D29" s="208">
        <v>1067892.5235919601</v>
      </c>
      <c r="E29" s="209">
        <v>8.0876397566583798</v>
      </c>
      <c r="F29" s="210"/>
      <c r="G29" s="208">
        <v>649534.98778829002</v>
      </c>
      <c r="H29" s="209">
        <v>8.4216240738794195</v>
      </c>
      <c r="I29" s="206"/>
      <c r="J29" s="208">
        <v>467809.34403013502</v>
      </c>
      <c r="K29" s="209">
        <v>8.5668269456894492</v>
      </c>
    </row>
    <row r="30" spans="2:11" ht="6.95" customHeight="1">
      <c r="B30" s="37"/>
      <c r="C30" s="36"/>
      <c r="D30" s="206"/>
      <c r="E30" s="206"/>
      <c r="F30" s="224"/>
      <c r="G30" s="206"/>
      <c r="H30" s="206"/>
      <c r="I30" s="206"/>
      <c r="J30" s="206"/>
      <c r="K30" s="206"/>
    </row>
    <row r="31" spans="2:11" ht="15" customHeight="1">
      <c r="B31" s="179" t="s">
        <v>0</v>
      </c>
      <c r="C31" s="26"/>
      <c r="D31" s="202">
        <v>22745995.093053699</v>
      </c>
      <c r="E31" s="203">
        <v>100</v>
      </c>
      <c r="F31" s="204"/>
      <c r="G31" s="202">
        <v>13501120.720623299</v>
      </c>
      <c r="H31" s="203">
        <v>100</v>
      </c>
      <c r="I31" s="205"/>
      <c r="J31" s="202">
        <v>9582754.9798907097</v>
      </c>
      <c r="K31" s="203">
        <v>100</v>
      </c>
    </row>
    <row r="32" spans="2:11" ht="6.95" customHeight="1">
      <c r="B32" s="33"/>
      <c r="C32" s="26"/>
      <c r="D32" s="208"/>
      <c r="E32" s="209"/>
      <c r="F32" s="210"/>
      <c r="G32" s="208"/>
      <c r="H32" s="209"/>
      <c r="I32" s="206"/>
      <c r="J32" s="208"/>
      <c r="K32" s="209"/>
    </row>
    <row r="33" spans="2:11" ht="15" customHeight="1">
      <c r="B33" s="84" t="s">
        <v>44</v>
      </c>
      <c r="C33" s="26"/>
      <c r="D33" s="208">
        <v>11441212.777570101</v>
      </c>
      <c r="E33" s="209">
        <v>51.648905162000602</v>
      </c>
      <c r="F33" s="210"/>
      <c r="G33" s="208">
        <v>6907755.9452315504</v>
      </c>
      <c r="H33" s="209">
        <v>52.9249920164835</v>
      </c>
      <c r="I33" s="206"/>
      <c r="J33" s="208">
        <v>4778424.3572123302</v>
      </c>
      <c r="K33" s="209">
        <v>51.948321765132398</v>
      </c>
    </row>
    <row r="34" spans="2:11" ht="15" customHeight="1">
      <c r="B34" s="85" t="s">
        <v>45</v>
      </c>
      <c r="C34" s="26"/>
      <c r="D34" s="208">
        <v>9860484.9121420402</v>
      </c>
      <c r="E34" s="209">
        <v>44.657922527272</v>
      </c>
      <c r="F34" s="210"/>
      <c r="G34" s="208">
        <v>6064928.8099961402</v>
      </c>
      <c r="H34" s="209">
        <v>46.448617074389396</v>
      </c>
      <c r="I34" s="206"/>
      <c r="J34" s="208">
        <v>4000110.7090419298</v>
      </c>
      <c r="K34" s="209">
        <v>43.992355695760303</v>
      </c>
    </row>
    <row r="35" spans="2:11" ht="15" customHeight="1">
      <c r="B35" s="85" t="s">
        <v>46</v>
      </c>
      <c r="C35" s="26"/>
      <c r="D35" s="208">
        <v>15848204.981070301</v>
      </c>
      <c r="E35" s="209">
        <v>71.318731732591701</v>
      </c>
      <c r="F35" s="210"/>
      <c r="G35" s="208">
        <v>9829192.9671902992</v>
      </c>
      <c r="H35" s="209">
        <v>74.504620230362903</v>
      </c>
      <c r="I35" s="206"/>
      <c r="J35" s="208">
        <v>6305423.3344970299</v>
      </c>
      <c r="K35" s="209">
        <v>68.726560514932501</v>
      </c>
    </row>
    <row r="36" spans="2:11" ht="15" customHeight="1">
      <c r="B36" s="84" t="s">
        <v>47</v>
      </c>
      <c r="C36" s="26"/>
      <c r="D36" s="208">
        <v>3434863.6441180799</v>
      </c>
      <c r="E36" s="209">
        <v>15.659809553023999</v>
      </c>
      <c r="F36" s="210"/>
      <c r="G36" s="208">
        <v>1845794.9227805301</v>
      </c>
      <c r="H36" s="209">
        <v>14.3334327470752</v>
      </c>
      <c r="I36" s="206"/>
      <c r="J36" s="208">
        <v>1741456.31139645</v>
      </c>
      <c r="K36" s="209">
        <v>19.199918470657099</v>
      </c>
    </row>
    <row r="37" spans="2:11" ht="30" customHeight="1">
      <c r="B37" s="110" t="s">
        <v>91</v>
      </c>
      <c r="C37" s="26"/>
      <c r="D37" s="208">
        <v>4119557.4458071999</v>
      </c>
      <c r="E37" s="209">
        <v>18.838825090294701</v>
      </c>
      <c r="F37" s="210"/>
      <c r="G37" s="208">
        <v>2043248.0528819901</v>
      </c>
      <c r="H37" s="209">
        <v>15.943728785440801</v>
      </c>
      <c r="I37" s="206"/>
      <c r="J37" s="208">
        <v>2192904.95409011</v>
      </c>
      <c r="K37" s="209">
        <v>24.501934854813602</v>
      </c>
    </row>
    <row r="38" spans="2:11" ht="30" customHeight="1">
      <c r="B38" s="110" t="s">
        <v>92</v>
      </c>
      <c r="C38" s="26"/>
      <c r="D38" s="208">
        <v>3079642.2645480898</v>
      </c>
      <c r="E38" s="209">
        <v>14.1610481092559</v>
      </c>
      <c r="F38" s="210"/>
      <c r="G38" s="208">
        <v>1808093.6728333901</v>
      </c>
      <c r="H38" s="209">
        <v>14.067471958739899</v>
      </c>
      <c r="I38" s="206"/>
      <c r="J38" s="208">
        <v>1396076.5333539699</v>
      </c>
      <c r="K38" s="209">
        <v>15.559902917246101</v>
      </c>
    </row>
    <row r="39" spans="2:11" ht="15" customHeight="1">
      <c r="B39" s="84" t="s">
        <v>48</v>
      </c>
      <c r="C39" s="26"/>
      <c r="D39" s="208">
        <v>2651139.3371228199</v>
      </c>
      <c r="E39" s="209">
        <v>12.1603166133127</v>
      </c>
      <c r="F39" s="210"/>
      <c r="G39" s="208">
        <v>1441069.1980316499</v>
      </c>
      <c r="H39" s="209">
        <v>11.217186128007301</v>
      </c>
      <c r="I39" s="206"/>
      <c r="J39" s="208">
        <v>1349596.1192868899</v>
      </c>
      <c r="K39" s="209">
        <v>14.9886849900789</v>
      </c>
    </row>
    <row r="40" spans="2:11" ht="6.95" customHeight="1">
      <c r="B40" s="38"/>
      <c r="C40" s="38"/>
      <c r="D40" s="153"/>
      <c r="E40" s="42"/>
      <c r="F40" s="39"/>
      <c r="G40" s="153"/>
      <c r="H40" s="42"/>
      <c r="I40" s="42"/>
      <c r="J40" s="153"/>
      <c r="K40" s="42"/>
    </row>
    <row r="41" spans="2:11" ht="6.95" customHeight="1">
      <c r="B41" s="33"/>
      <c r="C41" s="33"/>
      <c r="E41" s="32"/>
      <c r="F41" s="32"/>
    </row>
    <row r="42" spans="2:11" ht="12" customHeight="1">
      <c r="B42" s="79" t="s">
        <v>32</v>
      </c>
      <c r="C42" s="46"/>
      <c r="E42" s="76"/>
      <c r="F42" s="76"/>
    </row>
    <row r="43" spans="2:11" ht="12" customHeight="1">
      <c r="B43" s="247" t="s">
        <v>77</v>
      </c>
      <c r="C43" s="247"/>
      <c r="D43" s="247"/>
      <c r="E43" s="247"/>
      <c r="F43" s="247"/>
      <c r="G43" s="247"/>
    </row>
    <row r="52" ht="6.95" customHeight="1"/>
  </sheetData>
  <mergeCells count="7">
    <mergeCell ref="B43:G4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F88A065A-8E9C-46FE-9A6F-0D93AB8CDF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1F6D-9829-42CA-BC0D-D2A3E8AF1A26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120</v>
      </c>
      <c r="C5" s="101"/>
      <c r="D5" s="151"/>
      <c r="E5" s="102"/>
      <c r="F5" s="102"/>
      <c r="G5" s="151"/>
      <c r="H5" s="97"/>
      <c r="J5" s="155"/>
      <c r="K5" s="99" t="s">
        <v>27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101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31" t="s">
        <v>6</v>
      </c>
      <c r="C11" s="34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</row>
    <row r="12" spans="2:17" ht="6.95" customHeight="1">
      <c r="B12" s="131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49</v>
      </c>
      <c r="C13" s="27"/>
      <c r="D13" s="208">
        <v>5695807.3244362501</v>
      </c>
      <c r="E13" s="209">
        <v>6.5690319907238397</v>
      </c>
      <c r="F13" s="210"/>
      <c r="G13" s="208">
        <v>2572016.3416101998</v>
      </c>
      <c r="H13" s="209">
        <v>5.5232373800911496</v>
      </c>
      <c r="I13" s="206"/>
      <c r="J13" s="208">
        <v>3300638.20455322</v>
      </c>
      <c r="K13" s="209">
        <v>8.1904046050616106</v>
      </c>
    </row>
    <row r="14" spans="2:17" ht="15" customHeight="1">
      <c r="B14" s="85" t="s">
        <v>50</v>
      </c>
      <c r="C14" s="26"/>
      <c r="D14" s="208">
        <v>82922352.261858493</v>
      </c>
      <c r="E14" s="209">
        <v>94.470821619304402</v>
      </c>
      <c r="F14" s="210"/>
      <c r="G14" s="208">
        <v>45476944.560557902</v>
      </c>
      <c r="H14" s="209">
        <v>95.666019605039907</v>
      </c>
      <c r="I14" s="206"/>
      <c r="J14" s="208">
        <v>38321156.728991702</v>
      </c>
      <c r="K14" s="209">
        <v>93.496264862146703</v>
      </c>
    </row>
    <row r="15" spans="2:17" ht="6.95" customHeight="1">
      <c r="B15" s="132"/>
      <c r="C15" s="133"/>
      <c r="D15" s="217"/>
      <c r="E15" s="217"/>
      <c r="F15" s="225"/>
      <c r="G15" s="217"/>
      <c r="H15" s="217"/>
      <c r="I15" s="217"/>
      <c r="J15" s="217"/>
      <c r="K15" s="217"/>
    </row>
    <row r="16" spans="2:17" ht="15" customHeight="1">
      <c r="B16" s="180" t="s">
        <v>0</v>
      </c>
      <c r="C16" s="26"/>
      <c r="D16" s="202">
        <v>31876327.629939102</v>
      </c>
      <c r="E16" s="203">
        <v>100</v>
      </c>
      <c r="F16" s="204"/>
      <c r="G16" s="202">
        <v>17557347.996399298</v>
      </c>
      <c r="H16" s="203">
        <v>100</v>
      </c>
      <c r="I16" s="205"/>
      <c r="J16" s="202">
        <v>14624214.675651999</v>
      </c>
      <c r="K16" s="203">
        <v>100</v>
      </c>
    </row>
    <row r="17" spans="2:11" ht="6.95" customHeight="1">
      <c r="B17" s="131"/>
      <c r="C17" s="26"/>
      <c r="D17" s="208"/>
      <c r="E17" s="209"/>
      <c r="F17" s="210"/>
      <c r="G17" s="208"/>
      <c r="H17" s="209"/>
      <c r="I17" s="206"/>
      <c r="J17" s="208"/>
      <c r="K17" s="209"/>
    </row>
    <row r="18" spans="2:11" ht="15" customHeight="1">
      <c r="B18" s="84" t="s">
        <v>49</v>
      </c>
      <c r="C18" s="26"/>
      <c r="D18" s="208">
        <v>1170380.12516872</v>
      </c>
      <c r="E18" s="209">
        <v>3.86127494760848</v>
      </c>
      <c r="F18" s="210"/>
      <c r="G18" s="208">
        <v>574660.16830382601</v>
      </c>
      <c r="H18" s="209">
        <v>3.4804039612522502</v>
      </c>
      <c r="I18" s="206"/>
      <c r="J18" s="208">
        <v>682918.14060690301</v>
      </c>
      <c r="K18" s="209">
        <v>4.9647917917606703</v>
      </c>
    </row>
    <row r="19" spans="2:11" ht="15" customHeight="1">
      <c r="B19" s="85" t="s">
        <v>50</v>
      </c>
      <c r="C19" s="26"/>
      <c r="D19" s="208">
        <v>30837716.8812299</v>
      </c>
      <c r="E19" s="209">
        <v>97.391672965299804</v>
      </c>
      <c r="F19" s="210"/>
      <c r="G19" s="208">
        <v>17089989.7092278</v>
      </c>
      <c r="H19" s="209">
        <v>98.154830487300501</v>
      </c>
      <c r="I19" s="206"/>
      <c r="J19" s="208">
        <v>14044988.2886508</v>
      </c>
      <c r="K19" s="209">
        <v>97.114088482670994</v>
      </c>
    </row>
    <row r="20" spans="2:11" ht="6.95" customHeight="1">
      <c r="B20" s="134"/>
      <c r="C20" s="135"/>
      <c r="D20" s="217"/>
      <c r="E20" s="217"/>
      <c r="F20" s="225"/>
      <c r="G20" s="217"/>
      <c r="H20" s="217"/>
      <c r="I20" s="217"/>
      <c r="J20" s="217"/>
      <c r="K20" s="217"/>
    </row>
    <row r="21" spans="2:11" ht="15" customHeight="1">
      <c r="B21" s="180" t="s">
        <v>1</v>
      </c>
      <c r="C21" s="26"/>
      <c r="D21" s="202">
        <v>58722602.216376103</v>
      </c>
      <c r="E21" s="203">
        <v>100</v>
      </c>
      <c r="F21" s="204"/>
      <c r="G21" s="202">
        <v>31539784.224373799</v>
      </c>
      <c r="H21" s="203">
        <v>100</v>
      </c>
      <c r="I21" s="205"/>
      <c r="J21" s="202">
        <v>27745562.505176</v>
      </c>
      <c r="K21" s="203">
        <v>100</v>
      </c>
    </row>
    <row r="22" spans="2:11" ht="6.95" customHeight="1">
      <c r="B22" s="131"/>
      <c r="C22" s="26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4" t="s">
        <v>49</v>
      </c>
      <c r="C23" s="26"/>
      <c r="D23" s="208">
        <v>4688798.4643828096</v>
      </c>
      <c r="E23" s="209">
        <v>8.24169579806893</v>
      </c>
      <c r="F23" s="210"/>
      <c r="G23" s="208">
        <v>2107384.8880907302</v>
      </c>
      <c r="H23" s="209">
        <v>6.9680566534322699</v>
      </c>
      <c r="I23" s="206"/>
      <c r="J23" s="208">
        <v>2736615.7363041202</v>
      </c>
      <c r="K23" s="209">
        <v>10.2311519048588</v>
      </c>
    </row>
    <row r="24" spans="2:11" ht="15" customHeight="1">
      <c r="B24" s="85" t="s">
        <v>50</v>
      </c>
      <c r="C24" s="26"/>
      <c r="D24" s="208">
        <v>54379129.312866397</v>
      </c>
      <c r="E24" s="209">
        <v>93.176736079495697</v>
      </c>
      <c r="F24" s="210"/>
      <c r="G24" s="208">
        <v>29641251.5142144</v>
      </c>
      <c r="H24" s="209">
        <v>94.651894663549598</v>
      </c>
      <c r="I24" s="206"/>
      <c r="J24" s="208">
        <v>25270023.6686133</v>
      </c>
      <c r="K24" s="209">
        <v>92.0504313167026</v>
      </c>
    </row>
    <row r="25" spans="2:11" ht="6.95" customHeight="1">
      <c r="B25" s="16"/>
      <c r="C25" s="16"/>
      <c r="D25" s="153"/>
      <c r="E25" s="42"/>
      <c r="F25" s="17"/>
      <c r="G25" s="153"/>
      <c r="H25" s="42"/>
      <c r="I25" s="42"/>
      <c r="J25" s="153"/>
      <c r="K25" s="42"/>
    </row>
    <row r="26" spans="2:11" ht="6.95" customHeight="1">
      <c r="B26" s="13"/>
      <c r="C26" s="13"/>
      <c r="E26" s="59"/>
      <c r="F26" s="59"/>
    </row>
    <row r="27" spans="2:11" ht="12" customHeight="1">
      <c r="B27" s="111" t="s">
        <v>62</v>
      </c>
      <c r="C27" s="59"/>
      <c r="D27" s="157"/>
      <c r="E27" s="59"/>
      <c r="F27" s="59"/>
      <c r="G27" s="157"/>
    </row>
    <row r="28" spans="2:11" ht="12" customHeight="1">
      <c r="B28" s="247" t="s">
        <v>77</v>
      </c>
      <c r="C28" s="247"/>
      <c r="D28" s="247"/>
      <c r="E28" s="247"/>
      <c r="F28" s="247"/>
      <c r="G28" s="247"/>
    </row>
    <row r="52" ht="6.95" customHeight="1"/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ÍNDICE" xr:uid="{ED0E94E5-8E17-4925-A693-42B91969736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599F-2D4D-4484-AE1C-134B21F641C3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125</v>
      </c>
      <c r="C5" s="256"/>
      <c r="D5" s="256"/>
      <c r="E5" s="256"/>
      <c r="F5" s="256"/>
      <c r="G5" s="256"/>
      <c r="H5" s="97"/>
      <c r="J5" s="155"/>
      <c r="K5" s="99" t="s">
        <v>28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93</v>
      </c>
      <c r="C7" s="54"/>
      <c r="D7" s="251" t="s">
        <v>108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s="105" customFormat="1" ht="15" customHeight="1">
      <c r="B11" s="80" t="s">
        <v>2</v>
      </c>
      <c r="C11" s="34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</row>
    <row r="12" spans="2:17" ht="6.95" customHeight="1">
      <c r="B12" s="33"/>
      <c r="C12" s="34"/>
      <c r="D12" s="208"/>
      <c r="E12" s="209"/>
      <c r="F12" s="204"/>
      <c r="G12" s="208"/>
      <c r="H12" s="209"/>
      <c r="I12" s="205"/>
      <c r="J12" s="208"/>
      <c r="K12" s="209"/>
    </row>
    <row r="13" spans="2:17" s="105" customFormat="1" ht="15" customHeight="1">
      <c r="B13" s="181" t="s">
        <v>16</v>
      </c>
      <c r="C13" s="27"/>
      <c r="D13" s="202">
        <v>51036785.987207301</v>
      </c>
      <c r="E13" s="203">
        <v>58.491027082996801</v>
      </c>
      <c r="F13" s="204"/>
      <c r="G13" s="202">
        <v>25582720.4207188</v>
      </c>
      <c r="H13" s="203">
        <v>54.409049883339101</v>
      </c>
      <c r="I13" s="205"/>
      <c r="J13" s="202">
        <v>26043211.7675253</v>
      </c>
      <c r="K13" s="203">
        <v>64.060309304964207</v>
      </c>
    </row>
    <row r="14" spans="2:17" ht="7.15" customHeight="1">
      <c r="B14" s="81"/>
      <c r="C14" s="27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82" t="s">
        <v>13</v>
      </c>
      <c r="C15" s="107"/>
      <c r="D15" s="208">
        <v>27320686.982517701</v>
      </c>
      <c r="E15" s="209">
        <v>54.337531949945401</v>
      </c>
      <c r="F15" s="210"/>
      <c r="G15" s="208">
        <v>12889583.087367499</v>
      </c>
      <c r="H15" s="209">
        <v>51.577810058805397</v>
      </c>
      <c r="I15" s="206"/>
      <c r="J15" s="208">
        <v>14828126.0148807</v>
      </c>
      <c r="K15" s="209">
        <v>58.121491095447503</v>
      </c>
    </row>
    <row r="16" spans="2:17" ht="30" customHeight="1">
      <c r="B16" s="183" t="s">
        <v>94</v>
      </c>
      <c r="C16" s="107"/>
      <c r="D16" s="208">
        <v>30976488.001842599</v>
      </c>
      <c r="E16" s="209">
        <v>61.830758358371298</v>
      </c>
      <c r="F16" s="210"/>
      <c r="G16" s="208">
        <v>15250639.2641815</v>
      </c>
      <c r="H16" s="209">
        <v>61.094361962397102</v>
      </c>
      <c r="I16" s="206"/>
      <c r="J16" s="208">
        <v>16208482.493439499</v>
      </c>
      <c r="K16" s="209">
        <v>63.729319583736</v>
      </c>
    </row>
    <row r="17" spans="2:11" ht="15" customHeight="1">
      <c r="B17" s="182" t="s">
        <v>14</v>
      </c>
      <c r="C17" s="107"/>
      <c r="D17" s="208">
        <v>14602579.220150299</v>
      </c>
      <c r="E17" s="209">
        <v>29.315478093939699</v>
      </c>
      <c r="F17" s="210"/>
      <c r="G17" s="208">
        <v>7237881.1427326202</v>
      </c>
      <c r="H17" s="209">
        <v>29.196157663252901</v>
      </c>
      <c r="I17" s="206"/>
      <c r="J17" s="208">
        <v>7658345.8066328103</v>
      </c>
      <c r="K17" s="209">
        <v>30.400856636750198</v>
      </c>
    </row>
    <row r="18" spans="2:11" ht="15" customHeight="1">
      <c r="B18" s="183" t="s">
        <v>15</v>
      </c>
      <c r="C18" s="107"/>
      <c r="D18" s="208">
        <v>22514354.645509701</v>
      </c>
      <c r="E18" s="209">
        <v>44.862388567756902</v>
      </c>
      <c r="F18" s="210"/>
      <c r="G18" s="208">
        <v>11425626.2601263</v>
      </c>
      <c r="H18" s="209">
        <v>45.733286331020899</v>
      </c>
      <c r="I18" s="206"/>
      <c r="J18" s="208">
        <v>11510593.7831682</v>
      </c>
      <c r="K18" s="209">
        <v>45.238575540660001</v>
      </c>
    </row>
    <row r="19" spans="2:11" ht="7.15" customHeight="1">
      <c r="B19" s="82"/>
      <c r="C19" s="26"/>
      <c r="D19" s="226"/>
      <c r="E19" s="226"/>
      <c r="F19" s="226"/>
      <c r="G19" s="226"/>
      <c r="H19" s="226"/>
      <c r="I19" s="206"/>
      <c r="J19" s="226"/>
      <c r="K19" s="226"/>
    </row>
    <row r="20" spans="2:11" s="105" customFormat="1" ht="15" customHeight="1">
      <c r="B20" s="181" t="s">
        <v>17</v>
      </c>
      <c r="C20" s="26"/>
      <c r="D20" s="202">
        <v>38113795.080785997</v>
      </c>
      <c r="E20" s="203">
        <v>43.801884576343802</v>
      </c>
      <c r="F20" s="204"/>
      <c r="G20" s="202">
        <v>22790717.915401898</v>
      </c>
      <c r="H20" s="203">
        <v>48.523074325260602</v>
      </c>
      <c r="I20" s="205"/>
      <c r="J20" s="202">
        <v>15859193.4820935</v>
      </c>
      <c r="K20" s="203">
        <v>39.173721397993198</v>
      </c>
    </row>
    <row r="21" spans="2:11" ht="6.95" customHeight="1">
      <c r="B21" s="6"/>
      <c r="C21" s="26"/>
      <c r="D21" s="206"/>
      <c r="E21" s="206"/>
      <c r="F21" s="227"/>
      <c r="G21" s="206"/>
      <c r="H21" s="206"/>
      <c r="I21" s="206"/>
      <c r="J21" s="206"/>
      <c r="K21" s="206"/>
    </row>
    <row r="22" spans="2:11" s="105" customFormat="1" ht="15" customHeight="1">
      <c r="B22" s="184" t="s">
        <v>0</v>
      </c>
      <c r="C22" s="26"/>
      <c r="D22" s="202">
        <v>31876327.629939102</v>
      </c>
      <c r="E22" s="203">
        <v>100</v>
      </c>
      <c r="F22" s="204"/>
      <c r="G22" s="202">
        <v>17557347.996399298</v>
      </c>
      <c r="H22" s="203">
        <v>100</v>
      </c>
      <c r="I22" s="205"/>
      <c r="J22" s="202">
        <v>14624214.675651999</v>
      </c>
      <c r="K22" s="203">
        <v>100</v>
      </c>
    </row>
    <row r="23" spans="2:11" ht="6.95" customHeight="1">
      <c r="B23" s="136"/>
      <c r="C23" s="26"/>
      <c r="D23" s="208"/>
      <c r="E23" s="209"/>
      <c r="F23" s="204"/>
      <c r="G23" s="208"/>
      <c r="H23" s="209"/>
      <c r="I23" s="205"/>
      <c r="J23" s="208"/>
      <c r="K23" s="209"/>
    </row>
    <row r="24" spans="2:11" s="105" customFormat="1" ht="15" customHeight="1">
      <c r="B24" s="181" t="s">
        <v>16</v>
      </c>
      <c r="C24" s="27"/>
      <c r="D24" s="202">
        <v>17872293.600483801</v>
      </c>
      <c r="E24" s="203">
        <v>57.461801914894501</v>
      </c>
      <c r="F24" s="204"/>
      <c r="G24" s="202">
        <v>9181204.3480825108</v>
      </c>
      <c r="H24" s="203">
        <v>53.909001623446599</v>
      </c>
      <c r="I24" s="205"/>
      <c r="J24" s="202">
        <v>8920852.2073365096</v>
      </c>
      <c r="K24" s="203">
        <v>63.072842335802498</v>
      </c>
    </row>
    <row r="25" spans="2:11" ht="7.15" customHeight="1">
      <c r="B25" s="81"/>
      <c r="C25" s="27"/>
      <c r="D25" s="208"/>
      <c r="E25" s="209"/>
      <c r="F25" s="210"/>
      <c r="G25" s="208"/>
      <c r="H25" s="209"/>
      <c r="I25" s="206"/>
      <c r="J25" s="208"/>
      <c r="K25" s="209"/>
    </row>
    <row r="26" spans="2:11" ht="15" customHeight="1">
      <c r="B26" s="182" t="s">
        <v>13</v>
      </c>
      <c r="C26" s="107"/>
      <c r="D26" s="208">
        <v>10350188.606199199</v>
      </c>
      <c r="E26" s="209">
        <v>59.7973266147497</v>
      </c>
      <c r="F26" s="210"/>
      <c r="G26" s="208">
        <v>4970809.4727854803</v>
      </c>
      <c r="H26" s="209">
        <v>56.798213265547503</v>
      </c>
      <c r="I26" s="206"/>
      <c r="J26" s="208">
        <v>5532861.98832592</v>
      </c>
      <c r="K26" s="209">
        <v>64.311803971563293</v>
      </c>
    </row>
    <row r="27" spans="2:11" ht="30" customHeight="1">
      <c r="B27" s="183" t="s">
        <v>94</v>
      </c>
      <c r="C27" s="107"/>
      <c r="D27" s="208">
        <v>10178673.7382701</v>
      </c>
      <c r="E27" s="209">
        <v>59.398720963328103</v>
      </c>
      <c r="F27" s="210"/>
      <c r="G27" s="208">
        <v>5496406.5991531899</v>
      </c>
      <c r="H27" s="209">
        <v>62.267341380648901</v>
      </c>
      <c r="I27" s="206"/>
      <c r="J27" s="208">
        <v>4907639.4044169104</v>
      </c>
      <c r="K27" s="209">
        <v>58.531708628193897</v>
      </c>
    </row>
    <row r="28" spans="2:11" ht="15" customHeight="1">
      <c r="B28" s="182" t="s">
        <v>14</v>
      </c>
      <c r="C28" s="107"/>
      <c r="D28" s="208">
        <v>5674921.4207079196</v>
      </c>
      <c r="E28" s="209">
        <v>33.899949004073498</v>
      </c>
      <c r="F28" s="210"/>
      <c r="G28" s="208">
        <v>2821871.5047594099</v>
      </c>
      <c r="H28" s="209">
        <v>32.816433287391099</v>
      </c>
      <c r="I28" s="206"/>
      <c r="J28" s="208">
        <v>3053139.7853242098</v>
      </c>
      <c r="K28" s="209">
        <v>36.8924381116774</v>
      </c>
    </row>
    <row r="29" spans="2:11" ht="15" customHeight="1">
      <c r="B29" s="183" t="s">
        <v>15</v>
      </c>
      <c r="C29" s="107"/>
      <c r="D29" s="208">
        <v>9437188.7417178098</v>
      </c>
      <c r="E29" s="209">
        <v>54.670972747035798</v>
      </c>
      <c r="F29" s="210"/>
      <c r="G29" s="208">
        <v>4965156.61515282</v>
      </c>
      <c r="H29" s="209">
        <v>56.259711145511098</v>
      </c>
      <c r="I29" s="206"/>
      <c r="J29" s="208">
        <v>4695597.9328842498</v>
      </c>
      <c r="K29" s="209">
        <v>55.229031529928797</v>
      </c>
    </row>
    <row r="30" spans="2:11" ht="6.95" customHeight="1">
      <c r="B30" s="82"/>
      <c r="C30" s="107"/>
      <c r="D30" s="226"/>
      <c r="E30" s="226"/>
      <c r="F30" s="226"/>
      <c r="G30" s="226"/>
      <c r="H30" s="226"/>
      <c r="I30" s="206"/>
      <c r="J30" s="226"/>
      <c r="K30" s="226"/>
    </row>
    <row r="31" spans="2:11" s="105" customFormat="1" ht="15" customHeight="1">
      <c r="B31" s="181" t="s">
        <v>17</v>
      </c>
      <c r="C31" s="26"/>
      <c r="D31" s="202">
        <v>14380984.381756701</v>
      </c>
      <c r="E31" s="203">
        <v>46.791881704665499</v>
      </c>
      <c r="F31" s="204"/>
      <c r="G31" s="202">
        <v>8625614.5735888295</v>
      </c>
      <c r="H31" s="203">
        <v>51.079800270506098</v>
      </c>
      <c r="I31" s="205"/>
      <c r="J31" s="202">
        <v>5984796.9530552402</v>
      </c>
      <c r="K31" s="203">
        <v>42.937399948796497</v>
      </c>
    </row>
    <row r="32" spans="2:11" ht="6.95" customHeight="1">
      <c r="B32" s="137"/>
      <c r="C32" s="26"/>
      <c r="D32" s="206"/>
      <c r="E32" s="206"/>
      <c r="F32" s="228"/>
      <c r="G32" s="206"/>
      <c r="H32" s="206"/>
      <c r="I32" s="206"/>
      <c r="J32" s="206"/>
      <c r="K32" s="206"/>
    </row>
    <row r="33" spans="2:11" s="105" customFormat="1" ht="15" customHeight="1">
      <c r="B33" s="184" t="s">
        <v>1</v>
      </c>
      <c r="C33" s="26"/>
      <c r="D33" s="202">
        <v>58722602.216376103</v>
      </c>
      <c r="E33" s="203">
        <v>100</v>
      </c>
      <c r="F33" s="204"/>
      <c r="G33" s="202">
        <v>31539784.224373799</v>
      </c>
      <c r="H33" s="203">
        <v>100</v>
      </c>
      <c r="I33" s="205"/>
      <c r="J33" s="202">
        <v>27745562.505176</v>
      </c>
      <c r="K33" s="203">
        <v>100</v>
      </c>
    </row>
    <row r="34" spans="2:11" ht="6.95" customHeight="1">
      <c r="B34" s="136"/>
      <c r="C34" s="26"/>
      <c r="D34" s="208"/>
      <c r="E34" s="209"/>
      <c r="F34" s="204"/>
      <c r="G34" s="208"/>
      <c r="H34" s="209"/>
      <c r="I34" s="205"/>
      <c r="J34" s="208"/>
      <c r="K34" s="209"/>
    </row>
    <row r="35" spans="2:11" s="105" customFormat="1" ht="15" customHeight="1">
      <c r="B35" s="181" t="s">
        <v>16</v>
      </c>
      <c r="C35" s="27"/>
      <c r="D35" s="202">
        <v>34553589.932366997</v>
      </c>
      <c r="E35" s="203">
        <v>59.766910835679298</v>
      </c>
      <c r="F35" s="204"/>
      <c r="G35" s="202">
        <v>17126554.159826402</v>
      </c>
      <c r="H35" s="203">
        <v>55.587385545899302</v>
      </c>
      <c r="I35" s="205"/>
      <c r="J35" s="202">
        <v>17830072.232805401</v>
      </c>
      <c r="K35" s="203">
        <v>65.547761808378297</v>
      </c>
    </row>
    <row r="36" spans="2:11" ht="7.15" customHeight="1">
      <c r="B36" s="81"/>
      <c r="C36" s="27"/>
      <c r="D36" s="208"/>
      <c r="E36" s="209"/>
      <c r="F36" s="210"/>
      <c r="G36" s="208"/>
      <c r="H36" s="209"/>
      <c r="I36" s="206"/>
      <c r="J36" s="208"/>
      <c r="K36" s="209"/>
    </row>
    <row r="37" spans="2:11" ht="15" customHeight="1">
      <c r="B37" s="182" t="s">
        <v>13</v>
      </c>
      <c r="C37" s="107"/>
      <c r="D37" s="208">
        <v>17775141.698286399</v>
      </c>
      <c r="E37" s="209">
        <v>52.569399248361798</v>
      </c>
      <c r="F37" s="210"/>
      <c r="G37" s="208">
        <v>8331531.01353982</v>
      </c>
      <c r="H37" s="209">
        <v>50.218169583547599</v>
      </c>
      <c r="I37" s="206"/>
      <c r="J37" s="208">
        <v>9770197.3441246506</v>
      </c>
      <c r="K37" s="209">
        <v>56.366849602639</v>
      </c>
    </row>
    <row r="38" spans="2:11" ht="30" customHeight="1">
      <c r="B38" s="183" t="s">
        <v>94</v>
      </c>
      <c r="C38" s="107"/>
      <c r="D38" s="208">
        <v>21586445.1403891</v>
      </c>
      <c r="E38" s="209">
        <v>63.916099523924203</v>
      </c>
      <c r="F38" s="210"/>
      <c r="G38" s="208">
        <v>10208634.389179301</v>
      </c>
      <c r="H38" s="209">
        <v>61.640574990825201</v>
      </c>
      <c r="I38" s="206"/>
      <c r="J38" s="208">
        <v>11715682.648526199</v>
      </c>
      <c r="K38" s="209">
        <v>67.391062324222403</v>
      </c>
    </row>
    <row r="39" spans="2:11" ht="15" customHeight="1">
      <c r="B39" s="182" t="s">
        <v>14</v>
      </c>
      <c r="C39" s="107"/>
      <c r="D39" s="208">
        <v>9339314.8999859598</v>
      </c>
      <c r="E39" s="209">
        <v>27.888429637961401</v>
      </c>
      <c r="F39" s="210"/>
      <c r="G39" s="208">
        <v>4688364.8742759302</v>
      </c>
      <c r="H39" s="209">
        <v>28.467811684041099</v>
      </c>
      <c r="I39" s="206"/>
      <c r="J39" s="208">
        <v>4850410.8199803596</v>
      </c>
      <c r="K39" s="209">
        <v>28.510301633255398</v>
      </c>
    </row>
    <row r="40" spans="2:11" ht="15" customHeight="1">
      <c r="B40" s="183" t="s">
        <v>15</v>
      </c>
      <c r="C40" s="107"/>
      <c r="D40" s="208">
        <v>13739694.306838199</v>
      </c>
      <c r="E40" s="209">
        <v>40.762916605250297</v>
      </c>
      <c r="F40" s="210"/>
      <c r="G40" s="208">
        <v>6850113.95321838</v>
      </c>
      <c r="H40" s="209">
        <v>41.402653944600502</v>
      </c>
      <c r="I40" s="206"/>
      <c r="J40" s="208">
        <v>7197883.1507511502</v>
      </c>
      <c r="K40" s="209">
        <v>41.649139801364001</v>
      </c>
    </row>
    <row r="41" spans="2:11" ht="7.15" customHeight="1">
      <c r="B41" s="82"/>
      <c r="C41" s="26"/>
      <c r="D41" s="226"/>
      <c r="E41" s="226"/>
      <c r="F41" s="226"/>
      <c r="G41" s="226"/>
      <c r="H41" s="226"/>
      <c r="I41" s="206"/>
      <c r="J41" s="226"/>
      <c r="K41" s="226"/>
    </row>
    <row r="42" spans="2:11" s="105" customFormat="1" ht="15" customHeight="1">
      <c r="B42" s="181" t="s">
        <v>17</v>
      </c>
      <c r="C42" s="26"/>
      <c r="D42" s="202">
        <v>24708346.324248798</v>
      </c>
      <c r="E42" s="203">
        <v>42.959300619130197</v>
      </c>
      <c r="F42" s="204"/>
      <c r="G42" s="202">
        <v>14789763.501790799</v>
      </c>
      <c r="H42" s="203">
        <v>48.042754376667403</v>
      </c>
      <c r="I42" s="205"/>
      <c r="J42" s="202">
        <v>10309262.9841552</v>
      </c>
      <c r="K42" s="203">
        <v>38.240569410805797</v>
      </c>
    </row>
    <row r="43" spans="2:11" ht="6.95" customHeight="1">
      <c r="B43" s="38"/>
      <c r="C43" s="38"/>
      <c r="D43" s="153"/>
      <c r="E43" s="42"/>
      <c r="F43" s="39"/>
      <c r="G43" s="153"/>
      <c r="H43" s="42"/>
      <c r="I43" s="42"/>
      <c r="J43" s="153"/>
      <c r="K43" s="42"/>
    </row>
    <row r="44" spans="2:11" ht="6.95" customHeight="1">
      <c r="B44" s="77"/>
      <c r="C44" s="77"/>
      <c r="D44" s="156"/>
      <c r="E44" s="78"/>
      <c r="F44" s="78"/>
      <c r="G44" s="156"/>
      <c r="H44" s="62"/>
      <c r="I44" s="62"/>
      <c r="J44" s="156"/>
      <c r="K44" s="62"/>
    </row>
    <row r="45" spans="2:11" ht="12" customHeight="1">
      <c r="B45" s="108" t="s">
        <v>64</v>
      </c>
      <c r="C45" s="46"/>
      <c r="E45" s="76"/>
      <c r="F45" s="76"/>
    </row>
    <row r="46" spans="2:11" ht="12" customHeight="1">
      <c r="B46" s="108" t="s">
        <v>33</v>
      </c>
      <c r="C46" s="40"/>
      <c r="E46" s="41"/>
      <c r="F46" s="41"/>
    </row>
    <row r="47" spans="2:11" ht="12" customHeight="1">
      <c r="B47" s="247" t="s">
        <v>77</v>
      </c>
      <c r="C47" s="247"/>
      <c r="D47" s="247"/>
      <c r="E47" s="247"/>
      <c r="F47" s="247"/>
      <c r="G47" s="247"/>
    </row>
    <row r="52" ht="6.95" customHeight="1"/>
  </sheetData>
  <mergeCells count="7">
    <mergeCell ref="B47:G4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2AE547B7-7DDA-4F04-9642-7B16DF6FA0CE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806A-5D96-4776-BE93-5A74DAF9EAD3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126</v>
      </c>
      <c r="C5" s="256"/>
      <c r="D5" s="256"/>
      <c r="E5" s="256"/>
      <c r="F5" s="256"/>
      <c r="G5" s="256"/>
      <c r="H5" s="97"/>
      <c r="J5" s="155"/>
      <c r="K5" s="99" t="s">
        <v>19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102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</row>
    <row r="12" spans="2:17" ht="6.95" customHeight="1">
      <c r="B12" s="33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51</v>
      </c>
      <c r="C13" s="27"/>
      <c r="D13" s="208">
        <v>26273980.594202101</v>
      </c>
      <c r="E13" s="209">
        <v>30.221883279494101</v>
      </c>
      <c r="F13" s="210"/>
      <c r="G13" s="208">
        <v>15950654.5935989</v>
      </c>
      <c r="H13" s="209">
        <v>34.174897810168098</v>
      </c>
      <c r="I13" s="206"/>
      <c r="J13" s="208">
        <v>10688648.600674899</v>
      </c>
      <c r="K13" s="209">
        <v>26.4608256269523</v>
      </c>
    </row>
    <row r="14" spans="2:17" ht="15" customHeight="1">
      <c r="B14" s="84" t="s">
        <v>52</v>
      </c>
      <c r="C14" s="26"/>
      <c r="D14" s="208">
        <v>18262034.398757402</v>
      </c>
      <c r="E14" s="209">
        <v>21.019998223349699</v>
      </c>
      <c r="F14" s="210"/>
      <c r="G14" s="208">
        <v>9317488.0414293893</v>
      </c>
      <c r="H14" s="209">
        <v>19.8986076394457</v>
      </c>
      <c r="I14" s="206"/>
      <c r="J14" s="208">
        <v>9290845.9601396192</v>
      </c>
      <c r="K14" s="209">
        <v>22.988729506704701</v>
      </c>
    </row>
    <row r="15" spans="2:17" ht="15" customHeight="1">
      <c r="B15" s="84" t="s">
        <v>53</v>
      </c>
      <c r="C15" s="26"/>
      <c r="D15" s="208">
        <v>24095802.6879455</v>
      </c>
      <c r="E15" s="209">
        <v>27.7406089304198</v>
      </c>
      <c r="F15" s="210"/>
      <c r="G15" s="208">
        <v>12743179.6273061</v>
      </c>
      <c r="H15" s="209">
        <v>27.215329307864099</v>
      </c>
      <c r="I15" s="206"/>
      <c r="J15" s="208">
        <v>11802923.423059801</v>
      </c>
      <c r="K15" s="209">
        <v>29.162557477893198</v>
      </c>
    </row>
    <row r="16" spans="2:17" ht="15" customHeight="1">
      <c r="B16" s="84" t="s">
        <v>54</v>
      </c>
      <c r="C16" s="26"/>
      <c r="D16" s="208">
        <v>9318381.5732236505</v>
      </c>
      <c r="E16" s="209">
        <v>10.732686481543</v>
      </c>
      <c r="F16" s="210"/>
      <c r="G16" s="208">
        <v>4646203.74024125</v>
      </c>
      <c r="H16" s="209">
        <v>9.9337903827458796</v>
      </c>
      <c r="I16" s="206"/>
      <c r="J16" s="208">
        <v>4884468.8656838499</v>
      </c>
      <c r="K16" s="209">
        <v>12.156831107084701</v>
      </c>
    </row>
    <row r="17" spans="2:11" ht="15" customHeight="1">
      <c r="B17" s="84" t="s">
        <v>55</v>
      </c>
      <c r="C17" s="26"/>
      <c r="D17" s="208">
        <v>9571113.4806922991</v>
      </c>
      <c r="E17" s="209">
        <v>11.0100785672703</v>
      </c>
      <c r="F17" s="210"/>
      <c r="G17" s="208">
        <v>4668486.5291300397</v>
      </c>
      <c r="H17" s="209">
        <v>9.9929011473338605</v>
      </c>
      <c r="I17" s="206"/>
      <c r="J17" s="208">
        <v>5131384.6789984899</v>
      </c>
      <c r="K17" s="209">
        <v>12.736451842803801</v>
      </c>
    </row>
    <row r="18" spans="2:11" ht="15" customHeight="1">
      <c r="B18" s="84" t="s">
        <v>65</v>
      </c>
      <c r="C18" s="26"/>
      <c r="D18" s="208">
        <v>3616102.54974902</v>
      </c>
      <c r="E18" s="209">
        <v>4.1662324320119799</v>
      </c>
      <c r="F18" s="210"/>
      <c r="G18" s="208">
        <v>2314549.04155618</v>
      </c>
      <c r="H18" s="209">
        <v>4.9611796152691401</v>
      </c>
      <c r="I18" s="206"/>
      <c r="J18" s="208">
        <v>1444984.9407176501</v>
      </c>
      <c r="K18" s="209">
        <v>3.5963242316798101</v>
      </c>
    </row>
    <row r="19" spans="2:11" ht="6.95" customHeight="1">
      <c r="B19" s="35"/>
      <c r="C19" s="36"/>
      <c r="D19" s="217"/>
      <c r="E19" s="217"/>
      <c r="F19" s="229"/>
      <c r="G19" s="217"/>
      <c r="H19" s="217"/>
      <c r="I19" s="217"/>
      <c r="J19" s="217"/>
      <c r="K19" s="217"/>
    </row>
    <row r="20" spans="2:11" ht="15" customHeight="1">
      <c r="B20" s="185" t="s">
        <v>0</v>
      </c>
      <c r="C20" s="26"/>
      <c r="D20" s="202">
        <v>31876327.629939102</v>
      </c>
      <c r="E20" s="203">
        <v>100</v>
      </c>
      <c r="F20" s="204"/>
      <c r="G20" s="202">
        <v>17557347.996399298</v>
      </c>
      <c r="H20" s="203">
        <v>100</v>
      </c>
      <c r="I20" s="205"/>
      <c r="J20" s="202">
        <v>14624214.675651999</v>
      </c>
      <c r="K20" s="203">
        <v>100</v>
      </c>
    </row>
    <row r="21" spans="2:11" ht="6.95" customHeight="1">
      <c r="B21" s="138"/>
      <c r="C21" s="26"/>
      <c r="D21" s="208"/>
      <c r="E21" s="209"/>
      <c r="F21" s="210"/>
      <c r="G21" s="208"/>
      <c r="H21" s="209"/>
      <c r="I21" s="206"/>
      <c r="J21" s="208"/>
      <c r="K21" s="209"/>
    </row>
    <row r="22" spans="2:11" ht="15" customHeight="1">
      <c r="B22" s="84" t="s">
        <v>51</v>
      </c>
      <c r="C22" s="27"/>
      <c r="D22" s="208">
        <v>11013819.0004595</v>
      </c>
      <c r="E22" s="209">
        <v>36.158192776705199</v>
      </c>
      <c r="F22" s="210"/>
      <c r="G22" s="208">
        <v>6787292.0672365502</v>
      </c>
      <c r="H22" s="209">
        <v>40.708346764815502</v>
      </c>
      <c r="I22" s="206"/>
      <c r="J22" s="208">
        <v>4409084.2340356503</v>
      </c>
      <c r="K22" s="209">
        <v>32.019893440222397</v>
      </c>
    </row>
    <row r="23" spans="2:11" ht="15" customHeight="1">
      <c r="B23" s="84" t="s">
        <v>52</v>
      </c>
      <c r="C23" s="26"/>
      <c r="D23" s="208">
        <v>6923213.2592129903</v>
      </c>
      <c r="E23" s="209">
        <v>22.727703412747001</v>
      </c>
      <c r="F23" s="210"/>
      <c r="G23" s="208">
        <v>3486188.6782159</v>
      </c>
      <c r="H23" s="209">
        <v>20.852433776412202</v>
      </c>
      <c r="I23" s="206"/>
      <c r="J23" s="208">
        <v>3616564.6298910701</v>
      </c>
      <c r="K23" s="209">
        <v>26.093629897327901</v>
      </c>
    </row>
    <row r="24" spans="2:11" ht="15" customHeight="1">
      <c r="B24" s="84" t="s">
        <v>53</v>
      </c>
      <c r="C24" s="26"/>
      <c r="D24" s="208">
        <v>7904813.4274358498</v>
      </c>
      <c r="E24" s="209">
        <v>25.743338383701399</v>
      </c>
      <c r="F24" s="210"/>
      <c r="G24" s="208">
        <v>4418362.2853411203</v>
      </c>
      <c r="H24" s="209">
        <v>26.2612484517825</v>
      </c>
      <c r="I24" s="206"/>
      <c r="J24" s="208">
        <v>3692127.2896558102</v>
      </c>
      <c r="K24" s="209">
        <v>26.542149459578798</v>
      </c>
    </row>
    <row r="25" spans="2:11" ht="15" customHeight="1">
      <c r="B25" s="84" t="s">
        <v>54</v>
      </c>
      <c r="C25" s="26"/>
      <c r="D25" s="208">
        <v>2734439.0083184098</v>
      </c>
      <c r="E25" s="209">
        <v>8.9600167128624495</v>
      </c>
      <c r="F25" s="210"/>
      <c r="G25" s="208">
        <v>1287127.65476808</v>
      </c>
      <c r="H25" s="209">
        <v>7.6880253262966303</v>
      </c>
      <c r="I25" s="206"/>
      <c r="J25" s="208">
        <v>1538737.43396172</v>
      </c>
      <c r="K25" s="209">
        <v>11.1853539202886</v>
      </c>
    </row>
    <row r="26" spans="2:11" ht="15" customHeight="1">
      <c r="B26" s="84" t="s">
        <v>55</v>
      </c>
      <c r="C26" s="26"/>
      <c r="D26" s="208">
        <v>3102319.4780041799</v>
      </c>
      <c r="E26" s="209">
        <v>10.204494187981201</v>
      </c>
      <c r="F26" s="210"/>
      <c r="G26" s="208">
        <v>1566113.1188471799</v>
      </c>
      <c r="H26" s="209">
        <v>9.4409289896137008</v>
      </c>
      <c r="I26" s="206"/>
      <c r="J26" s="208">
        <v>1669038.9794536</v>
      </c>
      <c r="K26" s="209">
        <v>12.1188903621591</v>
      </c>
    </row>
    <row r="27" spans="2:11" ht="15" customHeight="1">
      <c r="B27" s="84" t="s">
        <v>65</v>
      </c>
      <c r="C27" s="26"/>
      <c r="D27" s="208">
        <v>1539124.9183358001</v>
      </c>
      <c r="E27" s="209">
        <v>5.0835209072876903</v>
      </c>
      <c r="F27" s="210"/>
      <c r="G27" s="208">
        <v>897205.13880611502</v>
      </c>
      <c r="H27" s="209">
        <v>5.4373404735944204</v>
      </c>
      <c r="I27" s="206"/>
      <c r="J27" s="208">
        <v>717672.67455601005</v>
      </c>
      <c r="K27" s="209">
        <v>5.2407348866652299</v>
      </c>
    </row>
    <row r="28" spans="2:11" ht="6.95" customHeight="1">
      <c r="B28" s="138"/>
      <c r="C28" s="26"/>
      <c r="D28" s="217"/>
      <c r="E28" s="217"/>
      <c r="F28" s="230"/>
      <c r="G28" s="217"/>
      <c r="H28" s="217"/>
      <c r="I28" s="217"/>
      <c r="J28" s="217"/>
      <c r="K28" s="217"/>
    </row>
    <row r="29" spans="2:11" ht="15" customHeight="1">
      <c r="B29" s="185" t="s">
        <v>1</v>
      </c>
      <c r="C29" s="26"/>
      <c r="D29" s="202">
        <v>58722602.216376103</v>
      </c>
      <c r="E29" s="203">
        <v>100</v>
      </c>
      <c r="F29" s="204"/>
      <c r="G29" s="202">
        <v>31539784.224373799</v>
      </c>
      <c r="H29" s="203">
        <v>100</v>
      </c>
      <c r="I29" s="205"/>
      <c r="J29" s="202">
        <v>27745562.505176</v>
      </c>
      <c r="K29" s="203">
        <v>100</v>
      </c>
    </row>
    <row r="30" spans="2:11" ht="6.95" customHeight="1">
      <c r="B30" s="138"/>
      <c r="C30" s="26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84" t="s">
        <v>51</v>
      </c>
      <c r="C31" s="27"/>
      <c r="D31" s="208">
        <v>15946680.3838387</v>
      </c>
      <c r="E31" s="209">
        <v>27.827102343875399</v>
      </c>
      <c r="F31" s="210"/>
      <c r="G31" s="208">
        <v>9592917.3816525694</v>
      </c>
      <c r="H31" s="209">
        <v>31.549359433461401</v>
      </c>
      <c r="I31" s="206"/>
      <c r="J31" s="208">
        <v>6631010.5170032401</v>
      </c>
      <c r="K31" s="209">
        <v>24.620470877981901</v>
      </c>
    </row>
    <row r="32" spans="2:11" ht="15" customHeight="1">
      <c r="B32" s="84" t="s">
        <v>52</v>
      </c>
      <c r="C32" s="26"/>
      <c r="D32" s="208">
        <v>11890773.729721701</v>
      </c>
      <c r="E32" s="209">
        <v>20.7639883828273</v>
      </c>
      <c r="F32" s="210"/>
      <c r="G32" s="208">
        <v>6144609.5306404596</v>
      </c>
      <c r="H32" s="209">
        <v>20.111774070100001</v>
      </c>
      <c r="I32" s="206"/>
      <c r="J32" s="208">
        <v>6012479.0710366899</v>
      </c>
      <c r="K32" s="209">
        <v>22.367569580077902</v>
      </c>
    </row>
    <row r="33" spans="2:11" ht="15" customHeight="1">
      <c r="B33" s="84" t="s">
        <v>53</v>
      </c>
      <c r="C33" s="26"/>
      <c r="D33" s="208">
        <v>16928406.6580052</v>
      </c>
      <c r="E33" s="209">
        <v>29.455323463098399</v>
      </c>
      <c r="F33" s="210"/>
      <c r="G33" s="208">
        <v>8786318.5543317199</v>
      </c>
      <c r="H33" s="209">
        <v>28.6451672819035</v>
      </c>
      <c r="I33" s="206"/>
      <c r="J33" s="208">
        <v>8470718.4987688195</v>
      </c>
      <c r="K33" s="209">
        <v>31.3473821252792</v>
      </c>
    </row>
    <row r="34" spans="2:11" ht="15" customHeight="1">
      <c r="B34" s="84" t="s">
        <v>54</v>
      </c>
      <c r="C34" s="26"/>
      <c r="D34" s="208">
        <v>6879656.0171021204</v>
      </c>
      <c r="E34" s="209">
        <v>12.0745567266009</v>
      </c>
      <c r="F34" s="210"/>
      <c r="G34" s="208">
        <v>3518927.5147408801</v>
      </c>
      <c r="H34" s="209">
        <v>11.5609569068139</v>
      </c>
      <c r="I34" s="206"/>
      <c r="J34" s="208">
        <v>3543700.2177625699</v>
      </c>
      <c r="K34" s="209">
        <v>13.3134362218394</v>
      </c>
    </row>
    <row r="35" spans="2:11" ht="15" customHeight="1">
      <c r="B35" s="84" t="s">
        <v>55</v>
      </c>
      <c r="C35" s="26"/>
      <c r="D35" s="208">
        <v>6785919.5882304804</v>
      </c>
      <c r="E35" s="209">
        <v>11.873998428047701</v>
      </c>
      <c r="F35" s="210"/>
      <c r="G35" s="208">
        <v>3290514.0662249601</v>
      </c>
      <c r="H35" s="209">
        <v>10.804355036261001</v>
      </c>
      <c r="I35" s="206"/>
      <c r="J35" s="208">
        <v>3664230.5699578002</v>
      </c>
      <c r="K35" s="209">
        <v>13.7186475974143</v>
      </c>
    </row>
    <row r="36" spans="2:11" ht="15" customHeight="1">
      <c r="B36" s="84" t="s">
        <v>65</v>
      </c>
      <c r="C36" s="26"/>
      <c r="D36" s="208">
        <v>2246411.6074557402</v>
      </c>
      <c r="E36" s="209">
        <v>3.9443260028512799</v>
      </c>
      <c r="F36" s="210"/>
      <c r="G36" s="208">
        <v>1537977.93683134</v>
      </c>
      <c r="H36" s="209">
        <v>5.07138169064942</v>
      </c>
      <c r="I36" s="206"/>
      <c r="J36" s="208">
        <v>820240.65603897697</v>
      </c>
      <c r="K36" s="209">
        <v>3.0783131372970201</v>
      </c>
    </row>
    <row r="37" spans="2:11" ht="6.95" customHeight="1">
      <c r="B37" s="38"/>
      <c r="C37" s="38"/>
      <c r="D37" s="153"/>
      <c r="E37" s="42"/>
      <c r="F37" s="39"/>
      <c r="G37" s="153"/>
      <c r="H37" s="42"/>
      <c r="I37" s="42"/>
      <c r="J37" s="153"/>
      <c r="K37" s="42"/>
    </row>
    <row r="38" spans="2:11" ht="6.95" customHeight="1">
      <c r="B38" s="33"/>
      <c r="C38" s="33"/>
      <c r="E38" s="32"/>
      <c r="F38" s="32"/>
    </row>
    <row r="39" spans="2:11" ht="12" customHeight="1">
      <c r="B39" s="247" t="s">
        <v>77</v>
      </c>
      <c r="C39" s="247"/>
      <c r="D39" s="247"/>
      <c r="E39" s="247"/>
      <c r="F39" s="247"/>
      <c r="G39" s="247"/>
    </row>
    <row r="52" ht="6.95" customHeight="1"/>
  </sheetData>
  <mergeCells count="7">
    <mergeCell ref="B39:G39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EC022000-4DD4-4C79-8701-10D79C98B5EA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56D-5072-4B9E-A9ED-8628CDF8630E}">
  <dimension ref="B1:Q61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128</v>
      </c>
      <c r="C5" s="256"/>
      <c r="D5" s="256"/>
      <c r="E5" s="256"/>
      <c r="F5" s="256"/>
      <c r="G5" s="256"/>
      <c r="H5" s="97"/>
      <c r="J5" s="155"/>
      <c r="K5" s="99" t="s">
        <v>72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20.100000000000001" customHeight="1">
      <c r="B7" s="248" t="s">
        <v>127</v>
      </c>
      <c r="C7" s="54"/>
      <c r="D7" s="251" t="s">
        <v>108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20.100000000000001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88168959.549554095</v>
      </c>
      <c r="E11" s="203">
        <v>100</v>
      </c>
      <c r="F11" s="204"/>
      <c r="G11" s="202">
        <v>47788866.463474698</v>
      </c>
      <c r="H11" s="203">
        <v>100</v>
      </c>
      <c r="I11" s="205"/>
      <c r="J11" s="202">
        <v>41315778.788891397</v>
      </c>
      <c r="K11" s="203">
        <v>100</v>
      </c>
    </row>
    <row r="12" spans="2:17" ht="6.95" customHeight="1">
      <c r="B12" s="33"/>
      <c r="C12" s="34"/>
      <c r="D12" s="208"/>
      <c r="E12" s="209"/>
      <c r="F12" s="204"/>
      <c r="G12" s="208"/>
      <c r="H12" s="209"/>
      <c r="I12" s="205"/>
      <c r="J12" s="208"/>
      <c r="K12" s="209"/>
    </row>
    <row r="13" spans="2:17" ht="15" customHeight="1">
      <c r="B13" s="181" t="s">
        <v>75</v>
      </c>
      <c r="C13" s="27"/>
      <c r="D13" s="202">
        <v>10630920.909916099</v>
      </c>
      <c r="E13" s="203">
        <v>12.2480895838642</v>
      </c>
      <c r="F13" s="204"/>
      <c r="G13" s="202">
        <v>5808101.1994834896</v>
      </c>
      <c r="H13" s="203">
        <v>12.444031164013699</v>
      </c>
      <c r="I13" s="205"/>
      <c r="J13" s="202">
        <v>5022870.7080655396</v>
      </c>
      <c r="K13" s="203">
        <v>12.480262617095599</v>
      </c>
    </row>
    <row r="14" spans="2:17" ht="6.95" customHeight="1">
      <c r="B14" s="81"/>
      <c r="C14" s="27"/>
      <c r="D14" s="208"/>
      <c r="E14" s="209"/>
      <c r="F14" s="210"/>
      <c r="G14" s="208"/>
      <c r="H14" s="209"/>
      <c r="I14" s="206"/>
      <c r="J14" s="208"/>
      <c r="K14" s="209"/>
    </row>
    <row r="15" spans="2:17" ht="30" customHeight="1">
      <c r="B15" s="200" t="s">
        <v>132</v>
      </c>
      <c r="C15" s="27"/>
      <c r="D15" s="208">
        <v>502966.99844338198</v>
      </c>
      <c r="E15" s="209">
        <v>5.1039408171714404</v>
      </c>
      <c r="F15" s="210"/>
      <c r="G15" s="208">
        <v>250059.06062274799</v>
      </c>
      <c r="H15" s="209">
        <v>4.7029921254438403</v>
      </c>
      <c r="I15" s="206"/>
      <c r="J15" s="208">
        <v>290604.08535297</v>
      </c>
      <c r="K15" s="209">
        <v>6.3818569148950397</v>
      </c>
    </row>
    <row r="16" spans="2:17" ht="30" customHeight="1">
      <c r="B16" s="200" t="s">
        <v>133</v>
      </c>
      <c r="C16" s="27"/>
      <c r="D16" s="208">
        <v>1749644.5200447999</v>
      </c>
      <c r="E16" s="209">
        <v>17.356089756485499</v>
      </c>
      <c r="F16" s="210"/>
      <c r="G16" s="208">
        <v>930205.90724042396</v>
      </c>
      <c r="H16" s="209">
        <v>17.168678826272998</v>
      </c>
      <c r="I16" s="206"/>
      <c r="J16" s="208">
        <v>874908.07823472505</v>
      </c>
      <c r="K16" s="209">
        <v>18.841109269823999</v>
      </c>
    </row>
    <row r="17" spans="2:11" ht="15" customHeight="1">
      <c r="B17" s="200" t="s">
        <v>44</v>
      </c>
      <c r="C17" s="26"/>
      <c r="D17" s="208">
        <v>2786718.01126746</v>
      </c>
      <c r="E17" s="209">
        <v>27.916978895815198</v>
      </c>
      <c r="F17" s="210"/>
      <c r="G17" s="208">
        <v>1470243.0850358501</v>
      </c>
      <c r="H17" s="209">
        <v>27.2118053139436</v>
      </c>
      <c r="I17" s="206"/>
      <c r="J17" s="208">
        <v>1435550.85134099</v>
      </c>
      <c r="K17" s="209">
        <v>31.0077158865566</v>
      </c>
    </row>
    <row r="18" spans="2:11" ht="15" customHeight="1">
      <c r="B18" s="200" t="s">
        <v>45</v>
      </c>
      <c r="C18" s="26"/>
      <c r="D18" s="208">
        <v>4630849.5993011203</v>
      </c>
      <c r="E18" s="209">
        <v>45.490034729575399</v>
      </c>
      <c r="F18" s="210"/>
      <c r="G18" s="208">
        <v>2647415.5320308302</v>
      </c>
      <c r="H18" s="209">
        <v>47.755433307684797</v>
      </c>
      <c r="I18" s="206"/>
      <c r="J18" s="208">
        <v>2107624.6680957801</v>
      </c>
      <c r="K18" s="209">
        <v>44.952285338873303</v>
      </c>
    </row>
    <row r="19" spans="2:11" ht="15" customHeight="1">
      <c r="B19" s="200" t="s">
        <v>47</v>
      </c>
      <c r="C19" s="26"/>
      <c r="D19" s="208">
        <v>1016945.93319178</v>
      </c>
      <c r="E19" s="209">
        <v>10.1735446923421</v>
      </c>
      <c r="F19" s="210"/>
      <c r="G19" s="208">
        <v>407729.597389456</v>
      </c>
      <c r="H19" s="209">
        <v>7.68440364287438</v>
      </c>
      <c r="I19" s="206"/>
      <c r="J19" s="208">
        <v>677311.67586233595</v>
      </c>
      <c r="K19" s="209">
        <v>14.4998833868899</v>
      </c>
    </row>
    <row r="20" spans="2:11" ht="15" customHeight="1">
      <c r="B20" s="201" t="s">
        <v>134</v>
      </c>
      <c r="C20" s="26"/>
      <c r="D20" s="216">
        <v>712959.05582793104</v>
      </c>
      <c r="E20" s="216">
        <v>7.19618231144175</v>
      </c>
      <c r="F20" s="216"/>
      <c r="G20" s="216">
        <v>560400.90821673605</v>
      </c>
      <c r="H20" s="216">
        <v>10.4402710494197</v>
      </c>
      <c r="I20" s="217"/>
      <c r="J20" s="216">
        <v>205828.099226805</v>
      </c>
      <c r="K20" s="216">
        <v>4.5017268452188599</v>
      </c>
    </row>
    <row r="21" spans="2:11" ht="15" customHeight="1">
      <c r="B21" s="178" t="s">
        <v>129</v>
      </c>
      <c r="C21" s="26"/>
      <c r="D21" s="216">
        <v>1671237.5210936901</v>
      </c>
      <c r="E21" s="216">
        <v>16.736194239087201</v>
      </c>
      <c r="F21" s="216"/>
      <c r="G21" s="216">
        <v>893300.57294053701</v>
      </c>
      <c r="H21" s="216">
        <v>16.611132272356201</v>
      </c>
      <c r="I21" s="217"/>
      <c r="J21" s="216">
        <v>856309.47197323199</v>
      </c>
      <c r="K21" s="216">
        <v>18.642312216808399</v>
      </c>
    </row>
    <row r="22" spans="2:11" ht="15" customHeight="1">
      <c r="B22" s="178" t="s">
        <v>69</v>
      </c>
      <c r="C22" s="26"/>
      <c r="D22" s="216">
        <v>618240.24121130805</v>
      </c>
      <c r="E22" s="216">
        <v>6.2093158687845298</v>
      </c>
      <c r="F22" s="216"/>
      <c r="G22" s="216">
        <v>319115.89909950702</v>
      </c>
      <c r="H22" s="216">
        <v>5.9955770007251799</v>
      </c>
      <c r="I22" s="217"/>
      <c r="J22" s="216">
        <v>369099.95285208698</v>
      </c>
      <c r="K22" s="216">
        <v>7.9731660032411504</v>
      </c>
    </row>
    <row r="23" spans="2:11" ht="6.95" customHeight="1">
      <c r="B23" s="199"/>
      <c r="C23" s="26"/>
      <c r="D23" s="216"/>
      <c r="E23" s="216"/>
      <c r="F23" s="216"/>
      <c r="G23" s="216"/>
      <c r="H23" s="216"/>
      <c r="I23" s="217"/>
      <c r="J23" s="216"/>
      <c r="K23" s="216"/>
    </row>
    <row r="24" spans="2:11" ht="15" customHeight="1">
      <c r="B24" s="181" t="s">
        <v>76</v>
      </c>
      <c r="C24" s="26"/>
      <c r="D24" s="202">
        <v>78316510.142140597</v>
      </c>
      <c r="E24" s="203">
        <v>89.475856259395101</v>
      </c>
      <c r="F24" s="204"/>
      <c r="G24" s="202">
        <v>42415347.955142699</v>
      </c>
      <c r="H24" s="203">
        <v>89.571492338683399</v>
      </c>
      <c r="I24" s="205"/>
      <c r="J24" s="202">
        <v>36748560.675985403</v>
      </c>
      <c r="K24" s="203">
        <v>89.824221553247895</v>
      </c>
    </row>
    <row r="25" spans="2:11" ht="6.95" customHeight="1">
      <c r="B25" s="35"/>
      <c r="C25" s="36"/>
      <c r="D25" s="217"/>
      <c r="E25" s="217"/>
      <c r="F25" s="229"/>
      <c r="G25" s="217"/>
      <c r="H25" s="217"/>
      <c r="I25" s="217"/>
      <c r="J25" s="217"/>
      <c r="K25" s="217"/>
    </row>
    <row r="26" spans="2:11" ht="15" customHeight="1">
      <c r="B26" s="185" t="s">
        <v>0</v>
      </c>
      <c r="C26" s="26"/>
      <c r="D26" s="202">
        <v>31876327.629939102</v>
      </c>
      <c r="E26" s="203">
        <v>100</v>
      </c>
      <c r="F26" s="204"/>
      <c r="G26" s="202">
        <v>17557347.996399298</v>
      </c>
      <c r="H26" s="203">
        <v>100</v>
      </c>
      <c r="I26" s="205"/>
      <c r="J26" s="202">
        <v>14624214.675651999</v>
      </c>
      <c r="K26" s="203">
        <v>100</v>
      </c>
    </row>
    <row r="27" spans="2:11" ht="6.95" customHeight="1">
      <c r="B27" s="138"/>
      <c r="C27" s="26"/>
      <c r="D27" s="208"/>
      <c r="E27" s="209"/>
      <c r="F27" s="204"/>
      <c r="G27" s="208"/>
      <c r="H27" s="209"/>
      <c r="I27" s="205"/>
      <c r="J27" s="208"/>
      <c r="K27" s="209"/>
    </row>
    <row r="28" spans="2:11" ht="15" customHeight="1">
      <c r="B28" s="181" t="s">
        <v>75</v>
      </c>
      <c r="C28" s="27"/>
      <c r="D28" s="202">
        <v>6777543.06440173</v>
      </c>
      <c r="E28" s="203">
        <v>22.476106782291399</v>
      </c>
      <c r="F28" s="204"/>
      <c r="G28" s="202">
        <v>3608448.4633166101</v>
      </c>
      <c r="H28" s="203">
        <v>21.846565493252001</v>
      </c>
      <c r="I28" s="205"/>
      <c r="J28" s="202">
        <v>3290480.4742783001</v>
      </c>
      <c r="K28" s="203">
        <v>24.095892918983601</v>
      </c>
    </row>
    <row r="29" spans="2:11" ht="6.95" customHeight="1">
      <c r="B29" s="81"/>
      <c r="C29" s="27"/>
      <c r="D29" s="208"/>
      <c r="E29" s="209"/>
      <c r="F29" s="210"/>
      <c r="G29" s="208"/>
      <c r="H29" s="209"/>
      <c r="I29" s="206"/>
      <c r="J29" s="208"/>
      <c r="K29" s="209"/>
    </row>
    <row r="30" spans="2:11" ht="30" customHeight="1">
      <c r="B30" s="200" t="s">
        <v>132</v>
      </c>
      <c r="C30" s="27"/>
      <c r="D30" s="208">
        <v>203659.07917933699</v>
      </c>
      <c r="E30" s="209">
        <v>3.3337297848843201</v>
      </c>
      <c r="F30" s="210"/>
      <c r="G30" s="208">
        <v>97884.345275114698</v>
      </c>
      <c r="H30" s="209">
        <v>3.0381765603992301</v>
      </c>
      <c r="I30" s="206"/>
      <c r="J30" s="208">
        <v>132946.774256581</v>
      </c>
      <c r="K30" s="209">
        <v>4.6047155554946597</v>
      </c>
    </row>
    <row r="31" spans="2:11" ht="30" customHeight="1">
      <c r="B31" s="200" t="s">
        <v>133</v>
      </c>
      <c r="C31" s="27"/>
      <c r="D31" s="208">
        <v>1172097.58951033</v>
      </c>
      <c r="E31" s="209">
        <v>18.594616884063001</v>
      </c>
      <c r="F31" s="210"/>
      <c r="G31" s="208">
        <v>663521.97930995305</v>
      </c>
      <c r="H31" s="209">
        <v>19.984278384390699</v>
      </c>
      <c r="I31" s="206"/>
      <c r="J31" s="208">
        <v>548440.06655830401</v>
      </c>
      <c r="K31" s="209">
        <v>18.444148068423001</v>
      </c>
    </row>
    <row r="32" spans="2:11" ht="15" customHeight="1">
      <c r="B32" s="200" t="s">
        <v>44</v>
      </c>
      <c r="C32" s="26"/>
      <c r="D32" s="208">
        <v>1854452.6200216101</v>
      </c>
      <c r="E32" s="209">
        <v>29.897688853533701</v>
      </c>
      <c r="F32" s="210"/>
      <c r="G32" s="208">
        <v>950582.06540580303</v>
      </c>
      <c r="H32" s="209">
        <v>28.964675649245802</v>
      </c>
      <c r="I32" s="206"/>
      <c r="J32" s="208">
        <v>995763.31628106697</v>
      </c>
      <c r="K32" s="209">
        <v>33.784403937504798</v>
      </c>
    </row>
    <row r="33" spans="2:11" ht="15" customHeight="1">
      <c r="B33" s="200" t="s">
        <v>45</v>
      </c>
      <c r="C33" s="26"/>
      <c r="D33" s="208">
        <v>2831811.1193917999</v>
      </c>
      <c r="E33" s="209">
        <v>44.416538359755798</v>
      </c>
      <c r="F33" s="210"/>
      <c r="G33" s="208">
        <v>1580147.56299774</v>
      </c>
      <c r="H33" s="209">
        <v>46.693416815399203</v>
      </c>
      <c r="I33" s="206"/>
      <c r="J33" s="208">
        <v>1313568.4885561599</v>
      </c>
      <c r="K33" s="209">
        <v>43.958117992383897</v>
      </c>
    </row>
    <row r="34" spans="2:11" ht="15" customHeight="1">
      <c r="B34" s="200" t="s">
        <v>47</v>
      </c>
      <c r="C34" s="26"/>
      <c r="D34" s="208">
        <v>776868.03055365197</v>
      </c>
      <c r="E34" s="209">
        <v>12.4932102909814</v>
      </c>
      <c r="F34" s="210"/>
      <c r="G34" s="208">
        <v>300715.24254591198</v>
      </c>
      <c r="H34" s="209">
        <v>9.4220465383454304</v>
      </c>
      <c r="I34" s="206"/>
      <c r="J34" s="208">
        <v>531076.62664337899</v>
      </c>
      <c r="K34" s="209">
        <v>17.722312194974901</v>
      </c>
    </row>
    <row r="35" spans="2:11" ht="15" customHeight="1">
      <c r="B35" s="201" t="s">
        <v>134</v>
      </c>
      <c r="C35" s="26"/>
      <c r="D35" s="208">
        <v>534981.17597560899</v>
      </c>
      <c r="E35" s="209">
        <v>8.76034367753598</v>
      </c>
      <c r="F35" s="210"/>
      <c r="G35" s="208">
        <v>436143.53917560802</v>
      </c>
      <c r="H35" s="209">
        <v>13.423618511094</v>
      </c>
      <c r="I35" s="206"/>
      <c r="J35" s="208">
        <v>139171.949760327</v>
      </c>
      <c r="K35" s="209">
        <v>4.8243504134529802</v>
      </c>
    </row>
    <row r="36" spans="2:11" ht="15" customHeight="1">
      <c r="B36" s="201" t="s">
        <v>135</v>
      </c>
      <c r="C36" s="26"/>
      <c r="D36" s="208">
        <v>1028901.30783325</v>
      </c>
      <c r="E36" s="209">
        <v>16.545165535394698</v>
      </c>
      <c r="F36" s="210"/>
      <c r="G36" s="208">
        <v>509103.620517031</v>
      </c>
      <c r="H36" s="209">
        <v>15.6410884432056</v>
      </c>
      <c r="I36" s="206"/>
      <c r="J36" s="208">
        <v>574981.73177576798</v>
      </c>
      <c r="K36" s="209">
        <v>19.665012063343799</v>
      </c>
    </row>
    <row r="37" spans="2:11" ht="15" customHeight="1">
      <c r="B37" s="178" t="s">
        <v>69</v>
      </c>
      <c r="C37" s="26"/>
      <c r="D37" s="208">
        <v>472698.96084754798</v>
      </c>
      <c r="E37" s="209">
        <v>7.6682571169328702</v>
      </c>
      <c r="F37" s="210"/>
      <c r="G37" s="208">
        <v>259550.070475646</v>
      </c>
      <c r="H37" s="209">
        <v>8.0785852139664893</v>
      </c>
      <c r="I37" s="206"/>
      <c r="J37" s="208">
        <v>276260.44270008698</v>
      </c>
      <c r="K37" s="209">
        <v>9.3825063884498601</v>
      </c>
    </row>
    <row r="38" spans="2:11" ht="6.95" customHeight="1">
      <c r="B38" s="82"/>
      <c r="C38" s="26"/>
      <c r="D38" s="216"/>
      <c r="E38" s="216"/>
      <c r="F38" s="216"/>
      <c r="G38" s="216"/>
      <c r="H38" s="216"/>
      <c r="I38" s="217"/>
      <c r="J38" s="216"/>
      <c r="K38" s="216"/>
    </row>
    <row r="39" spans="2:11" ht="15" customHeight="1">
      <c r="B39" s="181" t="s">
        <v>76</v>
      </c>
      <c r="C39" s="26"/>
      <c r="D39" s="202">
        <v>25604182.9008785</v>
      </c>
      <c r="E39" s="203">
        <v>81.752117526530796</v>
      </c>
      <c r="F39" s="204"/>
      <c r="G39" s="202">
        <v>14232670.7299657</v>
      </c>
      <c r="H39" s="203">
        <v>82.598021078412202</v>
      </c>
      <c r="I39" s="205"/>
      <c r="J39" s="202">
        <v>11659819.568445601</v>
      </c>
      <c r="K39" s="203">
        <v>81.590707816701197</v>
      </c>
    </row>
    <row r="40" spans="2:11" ht="6.95" customHeight="1">
      <c r="B40" s="138"/>
      <c r="C40" s="26"/>
      <c r="D40" s="217"/>
      <c r="E40" s="217"/>
      <c r="F40" s="230"/>
      <c r="G40" s="217"/>
      <c r="H40" s="217"/>
      <c r="I40" s="217"/>
      <c r="J40" s="217"/>
      <c r="K40" s="217"/>
    </row>
    <row r="41" spans="2:11" ht="15" customHeight="1">
      <c r="B41" s="138" t="s">
        <v>1</v>
      </c>
      <c r="C41" s="26"/>
      <c r="D41" s="202">
        <v>58722602.216376103</v>
      </c>
      <c r="E41" s="203">
        <v>100</v>
      </c>
      <c r="F41" s="204"/>
      <c r="G41" s="202">
        <v>31539784.224373799</v>
      </c>
      <c r="H41" s="203">
        <v>100</v>
      </c>
      <c r="I41" s="205"/>
      <c r="J41" s="202">
        <v>27745562.505176</v>
      </c>
      <c r="K41" s="203">
        <v>100</v>
      </c>
    </row>
    <row r="42" spans="2:11" ht="6.75" customHeight="1">
      <c r="B42" s="138"/>
      <c r="C42" s="26"/>
      <c r="D42" s="208"/>
      <c r="E42" s="209"/>
      <c r="F42" s="204"/>
      <c r="G42" s="208"/>
      <c r="H42" s="209"/>
      <c r="I42" s="205"/>
      <c r="J42" s="208"/>
      <c r="K42" s="209"/>
    </row>
    <row r="43" spans="2:11" ht="15" customHeight="1">
      <c r="B43" s="181" t="s">
        <v>75</v>
      </c>
      <c r="C43" s="27"/>
      <c r="D43" s="202">
        <v>4190397.62163975</v>
      </c>
      <c r="E43" s="203">
        <v>7.3354856808674498</v>
      </c>
      <c r="F43" s="204"/>
      <c r="G43" s="202">
        <v>2428367.6998706399</v>
      </c>
      <c r="H43" s="203">
        <v>7.99077532928455</v>
      </c>
      <c r="I43" s="205"/>
      <c r="J43" s="202">
        <v>1926911.6655206501</v>
      </c>
      <c r="K43" s="203">
        <v>7.1924650904823997</v>
      </c>
    </row>
    <row r="44" spans="2:11" ht="6.95" customHeight="1">
      <c r="B44" s="81"/>
      <c r="C44" s="27"/>
      <c r="D44" s="208"/>
      <c r="E44" s="209"/>
      <c r="F44" s="210"/>
      <c r="G44" s="208"/>
      <c r="H44" s="209"/>
      <c r="I44" s="206"/>
      <c r="J44" s="208"/>
      <c r="K44" s="209"/>
    </row>
    <row r="45" spans="2:11" ht="30" customHeight="1">
      <c r="B45" s="200" t="s">
        <v>132</v>
      </c>
      <c r="C45" s="27"/>
      <c r="D45" s="208">
        <v>344406.82956339099</v>
      </c>
      <c r="E45" s="209">
        <v>9.0917246436572796</v>
      </c>
      <c r="F45" s="210"/>
      <c r="G45" s="208">
        <v>177234.82734197</v>
      </c>
      <c r="H45" s="209">
        <v>8.4599108038275794</v>
      </c>
      <c r="I45" s="206"/>
      <c r="J45" s="208">
        <v>193124.96876912299</v>
      </c>
      <c r="K45" s="209">
        <v>11.4424566255325</v>
      </c>
    </row>
    <row r="46" spans="2:11" ht="30" customHeight="1">
      <c r="B46" s="200" t="s">
        <v>133</v>
      </c>
      <c r="C46" s="27"/>
      <c r="D46" s="208">
        <v>675599.49225102703</v>
      </c>
      <c r="E46" s="209">
        <v>17.803675751418801</v>
      </c>
      <c r="F46" s="210"/>
      <c r="G46" s="208">
        <v>323157.91049035202</v>
      </c>
      <c r="H46" s="209">
        <v>15.4942769811856</v>
      </c>
      <c r="I46" s="206"/>
      <c r="J46" s="208">
        <v>391652.832347908</v>
      </c>
      <c r="K46" s="209">
        <v>23.0750259234092</v>
      </c>
    </row>
    <row r="47" spans="2:11" ht="15" customHeight="1">
      <c r="B47" s="200" t="s">
        <v>44</v>
      </c>
      <c r="C47" s="26"/>
      <c r="D47" s="208">
        <v>1050447.51179701</v>
      </c>
      <c r="E47" s="209">
        <v>27.306334232197401</v>
      </c>
      <c r="F47" s="210"/>
      <c r="G47" s="208">
        <v>601653.49446243304</v>
      </c>
      <c r="H47" s="209">
        <v>27.872431773899599</v>
      </c>
      <c r="I47" s="206"/>
      <c r="J47" s="208">
        <v>521874.47675360099</v>
      </c>
      <c r="K47" s="209">
        <v>30.4719079485557</v>
      </c>
    </row>
    <row r="48" spans="2:11" ht="15" customHeight="1">
      <c r="B48" s="200" t="s">
        <v>45</v>
      </c>
      <c r="C48" s="26"/>
      <c r="D48" s="208">
        <v>2028307.72575141</v>
      </c>
      <c r="E48" s="209">
        <v>51.139467144135203</v>
      </c>
      <c r="F48" s="210"/>
      <c r="G48" s="208">
        <v>1231227.44364661</v>
      </c>
      <c r="H48" s="209">
        <v>54.192692689872104</v>
      </c>
      <c r="I48" s="206"/>
      <c r="J48" s="208">
        <v>917855.97064594005</v>
      </c>
      <c r="K48" s="209">
        <v>51.9181659845746</v>
      </c>
    </row>
    <row r="49" spans="2:11" ht="15" customHeight="1">
      <c r="B49" s="200" t="s">
        <v>47</v>
      </c>
      <c r="C49" s="26"/>
      <c r="D49" s="208">
        <v>313138.45433145203</v>
      </c>
      <c r="E49" s="209">
        <v>8.2175735744630103</v>
      </c>
      <c r="F49" s="210"/>
      <c r="G49" s="208">
        <v>141382.30453133001</v>
      </c>
      <c r="H49" s="209">
        <v>6.6743112740161701</v>
      </c>
      <c r="I49" s="206"/>
      <c r="J49" s="208">
        <v>208251.12175253101</v>
      </c>
      <c r="K49" s="209">
        <v>12.254697483474899</v>
      </c>
    </row>
    <row r="50" spans="2:11" ht="15" customHeight="1">
      <c r="B50" s="201" t="s">
        <v>134</v>
      </c>
      <c r="C50" s="26"/>
      <c r="D50" s="208">
        <v>234964.754673099</v>
      </c>
      <c r="E50" s="209">
        <v>6.1601030697996704</v>
      </c>
      <c r="F50" s="210"/>
      <c r="G50" s="208">
        <v>170976.84117842399</v>
      </c>
      <c r="H50" s="209">
        <v>8.0300073076534293</v>
      </c>
      <c r="I50" s="206"/>
      <c r="J50" s="208">
        <v>95315.940363102403</v>
      </c>
      <c r="K50" s="209">
        <v>5.6430504954714298</v>
      </c>
    </row>
    <row r="51" spans="2:11" ht="15" customHeight="1">
      <c r="B51" s="201" t="s">
        <v>135</v>
      </c>
      <c r="C51" s="26"/>
      <c r="D51" s="208">
        <v>742537.10136465495</v>
      </c>
      <c r="E51" s="209">
        <v>19.4284250198553</v>
      </c>
      <c r="F51" s="210"/>
      <c r="G51" s="208">
        <v>458368.583099271</v>
      </c>
      <c r="H51" s="209">
        <v>21.300918192024799</v>
      </c>
      <c r="I51" s="206"/>
      <c r="J51" s="208">
        <v>337953.86361711298</v>
      </c>
      <c r="K51" s="209">
        <v>20.0974560602709</v>
      </c>
    </row>
    <row r="52" spans="2:11">
      <c r="B52" s="201" t="s">
        <v>69</v>
      </c>
      <c r="C52" s="26"/>
      <c r="D52" s="208">
        <v>202615.601095541</v>
      </c>
      <c r="E52" s="209">
        <v>5.3295423121110499</v>
      </c>
      <c r="F52" s="210"/>
      <c r="G52" s="208">
        <v>92771.749629543294</v>
      </c>
      <c r="H52" s="209">
        <v>4.39746321727179</v>
      </c>
      <c r="I52" s="206"/>
      <c r="J52" s="208">
        <v>138789.20407976501</v>
      </c>
      <c r="K52" s="209">
        <v>8.2278923467108402</v>
      </c>
    </row>
    <row r="53" spans="2:11" ht="6.95" customHeight="1">
      <c r="B53" s="82"/>
      <c r="C53" s="26"/>
      <c r="D53" s="216"/>
      <c r="E53" s="216"/>
      <c r="F53" s="216"/>
      <c r="G53" s="216"/>
      <c r="H53" s="216"/>
      <c r="I53" s="217"/>
      <c r="J53" s="216"/>
      <c r="K53" s="216"/>
    </row>
    <row r="54" spans="2:11" ht="15" customHeight="1">
      <c r="B54" s="181" t="s">
        <v>76</v>
      </c>
      <c r="C54" s="26"/>
      <c r="D54" s="202">
        <v>54832221.202544197</v>
      </c>
      <c r="E54" s="203">
        <v>94.025335434065994</v>
      </c>
      <c r="F54" s="204"/>
      <c r="G54" s="202">
        <v>29353589.832260899</v>
      </c>
      <c r="H54" s="203">
        <v>94.004124612295598</v>
      </c>
      <c r="I54" s="205"/>
      <c r="J54" s="202">
        <v>26018479.5434561</v>
      </c>
      <c r="K54" s="203">
        <v>94.649127792943901</v>
      </c>
    </row>
    <row r="55" spans="2:11" ht="6.95" customHeight="1">
      <c r="B55" s="38"/>
      <c r="C55" s="38"/>
      <c r="D55" s="153"/>
      <c r="E55" s="42"/>
      <c r="F55" s="39"/>
      <c r="G55" s="153"/>
      <c r="H55" s="42"/>
      <c r="I55" s="42"/>
      <c r="J55" s="153"/>
      <c r="K55" s="42"/>
    </row>
    <row r="56" spans="2:11" ht="6.95" customHeight="1">
      <c r="B56" s="33"/>
      <c r="C56" s="33"/>
      <c r="E56" s="32"/>
      <c r="F56" s="32"/>
    </row>
    <row r="57" spans="2:11" ht="12" customHeight="1">
      <c r="B57" s="108" t="s">
        <v>70</v>
      </c>
      <c r="C57" s="33"/>
      <c r="E57" s="32"/>
      <c r="F57" s="32"/>
    </row>
    <row r="58" spans="2:11" ht="12" customHeight="1">
      <c r="B58" s="108" t="s">
        <v>71</v>
      </c>
      <c r="C58" s="33"/>
      <c r="E58" s="32"/>
      <c r="F58" s="32"/>
    </row>
    <row r="59" spans="2:11" ht="12" customHeight="1">
      <c r="B59" s="108" t="s">
        <v>131</v>
      </c>
      <c r="C59" s="108"/>
      <c r="D59" s="108"/>
      <c r="E59" s="108"/>
      <c r="F59" s="108"/>
      <c r="G59" s="108"/>
      <c r="H59" s="108"/>
      <c r="I59" s="108"/>
      <c r="J59" s="108"/>
      <c r="K59" s="108"/>
    </row>
    <row r="60" spans="2:11" ht="12" customHeight="1">
      <c r="B60" s="247" t="s">
        <v>77</v>
      </c>
      <c r="C60" s="247"/>
      <c r="D60" s="247"/>
      <c r="E60" s="247"/>
      <c r="F60" s="247"/>
      <c r="G60" s="247"/>
    </row>
    <row r="61" spans="2:11">
      <c r="B61" s="59"/>
      <c r="C61" s="40"/>
      <c r="E61" s="41"/>
      <c r="F61" s="41"/>
    </row>
  </sheetData>
  <mergeCells count="7">
    <mergeCell ref="B60:G6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26DA1AB2-8227-49F9-A6A8-04178C3180C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2021-06-16T18:51:48Z</dcterms:created>
  <dcterms:modified xsi:type="dcterms:W3CDTF">2025-03-11T17:23:34Z</dcterms:modified>
</cp:coreProperties>
</file>