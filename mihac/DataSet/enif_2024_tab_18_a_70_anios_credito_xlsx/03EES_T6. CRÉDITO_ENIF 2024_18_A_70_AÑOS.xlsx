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E95BE528-E2E2-42D2-92AF-94ED2CEA6DB9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<sst xmlns="http://schemas.openxmlformats.org/spreadsheetml/2006/main" count="592" uniqueCount="169">
  <si>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</si>
  <si>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</si>
  <si>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</si>
  <si>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</si>
  <si>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</si>
  <si>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</si>
  <si>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</si>
  <si>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</si>
  <si>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</si>
  <si>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</si>
  <si>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</si>
  <si>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</si>
  <si>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</si>
  <si>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</si>
  <si>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</si>
  <si>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</si>
  <si>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</si>
  <si>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</si>
  <si>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</si>
  <si>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</si>
  <si>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</si>
  <si>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</si>
  <si>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</si>
  <si>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</si>
  <si>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</si>
  <si>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</si>
  <si>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</si>
  <si>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</si>
  <si>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</si>
  <si>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</si>
  <si>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</si>
  <si>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</si>
  <si>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</si>
  <si>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</si>
  <si>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</si>
  <si>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</si>
  <si>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</si>
  <si>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</si>
  <si>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</si>
  <si>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</si>
  <si>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</si>
  <si>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</si>
  <si>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</si>
  <si>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</si>
  <si>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</si>
  <si>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</si>
  <si>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</si>
  <si>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</si>
  <si>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</si>
  <si>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</si>
  <si>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</si>
  <si>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</si>
  <si>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</si>
  <si>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</si>
  <si>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</si>
  <si>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</si>
  <si>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</si>
  <si>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</si>
  <si>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</si>
  <si>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</si>
  <si>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</si>
  <si>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</si>
  <si>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</si>
  <si>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</si>
  <si>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</si>
  <si>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</si>
  <si>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</si>
  <si>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</si>
  <si>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</si>
  <si>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</si>
  <si>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</si>
  <si>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</si>
  <si>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</si>
  <si>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</si>
  <si>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</si>
  <si>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</si>
  <si>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</si>
  <si>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</si>
  <si>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</si>
  <si>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</si>
  <si>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</si>
  <si>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</si>
  <si>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</si>
  <si>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</si>
  <si>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</si>
  <si>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</si>
  <si>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</si>
  <si>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</si>
  <si>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</si>
  <si>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</si>
  <si>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</si>
  <si>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</si>
  <si>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</si>
  <si>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</si>
  <si>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</si>
  <si>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</si>
  <si>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</si>
  <si>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</si>
  <si>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</si>
  <si>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</si>
  <si>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</si>
  <si>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</si>
  <si>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</si>
  <si>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</si>
  <si>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</si>
  <si>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</si>
  <si>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</si>
  <si>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</si>
  <si>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</si>
  <si>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</si>
  <si>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</si>
  <si>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</si>
  <si>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</si>
  <si>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</si>
  <si>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</si>
  <si>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</si>
  <si>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</si>
  <si>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</si>
  <si>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</si>
  <si>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</si>
  <si>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</si>
  <si>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</si>
  <si>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</si>
  <si>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</si>
  <si>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</si>
  <si>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</si>
  <si>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</si>
  <si>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</si>
  <si>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</si>
  <si>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</si>
  <si>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</si>
  <si>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</si>
  <si>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</si>
  <si>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</si>
  <si>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</si>
  <si>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</si>
  <si>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</si>
  <si>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</si>
  <si>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</si>
  <si>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</si>
  <si>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</si>
  <si>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</si>
  <si>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</si>
  <si>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</si>
  <si>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</si>
  <si>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</si>
  <si>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</si>
  <si>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</si>
  <si>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</si>
  <si>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</si>
  <si>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</si>
  <si>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</si>
  <si>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</si>
  <si>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</si>
  <si>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</si>
  <si>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</si>
  <si>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t>No especificado</t>
  </si>
  <si>
    <t>Error estándar.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</si>
  <si>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</si>
  <si>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Tamaño de localidad, condición de usuaria de crédito formal y tipo de no usuaria</t>
  </si>
  <si>
    <t xml:space="preserve">Usuaria </t>
  </si>
  <si>
    <t>No usuaria</t>
  </si>
  <si>
    <t>Nunca usuaria</t>
  </si>
  <si>
    <t>Alguna vez usuaria</t>
  </si>
  <si>
    <t>Población de 18 a 70 años alguna vez usuaria de crédito formal</t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</si>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</sst>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##,###,###,##0"/>
    <numFmt numFmtId="166" formatCode="#,##0.0"/>
    <numFmt numFmtId="167" formatCode="_-* #,##0_-;\-* #,##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74">
    <xf numFmtId="0" fontId="0" fillId="0" borderId="0" xfId="0"/>
    <xf numFmtId="0" fontId="1" fillId="0" borderId="0" xfId="3"/>
    <xf numFmtId="0" fontId="0" fillId="0" borderId="0" xfId="0" applyAlignment="1">
      <alignment horizontal="left" vertical="center"/>
    </xf>
    <xf numFmtId="165" fontId="0" fillId="0" borderId="0" xfId="0" applyNumberFormat="1"/>
    <xf numFmtId="0" fontId="29" fillId="0" borderId="0" xfId="0" applyFont="1"/>
    <xf numFmtId="0" fontId="0" fillId="0" borderId="0" xfId="0" applyAlignment="1">
      <alignment horizontal="left" vertical="center" indent="1"/>
    </xf>
    <xf numFmtId="0" fontId="42" fillId="0" borderId="0" xfId="8" applyFont="1"/>
    <xf numFmtId="166" fontId="42" fillId="0" borderId="0" xfId="3" applyNumberFormat="1" applyFont="1"/>
    <xf numFmtId="166" fontId="48" fillId="0" borderId="0" xfId="3" applyNumberFormat="1" applyFont="1"/>
    <xf numFmtId="166" fontId="1" fillId="0" borderId="0" xfId="3" applyNumberFormat="1"/>
    <xf numFmtId="166" fontId="42" fillId="0" borderId="0" xfId="8" applyNumberFormat="1" applyFont="1"/>
    <xf numFmtId="166" fontId="45" fillId="0" borderId="0" xfId="8" applyNumberFormat="1" applyFont="1" applyAlignment="1">
      <alignment horizontal="center" vertical="center"/>
    </xf>
    <xf numFmtId="166" fontId="46" fillId="0" borderId="0" xfId="8" applyNumberFormat="1" applyFont="1" applyAlignment="1">
      <alignment vertical="center"/>
    </xf>
    <xf numFmtId="166" fontId="46" fillId="0" borderId="0" xfId="8" applyNumberFormat="1" applyFont="1" applyAlignment="1">
      <alignment horizontal="center" vertical="center"/>
    </xf>
    <xf numFmtId="166" fontId="47" fillId="0" borderId="0" xfId="8" applyNumberFormat="1" applyFont="1" applyAlignment="1">
      <alignment vertical="center"/>
    </xf>
    <xf numFmtId="166" fontId="32" fillId="0" borderId="0" xfId="8" applyNumberFormat="1" applyFont="1"/>
    <xf numFmtId="166" fontId="13" fillId="0" borderId="0" xfId="8" applyNumberFormat="1" applyFont="1"/>
    <xf numFmtId="166" fontId="48" fillId="0" borderId="0" xfId="8" quotePrefix="1" applyNumberFormat="1" applyFont="1"/>
    <xf numFmtId="166" fontId="43" fillId="0" borderId="0" xfId="8" quotePrefix="1" applyNumberFormat="1" applyFont="1"/>
    <xf numFmtId="166" fontId="47" fillId="5" borderId="5" xfId="8" applyNumberFormat="1" applyFont="1" applyFill="1" applyBorder="1" applyAlignment="1">
      <alignment horizontal="center" vertical="center"/>
    </xf>
    <xf numFmtId="166" fontId="47" fillId="5" borderId="6" xfId="8" applyNumberFormat="1" applyFont="1" applyFill="1" applyBorder="1" applyAlignment="1">
      <alignment horizontal="center" vertical="center"/>
    </xf>
    <xf numFmtId="166" fontId="51" fillId="0" borderId="9" xfId="1" applyNumberFormat="1" applyFont="1" applyBorder="1" applyAlignment="1" applyProtection="1">
      <alignment horizontal="center" vertical="center"/>
    </xf>
    <xf numFmtId="166" fontId="15" fillId="0" borderId="0" xfId="0" applyNumberFormat="1" applyFont="1" applyAlignment="1">
      <alignment horizontal="right" vertical="center" wrapText="1"/>
    </xf>
    <xf numFmtId="166" fontId="51" fillId="0" borderId="14" xfId="1" applyNumberFormat="1" applyFont="1" applyBorder="1" applyAlignment="1" applyProtection="1">
      <alignment horizontal="center" vertical="center"/>
    </xf>
    <xf numFmtId="166" fontId="51" fillId="0" borderId="16" xfId="1" applyNumberFormat="1" applyFont="1" applyBorder="1" applyAlignment="1" applyProtection="1">
      <alignment horizontal="center" vertical="center"/>
    </xf>
    <xf numFmtId="166" fontId="18" fillId="0" borderId="0" xfId="8" applyNumberFormat="1" applyFont="1"/>
    <xf numFmtId="166" fontId="18" fillId="0" borderId="0" xfId="8" applyNumberFormat="1" applyFont="1" applyAlignment="1">
      <alignment horizontal="left" vertic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left" vertical="center"/>
    </xf>
    <xf numFmtId="166" fontId="35" fillId="0" borderId="0" xfId="1" applyNumberFormat="1" applyFont="1" applyFill="1" applyAlignment="1">
      <alignment horizontal="right" vertical="center"/>
    </xf>
    <xf numFmtId="166" fontId="0" fillId="0" borderId="0" xfId="0" applyNumberFormat="1"/>
    <xf numFmtId="166" fontId="29" fillId="2" borderId="0" xfId="0" applyNumberFormat="1" applyFont="1" applyFill="1" applyAlignment="1">
      <alignment horizontal="left" vertical="center"/>
    </xf>
    <xf numFmtId="166" fontId="3" fillId="0" borderId="0" xfId="2" applyNumberFormat="1" applyFont="1" applyAlignment="1">
      <alignment horizontal="left"/>
    </xf>
    <xf numFmtId="166" fontId="4" fillId="2" borderId="0" xfId="2" applyNumberFormat="1" applyFont="1" applyFill="1"/>
    <xf numFmtId="166" fontId="30" fillId="2" borderId="0" xfId="2" applyNumberFormat="1" applyFont="1" applyFill="1" applyAlignment="1">
      <alignment horizontal="left" vertical="center"/>
    </xf>
    <xf numFmtId="166" fontId="32" fillId="2" borderId="0" xfId="2" applyNumberFormat="1" applyFont="1" applyFill="1" applyAlignment="1">
      <alignment horizontal="right"/>
    </xf>
    <xf numFmtId="166" fontId="7" fillId="2" borderId="0" xfId="2" applyNumberFormat="1" applyFont="1" applyFill="1"/>
    <xf numFmtId="166" fontId="2" fillId="2" borderId="0" xfId="1" applyNumberFormat="1" applyFill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15" fillId="0" borderId="20" xfId="0" applyNumberFormat="1" applyFont="1" applyBorder="1" applyAlignment="1">
      <alignment horizontal="righ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/>
    </xf>
    <xf numFmtId="166" fontId="15" fillId="0" borderId="4" xfId="0" applyNumberFormat="1" applyFont="1" applyBorder="1" applyAlignment="1">
      <alignment horizontal="right" vertical="center" wrapText="1"/>
    </xf>
    <xf numFmtId="166" fontId="38" fillId="0" borderId="1" xfId="0" applyNumberFormat="1" applyFont="1" applyBorder="1" applyAlignment="1">
      <alignment horizontal="right"/>
    </xf>
    <xf numFmtId="166" fontId="8" fillId="2" borderId="0" xfId="2" applyNumberFormat="1" applyFont="1" applyFill="1" applyAlignment="1">
      <alignment horizontal="left"/>
    </xf>
    <xf numFmtId="166" fontId="38" fillId="0" borderId="0" xfId="0" applyNumberFormat="1" applyFont="1" applyAlignment="1">
      <alignment horizontal="right"/>
    </xf>
    <xf numFmtId="166" fontId="8" fillId="2" borderId="0" xfId="2" applyNumberFormat="1" applyFont="1" applyFill="1" applyAlignment="1">
      <alignment horizontal="left" vertical="center"/>
    </xf>
    <xf numFmtId="166" fontId="16" fillId="0" borderId="0" xfId="50" applyNumberFormat="1" applyFont="1" applyFill="1" applyAlignment="1">
      <alignment horizontal="right" vertical="center" readingOrder="1"/>
    </xf>
    <xf numFmtId="166" fontId="41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6" fontId="39" fillId="0" borderId="0" xfId="0" applyNumberFormat="1" applyFont="1"/>
    <xf numFmtId="166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2"/>
    </xf>
    <xf numFmtId="166" fontId="18" fillId="0" borderId="0" xfId="50" applyNumberFormat="1" applyFont="1" applyFill="1" applyAlignment="1">
      <alignment horizontal="right" vertical="center" readingOrder="1"/>
    </xf>
    <xf numFmtId="166" fontId="22" fillId="0" borderId="0" xfId="50" applyNumberFormat="1" applyFont="1" applyFill="1" applyAlignment="1" applyProtection="1">
      <alignment horizontal="right" vertical="center"/>
    </xf>
    <xf numFmtId="166" fontId="5" fillId="2" borderId="0" xfId="2" applyNumberFormat="1" applyFont="1" applyFill="1" applyAlignment="1">
      <alignment horizontal="left" vertical="center" wrapText="1" indent="3"/>
    </xf>
    <xf numFmtId="166" fontId="18" fillId="2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wrapText="1" indent="1"/>
    </xf>
    <xf numFmtId="166" fontId="8" fillId="0" borderId="0" xfId="3" applyNumberFormat="1" applyFont="1" applyAlignment="1" applyProtection="1">
      <alignment horizontal="right" wrapText="1" readingOrder="1"/>
      <protection locked="0"/>
    </xf>
    <xf numFmtId="166" fontId="8" fillId="2" borderId="0" xfId="2" applyNumberFormat="1" applyFont="1" applyFill="1" applyAlignment="1">
      <alignment horizontal="left" vertical="center" indent="1"/>
    </xf>
    <xf numFmtId="166" fontId="5" fillId="2" borderId="0" xfId="2" applyNumberFormat="1" applyFont="1" applyFill="1" applyAlignment="1">
      <alignment horizontal="left" vertical="center" wrapText="1" indent="2"/>
    </xf>
    <xf numFmtId="166" fontId="10" fillId="0" borderId="1" xfId="2" applyNumberFormat="1" applyFont="1" applyBorder="1"/>
    <xf numFmtId="166" fontId="11" fillId="0" borderId="1" xfId="2" applyNumberFormat="1" applyFont="1" applyBorder="1"/>
    <xf numFmtId="166" fontId="10" fillId="0" borderId="0" xfId="2" applyNumberFormat="1" applyFont="1"/>
    <xf numFmtId="166" fontId="11" fillId="0" borderId="0" xfId="2" applyNumberFormat="1" applyFont="1"/>
    <xf numFmtId="166" fontId="4" fillId="2" borderId="0" xfId="3" applyNumberFormat="1" applyFont="1" applyFill="1"/>
    <xf numFmtId="166" fontId="12" fillId="2" borderId="0" xfId="3" applyNumberFormat="1" applyFont="1" applyFill="1"/>
    <xf numFmtId="166" fontId="30" fillId="2" borderId="0" xfId="3" applyNumberFormat="1" applyFont="1" applyFill="1"/>
    <xf numFmtId="166" fontId="13" fillId="2" borderId="0" xfId="4" applyNumberFormat="1" applyFont="1" applyFill="1" applyAlignment="1">
      <alignment horizontal="left"/>
    </xf>
    <xf numFmtId="166" fontId="14" fillId="2" borderId="0" xfId="4" applyNumberFormat="1" applyFont="1" applyFill="1" applyAlignment="1">
      <alignment horizontal="right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right" vertical="center" wrapText="1"/>
    </xf>
    <xf numFmtId="166" fontId="15" fillId="2" borderId="0" xfId="3" applyNumberFormat="1" applyFont="1" applyFill="1" applyAlignment="1">
      <alignment horizontal="left"/>
    </xf>
    <xf numFmtId="166" fontId="15" fillId="2" borderId="0" xfId="3" applyNumberFormat="1" applyFont="1" applyFill="1" applyAlignment="1">
      <alignment horizontal="left" vertical="center"/>
    </xf>
    <xf numFmtId="166" fontId="15" fillId="0" borderId="0" xfId="3" applyNumberFormat="1" applyFont="1" applyAlignment="1">
      <alignment horizontal="left" vertical="center" indent="2"/>
    </xf>
    <xf numFmtId="166" fontId="15" fillId="0" borderId="0" xfId="3" applyNumberFormat="1" applyFont="1" applyAlignment="1">
      <alignment horizontal="left" vertical="center" indent="1"/>
    </xf>
    <xf numFmtId="166" fontId="17" fillId="2" borderId="0" xfId="3" applyNumberFormat="1" applyFont="1" applyFill="1" applyAlignment="1">
      <alignment horizontal="left" vertical="center" wrapText="1" indent="3"/>
    </xf>
    <xf numFmtId="166" fontId="17" fillId="2" borderId="0" xfId="3" applyNumberFormat="1" applyFont="1" applyFill="1" applyAlignment="1">
      <alignment horizontal="left" vertical="center" wrapText="1" indent="2"/>
    </xf>
    <xf numFmtId="166" fontId="5" fillId="0" borderId="0" xfId="0" applyNumberFormat="1" applyFont="1" applyAlignment="1">
      <alignment horizontal="right" vertical="center" wrapText="1"/>
    </xf>
    <xf numFmtId="166" fontId="17" fillId="0" borderId="0" xfId="0" applyNumberFormat="1" applyFont="1" applyAlignment="1">
      <alignment horizontal="right" vertical="center" wrapText="1"/>
    </xf>
    <xf numFmtId="166" fontId="15" fillId="2" borderId="0" xfId="3" applyNumberFormat="1" applyFont="1" applyFill="1" applyAlignment="1">
      <alignment horizontal="left" vertical="center" indent="1"/>
    </xf>
    <xf numFmtId="166" fontId="15" fillId="2" borderId="0" xfId="3" applyNumberFormat="1" applyFont="1" applyFill="1" applyAlignment="1">
      <alignment horizontal="left" indent="1"/>
    </xf>
    <xf numFmtId="166" fontId="18" fillId="0" borderId="0" xfId="1" applyNumberFormat="1" applyFont="1" applyFill="1" applyAlignment="1">
      <alignment horizontal="right"/>
    </xf>
    <xf numFmtId="166" fontId="8" fillId="2" borderId="0" xfId="12" applyNumberFormat="1" applyFont="1" applyFill="1" applyBorder="1" applyAlignment="1">
      <alignment horizontal="left" vertical="center" indent="1"/>
    </xf>
    <xf numFmtId="166" fontId="8" fillId="2" borderId="0" xfId="12" applyNumberFormat="1" applyFont="1" applyFill="1" applyBorder="1" applyAlignment="1">
      <alignment horizontal="left" vertical="center"/>
    </xf>
    <xf numFmtId="166" fontId="15" fillId="0" borderId="0" xfId="3" applyNumberFormat="1" applyFont="1"/>
    <xf numFmtId="166" fontId="8" fillId="2" borderId="0" xfId="12" applyNumberFormat="1" applyFont="1" applyFill="1" applyAlignment="1">
      <alignment horizontal="left" wrapText="1" indent="1"/>
    </xf>
    <xf numFmtId="166" fontId="8" fillId="2" borderId="1" xfId="12" applyNumberFormat="1" applyFont="1" applyFill="1" applyBorder="1" applyAlignment="1">
      <alignment horizontal="left" wrapText="1" indent="1"/>
    </xf>
    <xf numFmtId="166" fontId="15" fillId="0" borderId="1" xfId="0" applyNumberFormat="1" applyFont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8" fillId="2" borderId="21" xfId="12" applyNumberFormat="1" applyFont="1" applyFill="1" applyBorder="1" applyAlignment="1">
      <alignment horizontal="left" wrapText="1" indent="1"/>
    </xf>
    <xf numFmtId="166" fontId="8" fillId="2" borderId="0" xfId="12" applyNumberFormat="1" applyFont="1" applyFill="1" applyBorder="1" applyAlignment="1">
      <alignment horizontal="left" wrapText="1" indent="1"/>
    </xf>
    <xf numFmtId="166" fontId="22" fillId="0" borderId="0" xfId="3" applyNumberFormat="1" applyFont="1" applyAlignment="1">
      <alignment horizontal="left" vertical="center"/>
    </xf>
    <xf numFmtId="166" fontId="19" fillId="0" borderId="0" xfId="3" applyNumberFormat="1" applyFont="1" applyAlignment="1">
      <alignment vertical="center"/>
    </xf>
    <xf numFmtId="166" fontId="7" fillId="2" borderId="1" xfId="3" applyNumberFormat="1" applyFont="1" applyFill="1" applyBorder="1"/>
    <xf numFmtId="166" fontId="7" fillId="2" borderId="0" xfId="3" applyNumberFormat="1" applyFont="1" applyFill="1"/>
    <xf numFmtId="166" fontId="23" fillId="2" borderId="0" xfId="3" applyNumberFormat="1" applyFont="1" applyFill="1"/>
    <xf numFmtId="166" fontId="8" fillId="2" borderId="0" xfId="3" applyNumberFormat="1" applyFont="1" applyFill="1" applyAlignment="1">
      <alignment horizontal="left"/>
    </xf>
    <xf numFmtId="166" fontId="8" fillId="2" borderId="0" xfId="3" applyNumberFormat="1" applyFont="1" applyFill="1" applyAlignment="1">
      <alignment horizontal="left" vertical="center"/>
    </xf>
    <xf numFmtId="166" fontId="1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wrapText="1" indent="3"/>
    </xf>
    <xf numFmtId="166" fontId="5" fillId="2" borderId="0" xfId="3" applyNumberFormat="1" applyFont="1" applyFill="1" applyAlignment="1">
      <alignment horizontal="left" vertical="center" wrapText="1" indent="2"/>
    </xf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4" applyNumberFormat="1" applyFont="1" applyFill="1" applyBorder="1" applyAlignment="1">
      <alignment horizontal="left" vertical="center" indent="1"/>
    </xf>
    <xf numFmtId="166" fontId="8" fillId="2" borderId="0" xfId="14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 indent="1"/>
    </xf>
    <xf numFmtId="166" fontId="1" fillId="0" borderId="1" xfId="3" applyNumberFormat="1" applyBorder="1"/>
    <xf numFmtId="166" fontId="0" fillId="0" borderId="1" xfId="0" applyNumberFormat="1" applyBorder="1"/>
    <xf numFmtId="166" fontId="22" fillId="0" borderId="0" xfId="3" applyNumberFormat="1" applyFont="1" applyAlignment="1">
      <alignment vertical="center"/>
    </xf>
    <xf numFmtId="166" fontId="33" fillId="0" borderId="0" xfId="0" applyNumberFormat="1" applyFont="1"/>
    <xf numFmtId="166" fontId="5" fillId="2" borderId="0" xfId="3" applyNumberFormat="1" applyFont="1" applyFill="1" applyAlignment="1">
      <alignment horizontal="right"/>
    </xf>
    <xf numFmtId="166" fontId="30" fillId="0" borderId="0" xfId="3" applyNumberFormat="1" applyFont="1" applyAlignment="1">
      <alignment vertical="center" wrapText="1"/>
    </xf>
    <xf numFmtId="166" fontId="32" fillId="2" borderId="0" xfId="3" applyNumberFormat="1" applyFont="1" applyFill="1" applyAlignment="1">
      <alignment horizontal="right"/>
    </xf>
    <xf numFmtId="166" fontId="6" fillId="0" borderId="0" xfId="0" applyNumberFormat="1" applyFont="1"/>
    <xf numFmtId="166" fontId="24" fillId="2" borderId="0" xfId="1" applyNumberFormat="1" applyFont="1" applyFill="1" applyAlignment="1">
      <alignment horizontal="right" vertical="center"/>
    </xf>
    <xf numFmtId="166" fontId="5" fillId="0" borderId="0" xfId="3" applyNumberFormat="1" applyFont="1" applyAlignment="1">
      <alignment horizontal="left" vertical="center" indent="2"/>
    </xf>
    <xf numFmtId="166" fontId="5" fillId="0" borderId="0" xfId="3" applyNumberFormat="1" applyFont="1" applyAlignment="1">
      <alignment horizontal="left" vertical="center" indent="1"/>
    </xf>
    <xf numFmtId="166" fontId="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indent="1"/>
    </xf>
    <xf numFmtId="166" fontId="5" fillId="2" borderId="0" xfId="3" applyNumberFormat="1" applyFont="1" applyFill="1" applyAlignment="1">
      <alignment horizontal="left" wrapText="1"/>
    </xf>
    <xf numFmtId="166" fontId="8" fillId="2" borderId="0" xfId="3" applyNumberFormat="1" applyFont="1" applyFill="1" applyAlignment="1">
      <alignment horizontal="right"/>
    </xf>
    <xf numFmtId="166" fontId="8" fillId="2" borderId="0" xfId="26" applyNumberFormat="1" applyFont="1" applyFill="1" applyBorder="1" applyAlignment="1">
      <alignment horizontal="left" vertical="center" indent="1"/>
    </xf>
    <xf numFmtId="166" fontId="8" fillId="2" borderId="0" xfId="26" applyNumberFormat="1" applyFont="1" applyFill="1" applyBorder="1" applyAlignment="1">
      <alignment horizontal="left" vertical="center"/>
    </xf>
    <xf numFmtId="166" fontId="8" fillId="2" borderId="0" xfId="26" applyNumberFormat="1" applyFont="1" applyFill="1" applyBorder="1" applyAlignment="1">
      <alignment horizontal="left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1" xfId="3" applyNumberFormat="1" applyFont="1" applyBorder="1"/>
    <xf numFmtId="166" fontId="5" fillId="2" borderId="1" xfId="3" applyNumberFormat="1" applyFont="1" applyFill="1" applyBorder="1" applyAlignment="1">
      <alignment horizontal="right"/>
    </xf>
    <xf numFmtId="166" fontId="11" fillId="0" borderId="0" xfId="3" applyNumberFormat="1" applyFont="1"/>
    <xf numFmtId="166" fontId="5" fillId="0" borderId="0" xfId="3" applyNumberFormat="1" applyFont="1" applyAlignment="1">
      <alignment horizontal="left" vertical="center"/>
    </xf>
    <xf numFmtId="166" fontId="5" fillId="2" borderId="0" xfId="3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30" fillId="2" borderId="0" xfId="3" applyNumberFormat="1" applyFont="1" applyFill="1" applyAlignment="1">
      <alignment horizontal="left" vertical="center"/>
    </xf>
    <xf numFmtId="166" fontId="8" fillId="2" borderId="0" xfId="3" applyNumberFormat="1" applyFont="1" applyFill="1" applyAlignment="1">
      <alignment horizontal="left" vertical="center" wrapText="1" indent="2"/>
    </xf>
    <xf numFmtId="166" fontId="5" fillId="2" borderId="0" xfId="3" applyNumberFormat="1" applyFont="1" applyFill="1" applyAlignment="1">
      <alignment horizontal="left" vertical="center" wrapText="1" indent="1"/>
    </xf>
    <xf numFmtId="166" fontId="26" fillId="0" borderId="0" xfId="3" applyNumberFormat="1" applyFont="1"/>
    <xf numFmtId="166" fontId="8" fillId="2" borderId="0" xfId="17" applyNumberFormat="1" applyFont="1" applyFill="1" applyBorder="1" applyAlignment="1">
      <alignment horizontal="left" vertical="center" indent="1"/>
    </xf>
    <xf numFmtId="166" fontId="8" fillId="2" borderId="0" xfId="17" applyNumberFormat="1" applyFont="1" applyFill="1" applyBorder="1" applyAlignment="1">
      <alignment horizontal="left" vertical="center"/>
    </xf>
    <xf numFmtId="166" fontId="5" fillId="2" borderId="1" xfId="3" applyNumberFormat="1" applyFont="1" applyFill="1" applyBorder="1" applyAlignment="1">
      <alignment horizontal="left"/>
    </xf>
    <xf numFmtId="166" fontId="5" fillId="2" borderId="0" xfId="3" applyNumberFormat="1" applyFont="1" applyFill="1" applyAlignment="1">
      <alignment horizontal="left"/>
    </xf>
    <xf numFmtId="166" fontId="5" fillId="0" borderId="0" xfId="3" applyNumberFormat="1" applyFont="1"/>
    <xf numFmtId="166" fontId="10" fillId="0" borderId="0" xfId="3" applyNumberFormat="1" applyFont="1"/>
    <xf numFmtId="166" fontId="38" fillId="0" borderId="0" xfId="0" applyNumberFormat="1" applyFont="1"/>
    <xf numFmtId="166" fontId="21" fillId="2" borderId="0" xfId="3" applyNumberFormat="1" applyFont="1" applyFill="1"/>
    <xf numFmtId="166" fontId="34" fillId="2" borderId="0" xfId="3" applyNumberFormat="1" applyFont="1" applyFill="1" applyAlignment="1">
      <alignment vertical="center" wrapText="1"/>
    </xf>
    <xf numFmtId="166" fontId="34" fillId="2" borderId="0" xfId="3" applyNumberFormat="1" applyFont="1" applyFill="1" applyAlignment="1">
      <alignment horizontal="left" vertical="center" wrapText="1"/>
    </xf>
    <xf numFmtId="166" fontId="15" fillId="2" borderId="0" xfId="3" applyNumberFormat="1" applyFont="1" applyFill="1" applyAlignment="1">
      <alignment horizontal="center" vertical="center" wrapText="1"/>
    </xf>
    <xf numFmtId="166" fontId="17" fillId="2" borderId="0" xfId="3" applyNumberFormat="1" applyFont="1" applyFill="1" applyAlignment="1">
      <alignment horizontal="left" vertical="center" wrapText="1"/>
    </xf>
    <xf numFmtId="166" fontId="17" fillId="2" borderId="0" xfId="3" applyNumberFormat="1" applyFont="1" applyFill="1" applyAlignment="1">
      <alignment horizontal="left" vertical="center" wrapText="1" indent="1"/>
    </xf>
    <xf numFmtId="166" fontId="5" fillId="2" borderId="0" xfId="3" applyNumberFormat="1" applyFont="1" applyFill="1" applyAlignment="1">
      <alignment horizontal="left" wrapText="1" indent="2"/>
    </xf>
    <xf numFmtId="166" fontId="17" fillId="2" borderId="0" xfId="3" applyNumberFormat="1" applyFont="1" applyFill="1" applyAlignment="1">
      <alignment horizontal="left" wrapText="1" indent="1"/>
    </xf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8" applyNumberFormat="1" applyFont="1" applyFill="1" applyBorder="1" applyAlignment="1">
      <alignment horizontal="left" vertical="center" indent="1"/>
    </xf>
    <xf numFmtId="166" fontId="8" fillId="2" borderId="0" xfId="18" applyNumberFormat="1" applyFont="1" applyFill="1" applyBorder="1" applyAlignment="1">
      <alignment horizontal="left" vertical="center"/>
    </xf>
    <xf numFmtId="166" fontId="8" fillId="2" borderId="0" xfId="18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left"/>
    </xf>
    <xf numFmtId="166" fontId="17" fillId="2" borderId="1" xfId="3" applyNumberFormat="1" applyFont="1" applyFill="1" applyBorder="1" applyAlignment="1">
      <alignment horizontal="left"/>
    </xf>
    <xf numFmtId="166" fontId="1" fillId="2" borderId="1" xfId="3" applyNumberFormat="1" applyFill="1" applyBorder="1"/>
    <xf numFmtId="166" fontId="1" fillId="2" borderId="0" xfId="3" applyNumberFormat="1" applyFill="1"/>
    <xf numFmtId="166" fontId="17" fillId="0" borderId="0" xfId="3" applyNumberFormat="1" applyFont="1" applyAlignment="1">
      <alignment horizontal="left" vertical="center"/>
    </xf>
    <xf numFmtId="166" fontId="19" fillId="2" borderId="0" xfId="3" applyNumberFormat="1" applyFont="1" applyFill="1"/>
    <xf numFmtId="166" fontId="30" fillId="2" borderId="0" xfId="3" applyNumberFormat="1" applyFont="1" applyFill="1" applyAlignment="1">
      <alignment vertical="center" wrapText="1"/>
    </xf>
    <xf numFmtId="166" fontId="17" fillId="2" borderId="0" xfId="3" applyNumberFormat="1" applyFont="1" applyFill="1" applyAlignment="1">
      <alignment horizontal="left" wrapText="1"/>
    </xf>
    <xf numFmtId="166" fontId="8" fillId="2" borderId="0" xfId="19" applyNumberFormat="1" applyFont="1" applyFill="1" applyBorder="1" applyAlignment="1">
      <alignment horizontal="left" vertical="center" indent="1"/>
    </xf>
    <xf numFmtId="166" fontId="8" fillId="2" borderId="0" xfId="19" applyNumberFormat="1" applyFont="1" applyFill="1" applyBorder="1" applyAlignment="1">
      <alignment horizontal="left" vertical="center"/>
    </xf>
    <xf numFmtId="166" fontId="8" fillId="2" borderId="1" xfId="19" applyNumberFormat="1" applyFont="1" applyFill="1" applyBorder="1" applyAlignment="1">
      <alignment horizontal="left" vertical="center"/>
    </xf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30" fillId="0" borderId="0" xfId="2" applyNumberFormat="1" applyFont="1" applyAlignment="1">
      <alignment vertical="center" wrapText="1"/>
    </xf>
    <xf numFmtId="166" fontId="16" fillId="0" borderId="0" xfId="1" applyNumberFormat="1" applyFont="1" applyFill="1" applyAlignment="1">
      <alignment horizontal="right" vertical="center" readingOrder="1"/>
    </xf>
    <xf numFmtId="166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1"/>
    </xf>
    <xf numFmtId="166" fontId="5" fillId="2" borderId="0" xfId="2" applyNumberFormat="1" applyFont="1" applyFill="1" applyAlignment="1">
      <alignment horizontal="left" vertical="center" indent="3"/>
    </xf>
    <xf numFmtId="166" fontId="18" fillId="0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vertical="center" wrapText="1" indent="1"/>
    </xf>
    <xf numFmtId="166" fontId="8" fillId="2" borderId="0" xfId="20" applyNumberFormat="1" applyFont="1" applyFill="1" applyBorder="1" applyAlignment="1">
      <alignment horizontal="left" vertical="center" indent="1"/>
    </xf>
    <xf numFmtId="166" fontId="8" fillId="2" borderId="0" xfId="20" applyNumberFormat="1" applyFont="1" applyFill="1" applyBorder="1" applyAlignment="1">
      <alignment horizontal="left" vertical="center"/>
    </xf>
    <xf numFmtId="166" fontId="10" fillId="2" borderId="1" xfId="2" applyNumberFormat="1" applyFont="1" applyFill="1" applyBorder="1"/>
    <xf numFmtId="166" fontId="11" fillId="2" borderId="1" xfId="2" applyNumberFormat="1" applyFont="1" applyFill="1" applyBorder="1"/>
    <xf numFmtId="166" fontId="10" fillId="2" borderId="0" xfId="2" applyNumberFormat="1" applyFont="1" applyFill="1"/>
    <xf numFmtId="166" fontId="11" fillId="2" borderId="0" xfId="2" applyNumberFormat="1" applyFont="1" applyFill="1"/>
    <xf numFmtId="166" fontId="5" fillId="2" borderId="0" xfId="2" applyNumberFormat="1" applyFont="1" applyFill="1" applyAlignment="1">
      <alignment horizontal="left" vertical="center"/>
    </xf>
    <xf numFmtId="166" fontId="11" fillId="2" borderId="0" xfId="2" applyNumberFormat="1" applyFont="1" applyFill="1" applyAlignment="1">
      <alignment horizontal="right"/>
    </xf>
    <xf numFmtId="166" fontId="28" fillId="2" borderId="0" xfId="3" applyNumberFormat="1" applyFont="1" applyFill="1" applyAlignment="1">
      <alignment horizontal="left"/>
    </xf>
    <xf numFmtId="166" fontId="3" fillId="2" borderId="0" xfId="3" applyNumberFormat="1" applyFont="1" applyFill="1" applyAlignment="1">
      <alignment vertical="center" wrapText="1"/>
    </xf>
    <xf numFmtId="166" fontId="8" fillId="2" borderId="0" xfId="3" applyNumberFormat="1" applyFont="1" applyFill="1" applyAlignment="1">
      <alignment horizontal="left" vertical="center" wrapText="1" indent="1"/>
    </xf>
    <xf numFmtId="166" fontId="5" fillId="0" borderId="0" xfId="3" applyNumberFormat="1" applyFont="1" applyAlignment="1">
      <alignment horizontal="left" vertical="center" indent="3"/>
    </xf>
    <xf numFmtId="166" fontId="5" fillId="0" borderId="0" xfId="3" applyNumberFormat="1" applyFont="1" applyAlignment="1">
      <alignment horizontal="left" vertical="center" wrapText="1" indent="3"/>
    </xf>
    <xf numFmtId="166" fontId="8" fillId="0" borderId="0" xfId="0" applyNumberFormat="1" applyFont="1" applyAlignment="1">
      <alignment horizontal="right" vertical="center" wrapText="1"/>
    </xf>
    <xf numFmtId="166" fontId="8" fillId="2" borderId="0" xfId="21" applyNumberFormat="1" applyFont="1" applyFill="1" applyBorder="1" applyAlignment="1">
      <alignment horizontal="left" vertical="center" indent="1"/>
    </xf>
    <xf numFmtId="166" fontId="8" fillId="2" borderId="0" xfId="21" applyNumberFormat="1" applyFont="1" applyFill="1" applyBorder="1" applyAlignment="1">
      <alignment horizontal="left" vertical="center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0" fillId="0" borderId="1" xfId="3" applyNumberFormat="1" applyFont="1" applyBorder="1"/>
    <xf numFmtId="166" fontId="5" fillId="0" borderId="0" xfId="6" applyNumberFormat="1" applyFont="1" applyAlignment="1">
      <alignment horizontal="left" vertical="center"/>
    </xf>
    <xf numFmtId="166" fontId="5" fillId="0" borderId="0" xfId="3" applyNumberFormat="1" applyFont="1" applyAlignment="1">
      <alignment horizontal="left" vertical="center" wrapText="1" indent="2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2" applyNumberFormat="1" applyFont="1" applyFill="1" applyBorder="1" applyAlignment="1">
      <alignment horizontal="left" vertical="center" indent="1"/>
    </xf>
    <xf numFmtId="166" fontId="8" fillId="2" borderId="0" xfId="22" applyNumberFormat="1" applyFont="1" applyFill="1" applyBorder="1" applyAlignment="1">
      <alignment horizontal="left" vertical="center"/>
    </xf>
    <xf numFmtId="166" fontId="8" fillId="2" borderId="0" xfId="22" applyNumberFormat="1" applyFont="1" applyFill="1" applyBorder="1" applyAlignment="1">
      <alignment horizontal="left"/>
    </xf>
    <xf numFmtId="166" fontId="17" fillId="2" borderId="0" xfId="3" applyNumberFormat="1" applyFont="1" applyFill="1" applyAlignment="1">
      <alignment horizontal="right"/>
    </xf>
    <xf numFmtId="166" fontId="27" fillId="2" borderId="0" xfId="3" applyNumberFormat="1" applyFont="1" applyFill="1" applyAlignment="1">
      <alignment vertical="center"/>
    </xf>
    <xf numFmtId="166" fontId="17" fillId="2" borderId="0" xfId="3" applyNumberFormat="1" applyFont="1" applyFill="1" applyAlignment="1">
      <alignment horizontal="left" wrapText="1" indent="2"/>
    </xf>
    <xf numFmtId="166" fontId="17" fillId="0" borderId="0" xfId="3" applyNumberFormat="1" applyFont="1" applyAlignment="1">
      <alignment horizontal="left" wrapText="1" indent="2"/>
    </xf>
    <xf numFmtId="166" fontId="17" fillId="0" borderId="0" xfId="5" applyNumberFormat="1" applyFont="1"/>
    <xf numFmtId="166" fontId="8" fillId="2" borderId="0" xfId="23" applyNumberFormat="1" applyFont="1" applyFill="1" applyBorder="1" applyAlignment="1">
      <alignment horizontal="left" vertical="center"/>
    </xf>
    <xf numFmtId="166" fontId="8" fillId="2" borderId="0" xfId="23" applyNumberFormat="1" applyFont="1" applyFill="1" applyBorder="1" applyAlignment="1">
      <alignment horizontal="left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7" fillId="2" borderId="1" xfId="3" applyNumberFormat="1" applyFont="1" applyFill="1" applyBorder="1" applyAlignment="1">
      <alignment horizontal="left" wrapText="1"/>
    </xf>
    <xf numFmtId="166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66" fontId="22" fillId="2" borderId="0" xfId="5" applyNumberFormat="1" applyFont="1" applyFill="1" applyAlignment="1" applyProtection="1">
      <alignment horizontal="right" wrapText="1" readingOrder="1"/>
      <protection locked="0"/>
    </xf>
    <xf numFmtId="166" fontId="19" fillId="2" borderId="0" xfId="3" applyNumberFormat="1" applyFont="1" applyFill="1" applyAlignment="1">
      <alignment horizontal="left"/>
    </xf>
    <xf numFmtId="166" fontId="4" fillId="0" borderId="0" xfId="3" applyNumberFormat="1" applyFont="1"/>
    <xf numFmtId="166" fontId="30" fillId="0" borderId="0" xfId="3" applyNumberFormat="1" applyFont="1" applyAlignment="1">
      <alignment wrapText="1"/>
    </xf>
    <xf numFmtId="166" fontId="4" fillId="0" borderId="0" xfId="3" applyNumberFormat="1" applyFont="1" applyAlignment="1">
      <alignment wrapText="1"/>
    </xf>
    <xf numFmtId="166" fontId="5" fillId="2" borderId="0" xfId="3" applyNumberFormat="1" applyFont="1" applyFill="1" applyAlignment="1">
      <alignment horizontal="left" wrapText="1" indent="1"/>
    </xf>
    <xf numFmtId="166" fontId="8" fillId="2" borderId="0" xfId="24" applyNumberFormat="1" applyFont="1" applyFill="1" applyBorder="1" applyAlignment="1">
      <alignment horizontal="left" vertical="center" indent="1"/>
    </xf>
    <xf numFmtId="166" fontId="8" fillId="2" borderId="0" xfId="24" applyNumberFormat="1" applyFont="1" applyFill="1" applyBorder="1" applyAlignment="1">
      <alignment horizontal="left" vertical="center"/>
    </xf>
    <xf numFmtId="166" fontId="8" fillId="2" borderId="0" xfId="24" applyNumberFormat="1" applyFont="1" applyFill="1" applyBorder="1" applyAlignment="1">
      <alignment horizontal="left"/>
    </xf>
    <xf numFmtId="166" fontId="11" fillId="2" borderId="0" xfId="3" applyNumberFormat="1" applyFont="1" applyFill="1"/>
    <xf numFmtId="166" fontId="8" fillId="2" borderId="0" xfId="25" applyNumberFormat="1" applyFont="1" applyFill="1" applyBorder="1" applyAlignment="1">
      <alignment horizontal="left" vertical="center" indent="1"/>
    </xf>
    <xf numFmtId="166" fontId="8" fillId="2" borderId="0" xfId="25" applyNumberFormat="1" applyFont="1" applyFill="1" applyBorder="1" applyAlignment="1">
      <alignment horizontal="left" vertical="center"/>
    </xf>
    <xf numFmtId="166" fontId="8" fillId="2" borderId="0" xfId="25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right" wrapText="1"/>
    </xf>
    <xf numFmtId="166" fontId="17" fillId="2" borderId="1" xfId="3" applyNumberFormat="1" applyFont="1" applyFill="1" applyBorder="1" applyAlignment="1">
      <alignment horizontal="right" wrapText="1"/>
    </xf>
    <xf numFmtId="166" fontId="15" fillId="2" borderId="0" xfId="3" applyNumberFormat="1" applyFont="1" applyFill="1" applyAlignment="1">
      <alignment horizontal="right" wrapText="1"/>
    </xf>
    <xf numFmtId="166" fontId="17" fillId="2" borderId="0" xfId="3" applyNumberFormat="1" applyFont="1" applyFill="1" applyAlignment="1">
      <alignment horizontal="right" wrapText="1"/>
    </xf>
    <xf numFmtId="166" fontId="10" fillId="2" borderId="0" xfId="3" applyNumberFormat="1" applyFont="1" applyFill="1"/>
    <xf numFmtId="0" fontId="5" fillId="2" borderId="0" xfId="3" applyFont="1" applyFill="1" applyAlignment="1">
      <alignment horizontal="left" wrapText="1"/>
    </xf>
    <xf numFmtId="167" fontId="8" fillId="2" borderId="0" xfId="23" applyNumberFormat="1" applyFont="1" applyFill="1" applyBorder="1" applyAlignment="1">
      <alignment horizontal="left" vertical="center"/>
    </xf>
    <xf numFmtId="167" fontId="8" fillId="2" borderId="0" xfId="23" applyNumberFormat="1" applyFont="1" applyFill="1" applyBorder="1" applyAlignment="1">
      <alignment horizontal="left"/>
    </xf>
    <xf numFmtId="167" fontId="8" fillId="2" borderId="0" xfId="23" applyNumberFormat="1" applyFont="1" applyFill="1" applyBorder="1" applyAlignment="1">
      <alignment horizontal="left" vertical="center" indent="1"/>
    </xf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30" fillId="2" borderId="0" xfId="3" applyFont="1" applyFill="1"/>
    <xf numFmtId="166" fontId="42" fillId="0" borderId="10" xfId="8" applyNumberFormat="1" applyFont="1" applyBorder="1" applyAlignment="1">
      <alignment horizontal="left" vertical="center" wrapText="1" indent="1"/>
    </xf>
    <xf numFmtId="166" fontId="42" fillId="0" borderId="11" xfId="8" applyNumberFormat="1" applyFont="1" applyBorder="1" applyAlignment="1">
      <alignment horizontal="left" vertical="center" wrapText="1" indent="1"/>
    </xf>
    <xf numFmtId="166" fontId="42" fillId="0" borderId="12" xfId="8" applyNumberFormat="1" applyFont="1" applyBorder="1" applyAlignment="1">
      <alignment horizontal="left" vertical="center" wrapText="1" indent="1"/>
    </xf>
    <xf numFmtId="166" fontId="42" fillId="0" borderId="17" xfId="8" applyNumberFormat="1" applyFont="1" applyBorder="1" applyAlignment="1">
      <alignment horizontal="left" vertical="center" wrapText="1" indent="1"/>
    </xf>
    <xf numFmtId="166" fontId="42" fillId="0" borderId="18" xfId="8" applyNumberFormat="1" applyFont="1" applyBorder="1" applyAlignment="1">
      <alignment horizontal="left" vertical="center" wrapText="1" indent="1"/>
    </xf>
    <xf numFmtId="166" fontId="42" fillId="0" borderId="19" xfId="8" applyNumberFormat="1" applyFont="1" applyBorder="1" applyAlignment="1">
      <alignment horizontal="left" vertical="center" wrapText="1" indent="1"/>
    </xf>
    <xf numFmtId="166" fontId="49" fillId="0" borderId="8" xfId="7" applyNumberFormat="1" applyFont="1" applyFill="1" applyBorder="1" applyAlignment="1">
      <alignment horizontal="center" vertical="center" wrapText="1"/>
    </xf>
    <xf numFmtId="166" fontId="49" fillId="0" borderId="13" xfId="7" applyNumberFormat="1" applyFont="1" applyFill="1" applyBorder="1" applyAlignment="1">
      <alignment horizontal="center" vertical="center" wrapText="1"/>
    </xf>
    <xf numFmtId="166" fontId="49" fillId="0" borderId="15" xfId="7" applyNumberFormat="1" applyFont="1" applyFill="1" applyBorder="1" applyAlignment="1">
      <alignment horizontal="left" vertical="center" wrapText="1" readingOrder="1"/>
    </xf>
    <xf numFmtId="166" fontId="52" fillId="0" borderId="10" xfId="8" applyNumberFormat="1" applyFont="1" applyBorder="1" applyAlignment="1">
      <alignment horizontal="left" vertical="center" wrapText="1" indent="1"/>
    </xf>
    <xf numFmtId="166" fontId="52" fillId="0" borderId="11" xfId="8" applyNumberFormat="1" applyFont="1" applyBorder="1" applyAlignment="1">
      <alignment horizontal="left" vertical="center" wrapText="1" indent="1"/>
    </xf>
    <xf numFmtId="166" fontId="52" fillId="0" borderId="12" xfId="8" applyNumberFormat="1" applyFont="1" applyBorder="1" applyAlignment="1">
      <alignment horizontal="left" vertical="center" wrapText="1" indent="1"/>
    </xf>
    <xf numFmtId="166" fontId="47" fillId="5" borderId="6" xfId="8" applyNumberFormat="1" applyFont="1" applyFill="1" applyBorder="1" applyAlignment="1">
      <alignment horizontal="center" vertical="center"/>
    </xf>
    <xf numFmtId="166" fontId="47" fillId="5" borderId="7" xfId="8" applyNumberFormat="1" applyFont="1" applyFill="1" applyBorder="1" applyAlignment="1">
      <alignment horizontal="center" vertical="center"/>
    </xf>
    <xf numFmtId="166" fontId="44" fillId="0" borderId="0" xfId="3" applyNumberFormat="1" applyFont="1" applyAlignment="1">
      <alignment horizontal="center" vertical="center"/>
    </xf>
    <xf numFmtId="166" fontId="45" fillId="0" borderId="0" xfId="3" applyNumberFormat="1" applyFont="1" applyAlignment="1">
      <alignment horizontal="center" vertical="center"/>
    </xf>
    <xf numFmtId="166" fontId="53" fillId="4" borderId="0" xfId="51" applyNumberFormat="1" applyFont="1" applyFill="1" applyAlignment="1">
      <alignment horizontal="center" vertical="center"/>
    </xf>
    <xf numFmtId="166" fontId="48" fillId="0" borderId="0" xfId="51" applyNumberFormat="1" applyFont="1" applyAlignment="1">
      <alignment horizontal="center" vertical="center"/>
    </xf>
    <xf numFmtId="166" fontId="48" fillId="0" borderId="0" xfId="8" applyNumberFormat="1" applyFont="1" applyAlignment="1">
      <alignment horizontal="right"/>
    </xf>
    <xf numFmtId="166" fontId="22" fillId="0" borderId="0" xfId="0" applyNumberFormat="1" applyFont="1" applyAlignment="1">
      <alignment horizontal="left" vertical="center" wrapText="1"/>
    </xf>
    <xf numFmtId="166" fontId="15" fillId="0" borderId="20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 vertical="center" wrapText="1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center" vertical="center" wrapText="1"/>
    </xf>
    <xf numFmtId="166" fontId="5" fillId="0" borderId="0" xfId="3" applyNumberFormat="1" applyFont="1" applyAlignment="1">
      <alignment horizontal="left" vertical="center" wrapText="1"/>
    </xf>
    <xf numFmtId="166" fontId="30" fillId="0" borderId="0" xfId="3" applyNumberFormat="1" applyFont="1" applyAlignment="1">
      <alignment horizontal="left" vertical="center" wrapText="1"/>
    </xf>
    <xf numFmtId="166" fontId="4" fillId="2" borderId="0" xfId="3" applyNumberFormat="1" applyFont="1" applyFill="1"/>
    <xf numFmtId="166" fontId="30" fillId="2" borderId="0" xfId="3" applyNumberFormat="1" applyFont="1" applyFill="1" applyAlignment="1">
      <alignment horizontal="left" vertical="center" wrapText="1"/>
    </xf>
    <xf numFmtId="166" fontId="3" fillId="2" borderId="0" xfId="3" applyNumberFormat="1" applyFont="1" applyFill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4" fillId="6" borderId="0" xfId="0" applyFont="1" applyFill="1" applyAlignment="1">
      <alignment vertical="center"/>
    </xf>
  </cellXfs>
  <cellStyles count="57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3 3" xfId="52" xr:uid="{43877A14-1ADF-47C3-ABCB-A8BA4A1D02D1}"/>
    <cellStyle name="Millares 14" xfId="24" xr:uid="{F35065A6-B044-44AF-BC76-93EDECD09466}"/>
    <cellStyle name="Millares 14 2" xfId="43" xr:uid="{2CD02600-F4DA-46B6-AB46-64D836E20BBD}"/>
    <cellStyle name="Millares 14 3" xfId="53" xr:uid="{4C65F121-097D-4589-BC87-CB193A48A0EA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5 3" xfId="56" xr:uid="{415E3428-E550-48BD-B911-3072CA2B5B85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" xfId="55" xr:uid="{69226B6E-7222-41F6-B032-E0D78BE236ED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8 2" xfId="54" xr:uid="{573761B3-2646-4073-BDF2-9AF65C406AF0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6" customWidth="1"/>
    <col min="2" max="2" width="20.28515625" style="6" customWidth="1"/>
    <col min="3" max="3" width="17.42578125" style="6" customWidth="1"/>
    <col min="4" max="14" width="11.42578125" style="6"/>
    <col min="15" max="15" width="1.5703125" style="6" customWidth="1"/>
    <col min="16" max="16384" width="11.42578125" style="6"/>
  </cols>
  <sheetData>
    <row r="1" spans="1:20" s="1" customFormat="1" ht="20.100000000000001" customHeight="1">
      <c r="A1" s="7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1" customFormat="1" ht="20.100000000000001" customHeight="1">
      <c r="A2" s="9"/>
      <c r="B2" s="249" t="s">
        <v>114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9"/>
      <c r="P2" s="9"/>
      <c r="Q2" s="9"/>
      <c r="R2" s="9"/>
      <c r="S2" s="9"/>
      <c r="T2" s="9"/>
    </row>
    <row r="3" spans="1:20" s="1" customFormat="1" ht="20.100000000000001" customHeight="1">
      <c r="A3" s="9"/>
      <c r="B3" s="250" t="s">
        <v>115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9"/>
      <c r="P3" s="9"/>
      <c r="Q3" s="9"/>
      <c r="R3" s="9"/>
      <c r="S3" s="9"/>
      <c r="T3" s="9"/>
    </row>
    <row r="4" spans="1:20" ht="6.9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</row>
    <row r="5" spans="1:20" ht="20.100000000000001" customHeight="1">
      <c r="A5" s="251" t="s">
        <v>157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12"/>
      <c r="P5" s="10"/>
      <c r="Q5" s="10"/>
      <c r="R5" s="10"/>
      <c r="S5" s="10"/>
      <c r="T5" s="10"/>
    </row>
    <row r="6" spans="1:20" ht="6.95" customHeight="1">
      <c r="A6" s="13"/>
      <c r="B6" s="12" t="s">
        <v>116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0"/>
      <c r="Q6" s="10"/>
      <c r="R6" s="10"/>
      <c r="S6" s="10"/>
      <c r="T6" s="15"/>
    </row>
    <row r="7" spans="1:20" ht="20.100000000000001" customHeight="1">
      <c r="A7" s="13"/>
      <c r="B7" s="252" t="s">
        <v>116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13"/>
      <c r="P7" s="10"/>
      <c r="Q7" s="10"/>
      <c r="R7" s="10"/>
      <c r="S7" s="10"/>
      <c r="T7" s="10"/>
    </row>
    <row r="8" spans="1:20" ht="20.100000000000001" customHeight="1">
      <c r="A8" s="16"/>
      <c r="B8" s="17" t="s">
        <v>166</v>
      </c>
      <c r="C8" s="18"/>
      <c r="D8" s="16"/>
      <c r="E8" s="16"/>
      <c r="F8" s="16"/>
      <c r="G8" s="16"/>
      <c r="H8" s="16"/>
      <c r="I8" s="16"/>
      <c r="J8" s="16"/>
      <c r="K8" s="16"/>
      <c r="L8" s="16"/>
      <c r="M8" s="253" t="str">
        <f>CONCATENATE("Total de tabulados: ", COUNTIF(C11:C23,"&lt;&gt;"))</f>
        <v>Total de tabulados: 13</v>
      </c>
      <c r="N8" s="253"/>
      <c r="O8" s="16"/>
      <c r="P8" s="10"/>
      <c r="Q8" s="10"/>
      <c r="R8" s="10"/>
      <c r="S8" s="10"/>
      <c r="T8" s="10"/>
    </row>
    <row r="9" spans="1:20" ht="6.95" customHeight="1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thickBot="1">
      <c r="A10" s="10"/>
      <c r="B10" s="19" t="s">
        <v>117</v>
      </c>
      <c r="C10" s="20" t="s">
        <v>118</v>
      </c>
      <c r="D10" s="247" t="s">
        <v>119</v>
      </c>
      <c r="E10" s="247"/>
      <c r="F10" s="247"/>
      <c r="G10" s="247"/>
      <c r="H10" s="247"/>
      <c r="I10" s="247"/>
      <c r="J10" s="247"/>
      <c r="K10" s="247"/>
      <c r="L10" s="247"/>
      <c r="M10" s="247"/>
      <c r="N10" s="248"/>
      <c r="O10" s="10"/>
      <c r="P10" s="10"/>
      <c r="Q10" s="10"/>
      <c r="R10" s="10"/>
      <c r="S10" s="10"/>
      <c r="T10" s="10"/>
    </row>
    <row r="11" spans="1:20" ht="39.950000000000003" customHeight="1">
      <c r="A11" s="10"/>
      <c r="B11" s="241" t="s">
        <v>120</v>
      </c>
      <c r="C11" s="21" t="s">
        <v>121</v>
      </c>
      <c r="D11" s="235" t="s">
        <v>127</v>
      </c>
      <c r="E11" s="236"/>
      <c r="F11" s="236"/>
      <c r="G11" s="236"/>
      <c r="H11" s="236"/>
      <c r="I11" s="236"/>
      <c r="J11" s="236"/>
      <c r="K11" s="236"/>
      <c r="L11" s="236"/>
      <c r="M11" s="236"/>
      <c r="N11" s="237"/>
      <c r="O11" s="22"/>
      <c r="P11" s="22"/>
      <c r="Q11" s="22"/>
      <c r="R11" s="22"/>
      <c r="S11" s="22"/>
      <c r="T11" s="22"/>
    </row>
    <row r="12" spans="1:20" ht="39.950000000000003" customHeight="1">
      <c r="A12" s="10"/>
      <c r="B12" s="242"/>
      <c r="C12" s="23" t="s">
        <v>122</v>
      </c>
      <c r="D12" s="235" t="s">
        <v>128</v>
      </c>
      <c r="E12" s="236"/>
      <c r="F12" s="236"/>
      <c r="G12" s="236"/>
      <c r="H12" s="236"/>
      <c r="I12" s="236"/>
      <c r="J12" s="236"/>
      <c r="K12" s="236"/>
      <c r="L12" s="236"/>
      <c r="M12" s="236"/>
      <c r="N12" s="237"/>
      <c r="O12" s="22"/>
      <c r="P12" s="22"/>
      <c r="Q12" s="22"/>
      <c r="R12" s="22"/>
      <c r="S12" s="22"/>
      <c r="T12" s="22"/>
    </row>
    <row r="13" spans="1:20" ht="39.950000000000003" customHeight="1">
      <c r="A13" s="10"/>
      <c r="B13" s="242"/>
      <c r="C13" s="23" t="s">
        <v>53</v>
      </c>
      <c r="D13" s="235" t="s">
        <v>129</v>
      </c>
      <c r="E13" s="236"/>
      <c r="F13" s="236"/>
      <c r="G13" s="236"/>
      <c r="H13" s="236"/>
      <c r="I13" s="236"/>
      <c r="J13" s="236"/>
      <c r="K13" s="236"/>
      <c r="L13" s="236"/>
      <c r="M13" s="236"/>
      <c r="N13" s="237"/>
      <c r="O13" s="22"/>
      <c r="P13" s="22"/>
      <c r="Q13" s="22"/>
      <c r="R13" s="22"/>
      <c r="S13" s="22"/>
      <c r="T13" s="22"/>
    </row>
    <row r="14" spans="1:20" ht="39.950000000000003" customHeight="1">
      <c r="A14" s="10"/>
      <c r="B14" s="242"/>
      <c r="C14" s="23" t="s">
        <v>54</v>
      </c>
      <c r="D14" s="235" t="s">
        <v>136</v>
      </c>
      <c r="E14" s="236"/>
      <c r="F14" s="236"/>
      <c r="G14" s="236"/>
      <c r="H14" s="236"/>
      <c r="I14" s="236"/>
      <c r="J14" s="236"/>
      <c r="K14" s="236"/>
      <c r="L14" s="236"/>
      <c r="M14" s="236"/>
      <c r="N14" s="237"/>
      <c r="O14" s="22"/>
      <c r="P14" s="22"/>
      <c r="Q14" s="22"/>
      <c r="R14" s="22"/>
      <c r="S14" s="22"/>
      <c r="T14" s="22"/>
    </row>
    <row r="15" spans="1:20" ht="39.950000000000003" customHeight="1">
      <c r="A15" s="10"/>
      <c r="B15" s="242"/>
      <c r="C15" s="23" t="s">
        <v>55</v>
      </c>
      <c r="D15" s="235" t="s">
        <v>139</v>
      </c>
      <c r="E15" s="236"/>
      <c r="F15" s="236"/>
      <c r="G15" s="236"/>
      <c r="H15" s="236"/>
      <c r="I15" s="236"/>
      <c r="J15" s="236"/>
      <c r="K15" s="236"/>
      <c r="L15" s="236"/>
      <c r="M15" s="236"/>
      <c r="N15" s="237"/>
      <c r="O15" s="22"/>
      <c r="P15" s="22"/>
      <c r="Q15" s="22"/>
      <c r="R15" s="22"/>
      <c r="S15" s="22"/>
      <c r="T15" s="22"/>
    </row>
    <row r="16" spans="1:20" ht="39.950000000000003" customHeight="1">
      <c r="A16" s="10"/>
      <c r="B16" s="242"/>
      <c r="C16" s="23" t="s">
        <v>56</v>
      </c>
      <c r="D16" s="244" t="s">
        <v>140</v>
      </c>
      <c r="E16" s="245"/>
      <c r="F16" s="245"/>
      <c r="G16" s="245"/>
      <c r="H16" s="245"/>
      <c r="I16" s="245"/>
      <c r="J16" s="245"/>
      <c r="K16" s="245"/>
      <c r="L16" s="245"/>
      <c r="M16" s="245"/>
      <c r="N16" s="246"/>
      <c r="O16" s="22"/>
      <c r="P16" s="22"/>
      <c r="Q16" s="22"/>
      <c r="R16" s="22"/>
      <c r="S16" s="22"/>
      <c r="T16" s="22"/>
    </row>
    <row r="17" spans="1:20" ht="39.950000000000003" customHeight="1">
      <c r="A17" s="10"/>
      <c r="B17" s="242"/>
      <c r="C17" s="23" t="s">
        <v>57</v>
      </c>
      <c r="D17" s="244" t="s">
        <v>142</v>
      </c>
      <c r="E17" s="245"/>
      <c r="F17" s="245"/>
      <c r="G17" s="245"/>
      <c r="H17" s="245"/>
      <c r="I17" s="245"/>
      <c r="J17" s="245"/>
      <c r="K17" s="245"/>
      <c r="L17" s="245"/>
      <c r="M17" s="245"/>
      <c r="N17" s="246"/>
      <c r="O17" s="22"/>
      <c r="P17" s="22"/>
      <c r="Q17" s="22"/>
      <c r="R17" s="22"/>
      <c r="S17" s="22"/>
      <c r="T17" s="22"/>
    </row>
    <row r="18" spans="1:20" ht="39.950000000000003" customHeight="1">
      <c r="A18" s="10"/>
      <c r="B18" s="242"/>
      <c r="C18" s="23" t="s">
        <v>58</v>
      </c>
      <c r="D18" s="235" t="s">
        <v>146</v>
      </c>
      <c r="E18" s="236"/>
      <c r="F18" s="236"/>
      <c r="G18" s="236"/>
      <c r="H18" s="236"/>
      <c r="I18" s="236"/>
      <c r="J18" s="236"/>
      <c r="K18" s="236"/>
      <c r="L18" s="236"/>
      <c r="M18" s="236"/>
      <c r="N18" s="237"/>
      <c r="O18" s="22"/>
      <c r="P18" s="22"/>
      <c r="Q18" s="22"/>
      <c r="R18" s="22"/>
      <c r="S18" s="22"/>
      <c r="T18" s="22"/>
    </row>
    <row r="19" spans="1:20" ht="39.950000000000003" customHeight="1">
      <c r="A19" s="10"/>
      <c r="B19" s="242"/>
      <c r="C19" s="23" t="s">
        <v>59</v>
      </c>
      <c r="D19" s="235" t="s">
        <v>149</v>
      </c>
      <c r="E19" s="236"/>
      <c r="F19" s="236"/>
      <c r="G19" s="236"/>
      <c r="H19" s="236"/>
      <c r="I19" s="236"/>
      <c r="J19" s="236"/>
      <c r="K19" s="236"/>
      <c r="L19" s="236"/>
      <c r="M19" s="236"/>
      <c r="N19" s="237"/>
      <c r="O19" s="22"/>
      <c r="P19" s="22"/>
      <c r="Q19" s="22"/>
      <c r="R19" s="22"/>
      <c r="S19" s="22"/>
      <c r="T19" s="22"/>
    </row>
    <row r="20" spans="1:20" ht="39.950000000000003" customHeight="1">
      <c r="A20" s="10"/>
      <c r="B20" s="242"/>
      <c r="C20" s="23" t="s">
        <v>60</v>
      </c>
      <c r="D20" s="235" t="s">
        <v>150</v>
      </c>
      <c r="E20" s="236"/>
      <c r="F20" s="236"/>
      <c r="G20" s="236"/>
      <c r="H20" s="236"/>
      <c r="I20" s="236"/>
      <c r="J20" s="236"/>
      <c r="K20" s="236"/>
      <c r="L20" s="236"/>
      <c r="M20" s="236"/>
      <c r="N20" s="237"/>
      <c r="O20" s="22"/>
      <c r="P20" s="22"/>
      <c r="Q20" s="22"/>
      <c r="R20" s="22"/>
      <c r="S20" s="22"/>
      <c r="T20" s="22"/>
    </row>
    <row r="21" spans="1:20" ht="39.950000000000003" customHeight="1">
      <c r="A21" s="10"/>
      <c r="B21" s="242"/>
      <c r="C21" s="23" t="s">
        <v>61</v>
      </c>
      <c r="D21" s="235" t="s">
        <v>130</v>
      </c>
      <c r="E21" s="236"/>
      <c r="F21" s="236"/>
      <c r="G21" s="236"/>
      <c r="H21" s="236"/>
      <c r="I21" s="236"/>
      <c r="J21" s="236"/>
      <c r="K21" s="236"/>
      <c r="L21" s="236"/>
      <c r="M21" s="236"/>
      <c r="N21" s="237"/>
      <c r="O21" s="22"/>
      <c r="P21" s="22"/>
      <c r="Q21" s="22"/>
      <c r="R21" s="22"/>
      <c r="S21" s="22"/>
      <c r="T21" s="22"/>
    </row>
    <row r="22" spans="1:20" ht="39.950000000000003" customHeight="1">
      <c r="A22" s="10"/>
      <c r="B22" s="242"/>
      <c r="C22" s="23" t="s">
        <v>62</v>
      </c>
      <c r="D22" s="235" t="s">
        <v>123</v>
      </c>
      <c r="E22" s="236"/>
      <c r="F22" s="236"/>
      <c r="G22" s="236"/>
      <c r="H22" s="236"/>
      <c r="I22" s="236"/>
      <c r="J22" s="236"/>
      <c r="K22" s="236"/>
      <c r="L22" s="236"/>
      <c r="M22" s="236"/>
      <c r="N22" s="237"/>
      <c r="O22" s="22"/>
      <c r="P22" s="22"/>
      <c r="Q22" s="22"/>
      <c r="R22" s="22"/>
      <c r="S22" s="22"/>
      <c r="T22" s="22"/>
    </row>
    <row r="23" spans="1:20" ht="39.950000000000003" customHeight="1" thickBot="1">
      <c r="A23" s="10"/>
      <c r="B23" s="243"/>
      <c r="C23" s="24" t="s">
        <v>63</v>
      </c>
      <c r="D23" s="238" t="s">
        <v>154</v>
      </c>
      <c r="E23" s="239"/>
      <c r="F23" s="239"/>
      <c r="G23" s="239"/>
      <c r="H23" s="239"/>
      <c r="I23" s="239"/>
      <c r="J23" s="239"/>
      <c r="K23" s="239"/>
      <c r="L23" s="239"/>
      <c r="M23" s="239"/>
      <c r="N23" s="240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2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</sheetData>
  <mergeCells count="20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A1:W4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2"/>
      <c r="F4" s="32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34" t="s">
        <v>127</v>
      </c>
      <c r="C5" s="34"/>
      <c r="D5" s="34"/>
      <c r="E5" s="34"/>
      <c r="F5" s="34"/>
      <c r="G5" s="33"/>
      <c r="H5" s="33"/>
      <c r="I5" s="33"/>
      <c r="J5" s="33"/>
      <c r="K5" s="35" t="s">
        <v>51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30"/>
      <c r="C6" s="30"/>
      <c r="D6" s="30"/>
      <c r="E6" s="30"/>
      <c r="F6" s="30"/>
      <c r="G6" s="36"/>
      <c r="H6" s="36"/>
      <c r="I6" s="36"/>
      <c r="J6" s="36"/>
      <c r="K6" s="37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58" t="s">
        <v>101</v>
      </c>
      <c r="C7" s="38"/>
      <c r="D7" s="255" t="s">
        <v>131</v>
      </c>
      <c r="E7" s="255"/>
      <c r="F7" s="39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940724.76979118201</v>
      </c>
      <c r="E11" s="48">
        <v>0</v>
      </c>
      <c r="F11" s="49"/>
      <c r="G11" s="47">
        <v>790274.85617909802</v>
      </c>
      <c r="H11" s="48">
        <v>0</v>
      </c>
      <c r="I11" s="50"/>
      <c r="J11" s="47">
        <v>719306.42915879702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2</v>
      </c>
      <c r="C13" s="52"/>
      <c r="D13" s="47">
        <v>727658.74451223295</v>
      </c>
      <c r="E13" s="48">
        <v>0.73043552672815704</v>
      </c>
      <c r="F13" s="49"/>
      <c r="G13" s="47">
        <v>588491.996988495</v>
      </c>
      <c r="H13" s="48">
        <v>0.96279116098186002</v>
      </c>
      <c r="I13" s="50"/>
      <c r="J13" s="47">
        <v>547851.47423505899</v>
      </c>
      <c r="K13" s="48">
        <v>1.01067989315366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52"/>
      <c r="C14" s="52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55" t="s">
        <v>3</v>
      </c>
      <c r="C15" s="55"/>
      <c r="D15" s="53">
        <v>504490.37104262499</v>
      </c>
      <c r="E15" s="54">
        <v>0.90218750159140104</v>
      </c>
      <c r="F15" s="56"/>
      <c r="G15" s="53">
        <v>387296.31841533899</v>
      </c>
      <c r="H15" s="54">
        <v>1.2586213127907</v>
      </c>
      <c r="I15" s="30"/>
      <c r="J15" s="53">
        <v>341177.097927119</v>
      </c>
      <c r="K15" s="54">
        <v>1.2576260431746999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4</v>
      </c>
      <c r="C16" s="55"/>
      <c r="D16" s="53">
        <v>507191.070866358</v>
      </c>
      <c r="E16" s="54">
        <v>0.89366504916624001</v>
      </c>
      <c r="F16" s="56"/>
      <c r="G16" s="53">
        <v>391008.31365637301</v>
      </c>
      <c r="H16" s="54">
        <v>1.28858449897904</v>
      </c>
      <c r="I16" s="30"/>
      <c r="J16" s="53">
        <v>361879.86354811199</v>
      </c>
      <c r="K16" s="54">
        <v>1.2334540152228699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5</v>
      </c>
      <c r="C17" s="55"/>
      <c r="D17" s="53">
        <v>382681.60080705001</v>
      </c>
      <c r="E17" s="54">
        <v>0.73404791300237704</v>
      </c>
      <c r="F17" s="56"/>
      <c r="G17" s="53">
        <v>273143.66031211498</v>
      </c>
      <c r="H17" s="54">
        <v>0.98311543423692305</v>
      </c>
      <c r="I17" s="30"/>
      <c r="J17" s="53">
        <v>268470.459188095</v>
      </c>
      <c r="K17" s="54">
        <v>1.0814477243306999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55"/>
      <c r="C18" s="55"/>
      <c r="D18" s="53"/>
      <c r="E18" s="54"/>
      <c r="F18" s="56"/>
      <c r="G18" s="53"/>
      <c r="H18" s="54"/>
      <c r="I18" s="3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2" t="s">
        <v>6</v>
      </c>
      <c r="C19" s="52"/>
      <c r="D19" s="47">
        <v>834059.25847749901</v>
      </c>
      <c r="E19" s="48">
        <v>0.73043552672815704</v>
      </c>
      <c r="F19" s="49"/>
      <c r="G19" s="47">
        <v>603439.11224489904</v>
      </c>
      <c r="H19" s="48">
        <v>0.96279116098186002</v>
      </c>
      <c r="I19" s="50"/>
      <c r="J19" s="47">
        <v>534663.17880930204</v>
      </c>
      <c r="K19" s="48">
        <v>1.01067989315366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57"/>
      <c r="C20" s="57"/>
      <c r="D20" s="22"/>
      <c r="E20" s="58"/>
      <c r="F20" s="57"/>
      <c r="G20" s="22"/>
      <c r="H20" s="58"/>
      <c r="I20" s="58"/>
      <c r="J20" s="22"/>
      <c r="K20" s="5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9" t="s">
        <v>7</v>
      </c>
      <c r="C21" s="46"/>
      <c r="D21" s="47">
        <v>1202696.45731675</v>
      </c>
      <c r="E21" s="48">
        <v>0</v>
      </c>
      <c r="F21" s="49"/>
      <c r="G21" s="47">
        <v>732477.33212123101</v>
      </c>
      <c r="H21" s="48">
        <v>0</v>
      </c>
      <c r="I21" s="50"/>
      <c r="J21" s="47">
        <v>655788.85438650905</v>
      </c>
      <c r="K21" s="48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46"/>
      <c r="C22" s="46"/>
      <c r="D22" s="30"/>
      <c r="E22" s="30"/>
      <c r="F22" s="5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2</v>
      </c>
      <c r="C23" s="52"/>
      <c r="D23" s="47">
        <v>693706.12884270295</v>
      </c>
      <c r="E23" s="48">
        <v>1.47543460075434</v>
      </c>
      <c r="F23" s="49"/>
      <c r="G23" s="47">
        <v>457702.050955126</v>
      </c>
      <c r="H23" s="48">
        <v>1.8434658166691</v>
      </c>
      <c r="I23" s="50"/>
      <c r="J23" s="47">
        <v>401704.553837471</v>
      </c>
      <c r="K23" s="48">
        <v>1.9989104305949901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52"/>
      <c r="C24" s="5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55" t="s">
        <v>3</v>
      </c>
      <c r="C25" s="55"/>
      <c r="D25" s="53">
        <v>358440.49401504401</v>
      </c>
      <c r="E25" s="54">
        <v>1.79963267482419</v>
      </c>
      <c r="F25" s="56"/>
      <c r="G25" s="53">
        <v>229752.02272313001</v>
      </c>
      <c r="H25" s="54">
        <v>2.04878348438017</v>
      </c>
      <c r="I25" s="30"/>
      <c r="J25" s="53">
        <v>232312.68898545401</v>
      </c>
      <c r="K25" s="54">
        <v>2.5255111205822298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55" t="s">
        <v>4</v>
      </c>
      <c r="C26" s="55"/>
      <c r="D26" s="53">
        <v>318555.62163456099</v>
      </c>
      <c r="E26" s="54">
        <v>1.68604239828267</v>
      </c>
      <c r="F26" s="56"/>
      <c r="G26" s="53">
        <v>218287.84035989401</v>
      </c>
      <c r="H26" s="54">
        <v>2.3870277958717598</v>
      </c>
      <c r="I26" s="30"/>
      <c r="J26" s="53">
        <v>206961.84949275301</v>
      </c>
      <c r="K26" s="54">
        <v>2.26136912671863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5" t="s">
        <v>5</v>
      </c>
      <c r="C27" s="55"/>
      <c r="D27" s="53">
        <v>298906.73536717199</v>
      </c>
      <c r="E27" s="54">
        <v>1.5716074040747401</v>
      </c>
      <c r="F27" s="56"/>
      <c r="G27" s="53">
        <v>208062.56580705801</v>
      </c>
      <c r="H27" s="54">
        <v>1.95976092788431</v>
      </c>
      <c r="I27" s="30"/>
      <c r="J27" s="53">
        <v>169479.92196009401</v>
      </c>
      <c r="K27" s="54">
        <v>2.3209899258757498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55"/>
      <c r="C28" s="55"/>
      <c r="D28" s="53"/>
      <c r="E28" s="54"/>
      <c r="F28" s="56"/>
      <c r="G28" s="53"/>
      <c r="H28" s="54"/>
      <c r="I28" s="3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52" t="s">
        <v>6</v>
      </c>
      <c r="C29" s="52"/>
      <c r="D29" s="47">
        <v>799299.57963471196</v>
      </c>
      <c r="E29" s="48">
        <v>1.47543460075434</v>
      </c>
      <c r="F29" s="49"/>
      <c r="G29" s="47">
        <v>491222.70018220402</v>
      </c>
      <c r="H29" s="48">
        <v>1.8434658166691</v>
      </c>
      <c r="I29" s="50"/>
      <c r="J29" s="47">
        <v>449407.56990423199</v>
      </c>
      <c r="K29" s="48">
        <v>1.9989104305949901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57"/>
      <c r="C30" s="57"/>
      <c r="D30" s="22"/>
      <c r="E30" s="58"/>
      <c r="F30" s="57"/>
      <c r="G30" s="22"/>
      <c r="H30" s="58"/>
      <c r="I30" s="58"/>
      <c r="J30" s="22"/>
      <c r="K30" s="58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9" t="s">
        <v>8</v>
      </c>
      <c r="C31" s="46"/>
      <c r="D31" s="47">
        <v>1215345.35573305</v>
      </c>
      <c r="E31" s="48">
        <v>0</v>
      </c>
      <c r="F31" s="49"/>
      <c r="G31" s="47">
        <v>853166.62916364695</v>
      </c>
      <c r="H31" s="48">
        <v>0</v>
      </c>
      <c r="I31" s="50"/>
      <c r="J31" s="47">
        <v>704303.09797417896</v>
      </c>
      <c r="K31" s="48">
        <v>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46"/>
      <c r="C32" s="46"/>
      <c r="D32" s="30"/>
      <c r="E32" s="30"/>
      <c r="F32" s="5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2" t="s">
        <v>2</v>
      </c>
      <c r="C33" s="52"/>
      <c r="D33" s="47">
        <v>811351.506775785</v>
      </c>
      <c r="E33" s="48">
        <v>0.81422294481178703</v>
      </c>
      <c r="F33" s="49"/>
      <c r="G33" s="47">
        <v>593053.42618220602</v>
      </c>
      <c r="H33" s="48">
        <v>1.11283696661248</v>
      </c>
      <c r="I33" s="50"/>
      <c r="J33" s="47">
        <v>493410.31156942103</v>
      </c>
      <c r="K33" s="48">
        <v>1.15539392548146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52"/>
      <c r="C34" s="60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.75" customHeight="1">
      <c r="A35" s="30"/>
      <c r="B35" s="55" t="s">
        <v>3</v>
      </c>
      <c r="C35" s="55"/>
      <c r="D35" s="53">
        <v>457879.75818025001</v>
      </c>
      <c r="E35" s="54">
        <v>1.0788330677750999</v>
      </c>
      <c r="F35" s="56"/>
      <c r="G35" s="53">
        <v>358822.61949584598</v>
      </c>
      <c r="H35" s="54">
        <v>1.61447330917959</v>
      </c>
      <c r="I35" s="30"/>
      <c r="J35" s="53">
        <v>274146.40910100302</v>
      </c>
      <c r="K35" s="54">
        <v>1.44325985397844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55" t="s">
        <v>4</v>
      </c>
      <c r="C36" s="55"/>
      <c r="D36" s="53">
        <v>499411.59620470903</v>
      </c>
      <c r="E36" s="54">
        <v>1.07594658119746</v>
      </c>
      <c r="F36" s="56"/>
      <c r="G36" s="53">
        <v>371827.06687724602</v>
      </c>
      <c r="H36" s="54">
        <v>1.5519346881984399</v>
      </c>
      <c r="I36" s="30"/>
      <c r="J36" s="53">
        <v>324633.20746922097</v>
      </c>
      <c r="K36" s="54">
        <v>1.48286018818841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5" t="s">
        <v>5</v>
      </c>
      <c r="C37" s="55"/>
      <c r="D37" s="53">
        <v>315337.44531947398</v>
      </c>
      <c r="E37" s="54">
        <v>0.81892809013952705</v>
      </c>
      <c r="F37" s="56"/>
      <c r="G37" s="53">
        <v>210644.893367629</v>
      </c>
      <c r="H37" s="54">
        <v>1.10084435943519</v>
      </c>
      <c r="I37" s="30"/>
      <c r="J37" s="53">
        <v>226779.594823024</v>
      </c>
      <c r="K37" s="54">
        <v>1.2128376568266599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55"/>
      <c r="C38" s="55"/>
      <c r="D38" s="53"/>
      <c r="E38" s="54"/>
      <c r="F38" s="56"/>
      <c r="G38" s="53"/>
      <c r="H38" s="54"/>
      <c r="I38" s="3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52" t="s">
        <v>6</v>
      </c>
      <c r="C39" s="52"/>
      <c r="D39" s="47">
        <v>714401.09724166105</v>
      </c>
      <c r="E39" s="48">
        <v>0.81422294481178603</v>
      </c>
      <c r="F39" s="49"/>
      <c r="G39" s="47">
        <v>494976.35921928001</v>
      </c>
      <c r="H39" s="48">
        <v>1.11283696661249</v>
      </c>
      <c r="I39" s="50"/>
      <c r="J39" s="47">
        <v>439599.03165311099</v>
      </c>
      <c r="K39" s="48">
        <v>1.15539392548146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61"/>
      <c r="C40" s="61"/>
      <c r="D40" s="61"/>
      <c r="E40" s="61"/>
      <c r="F40" s="61"/>
      <c r="G40" s="62"/>
      <c r="H40" s="62"/>
      <c r="I40" s="62"/>
      <c r="J40" s="62"/>
      <c r="K40" s="62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6.95" customHeight="1">
      <c r="A41" s="30"/>
      <c r="B41" s="63"/>
      <c r="C41" s="63"/>
      <c r="D41" s="63"/>
      <c r="E41" s="63"/>
      <c r="F41" s="63"/>
      <c r="G41" s="64"/>
      <c r="H41" s="64"/>
      <c r="I41" s="64"/>
      <c r="J41" s="64"/>
      <c r="K41" s="64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2" customHeight="1">
      <c r="A42" s="30"/>
      <c r="B42" s="254" t="s">
        <v>102</v>
      </c>
      <c r="C42" s="254"/>
      <c r="D42" s="254"/>
      <c r="E42" s="254"/>
      <c r="F42" s="254"/>
      <c r="G42" s="254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1033-4D44-4D8C-ACF8-20D6672FB4BC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71</v>
      </c>
      <c r="C5" s="67"/>
      <c r="D5" s="67"/>
      <c r="E5" s="67"/>
      <c r="F5" s="66"/>
      <c r="G5" s="66"/>
      <c r="H5" s="30"/>
      <c r="I5" s="30"/>
      <c r="J5" s="30"/>
      <c r="K5" s="35" t="s">
        <v>52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8"/>
      <c r="C6" s="68"/>
      <c r="D6" s="68"/>
      <c r="E6" s="68"/>
      <c r="F6" s="69"/>
      <c r="G6" s="6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103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940724.76979118201</v>
      </c>
      <c r="E11" s="48">
        <v>0</v>
      </c>
      <c r="F11" s="49"/>
      <c r="G11" s="47">
        <v>790274.85617909802</v>
      </c>
      <c r="H11" s="48">
        <v>0</v>
      </c>
      <c r="I11" s="50"/>
      <c r="J11" s="47">
        <v>719306.42915879702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2"/>
      <c r="C12" s="72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4" t="s">
        <v>9</v>
      </c>
      <c r="C13" s="75"/>
      <c r="D13" s="47">
        <v>606566.74145123304</v>
      </c>
      <c r="E13" s="48">
        <v>0.64668435393948398</v>
      </c>
      <c r="F13" s="49"/>
      <c r="G13" s="47">
        <v>477832.39779204701</v>
      </c>
      <c r="H13" s="48">
        <v>0.90035297657370805</v>
      </c>
      <c r="I13" s="50"/>
      <c r="J13" s="47">
        <v>415912.598725783</v>
      </c>
      <c r="K13" s="48">
        <v>0.8838094175708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75"/>
      <c r="C14" s="7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76" t="s">
        <v>10</v>
      </c>
      <c r="C15" s="77"/>
      <c r="D15" s="53">
        <v>333008.80952279398</v>
      </c>
      <c r="E15" s="54">
        <v>1.1740042378259901</v>
      </c>
      <c r="F15" s="56"/>
      <c r="G15" s="53">
        <v>200551.118943882</v>
      </c>
      <c r="H15" s="54">
        <v>1.3397481156966999</v>
      </c>
      <c r="I15" s="30"/>
      <c r="J15" s="53">
        <v>250721.425063993</v>
      </c>
      <c r="K15" s="54">
        <v>1.8450232726231599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6" t="s">
        <v>11</v>
      </c>
      <c r="C16" s="77"/>
      <c r="D16" s="53">
        <v>182360.14577838301</v>
      </c>
      <c r="E16" s="54">
        <v>0.72288777851985597</v>
      </c>
      <c r="F16" s="56"/>
      <c r="G16" s="53">
        <v>136513.37357348899</v>
      </c>
      <c r="H16" s="54">
        <v>1.0206843223945099</v>
      </c>
      <c r="I16" s="30"/>
      <c r="J16" s="53">
        <v>122921.401104797</v>
      </c>
      <c r="K16" s="54">
        <v>1.01043451388243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64</v>
      </c>
      <c r="C17" s="77"/>
      <c r="D17" s="53">
        <v>402441.77200992301</v>
      </c>
      <c r="E17" s="54">
        <v>1.39751870102121</v>
      </c>
      <c r="F17" s="56"/>
      <c r="G17" s="53">
        <v>268493.60343263502</v>
      </c>
      <c r="H17" s="54">
        <v>1.8240848146643101</v>
      </c>
      <c r="I17" s="30"/>
      <c r="J17" s="53">
        <v>280222.142240257</v>
      </c>
      <c r="K17" s="54">
        <v>1.9199270401485999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12</v>
      </c>
      <c r="C18" s="77"/>
      <c r="D18" s="53">
        <v>535713.95746063499</v>
      </c>
      <c r="E18" s="54">
        <v>1.2195901764799</v>
      </c>
      <c r="F18" s="56"/>
      <c r="G18" s="53">
        <v>414819.75684908801</v>
      </c>
      <c r="H18" s="54">
        <v>1.57439896294959</v>
      </c>
      <c r="I18" s="30"/>
      <c r="J18" s="53">
        <v>342718.89419157698</v>
      </c>
      <c r="K18" s="54">
        <v>1.83500326605714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13</v>
      </c>
      <c r="C19" s="77"/>
      <c r="D19" s="53">
        <v>29009.5699382118</v>
      </c>
      <c r="E19" s="54">
        <v>0.11514783675459001</v>
      </c>
      <c r="F19" s="56"/>
      <c r="G19" s="53">
        <v>26741.306325607999</v>
      </c>
      <c r="H19" s="54">
        <v>0.20152456688117701</v>
      </c>
      <c r="I19" s="30"/>
      <c r="J19" s="53">
        <v>11245.340546199601</v>
      </c>
      <c r="K19" s="54">
        <v>9.5656772948805605E-2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77"/>
      <c r="C20" s="77"/>
      <c r="D20" s="22"/>
      <c r="E20" s="78"/>
      <c r="F20" s="79"/>
      <c r="G20" s="22"/>
      <c r="H20" s="78"/>
      <c r="I20" s="79"/>
      <c r="J20" s="22"/>
      <c r="K20" s="7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4" t="s">
        <v>14</v>
      </c>
      <c r="C21" s="80"/>
      <c r="D21" s="47">
        <v>899901.47315294598</v>
      </c>
      <c r="E21" s="48">
        <v>0.64668435393948398</v>
      </c>
      <c r="F21" s="49"/>
      <c r="G21" s="47">
        <v>698901.03350614104</v>
      </c>
      <c r="H21" s="48">
        <v>0.90035297657370805</v>
      </c>
      <c r="I21" s="50"/>
      <c r="J21" s="47">
        <v>614646.38865336904</v>
      </c>
      <c r="K21" s="48">
        <v>0.8838094175708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81"/>
      <c r="C22" s="81"/>
      <c r="D22" s="22"/>
      <c r="E22" s="30"/>
      <c r="F22" s="82"/>
      <c r="G22" s="22"/>
      <c r="H22" s="30"/>
      <c r="I22" s="30"/>
      <c r="J22" s="22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83" t="s">
        <v>7</v>
      </c>
      <c r="C23" s="84"/>
      <c r="D23" s="47">
        <v>1202696.45731675</v>
      </c>
      <c r="E23" s="48">
        <v>0</v>
      </c>
      <c r="F23" s="49"/>
      <c r="G23" s="47">
        <v>732477.33212123101</v>
      </c>
      <c r="H23" s="48">
        <v>0</v>
      </c>
      <c r="I23" s="50"/>
      <c r="J23" s="47">
        <v>655788.85438650905</v>
      </c>
      <c r="K23" s="48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84"/>
      <c r="C24" s="84"/>
      <c r="D24" s="30"/>
      <c r="E24" s="30"/>
      <c r="F24" s="5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4" t="s">
        <v>9</v>
      </c>
      <c r="C25" s="75"/>
      <c r="D25" s="47">
        <v>529721.62921869697</v>
      </c>
      <c r="E25" s="48">
        <v>1.32932736497105</v>
      </c>
      <c r="F25" s="49"/>
      <c r="G25" s="47">
        <v>372485.47521272203</v>
      </c>
      <c r="H25" s="48">
        <v>1.79736129463802</v>
      </c>
      <c r="I25" s="50"/>
      <c r="J25" s="47">
        <v>289806.263920517</v>
      </c>
      <c r="K25" s="48">
        <v>1.63200888029708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75"/>
      <c r="C26" s="75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76" t="s">
        <v>10</v>
      </c>
      <c r="C27" s="77"/>
      <c r="D27" s="53">
        <v>210114.170833679</v>
      </c>
      <c r="E27" s="54">
        <v>1.9413938064794101</v>
      </c>
      <c r="F27" s="56"/>
      <c r="G27" s="53">
        <v>115028.098850141</v>
      </c>
      <c r="H27" s="54">
        <v>2.0296013941059798</v>
      </c>
      <c r="I27" s="30"/>
      <c r="J27" s="53">
        <v>151893.905314328</v>
      </c>
      <c r="K27" s="54">
        <v>3.1827337976743602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76" t="s">
        <v>11</v>
      </c>
      <c r="C28" s="77"/>
      <c r="D28" s="53">
        <v>56558.859789561197</v>
      </c>
      <c r="E28" s="54">
        <v>0.61313292225454397</v>
      </c>
      <c r="F28" s="56"/>
      <c r="G28" s="53">
        <v>42189.982483733998</v>
      </c>
      <c r="H28" s="54">
        <v>0.86772120122997498</v>
      </c>
      <c r="I28" s="30"/>
      <c r="J28" s="53">
        <v>34095.299818931897</v>
      </c>
      <c r="K28" s="54">
        <v>0.773816730245106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6" t="s">
        <v>64</v>
      </c>
      <c r="C29" s="77"/>
      <c r="D29" s="53">
        <v>330296.27601668797</v>
      </c>
      <c r="E29" s="54">
        <v>2.32629875205722</v>
      </c>
      <c r="F29" s="56"/>
      <c r="G29" s="53">
        <v>195039.45129060099</v>
      </c>
      <c r="H29" s="54">
        <v>3.2370779384332802</v>
      </c>
      <c r="I29" s="30"/>
      <c r="J29" s="53">
        <v>197046.355796433</v>
      </c>
      <c r="K29" s="54">
        <v>3.0618849296025301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6" t="s">
        <v>12</v>
      </c>
      <c r="C30" s="77"/>
      <c r="D30" s="53">
        <v>434661.67530726298</v>
      </c>
      <c r="E30" s="54">
        <v>1.7690703395662499</v>
      </c>
      <c r="F30" s="56"/>
      <c r="G30" s="53">
        <v>314837.183721343</v>
      </c>
      <c r="H30" s="54">
        <v>2.4172796859224799</v>
      </c>
      <c r="I30" s="30"/>
      <c r="J30" s="53">
        <v>241721.658458775</v>
      </c>
      <c r="K30" s="54">
        <v>2.63537872750888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6" t="s">
        <v>13</v>
      </c>
      <c r="C31" s="77"/>
      <c r="D31" s="53">
        <v>14667.2193342842</v>
      </c>
      <c r="E31" s="54">
        <v>0.161890550755595</v>
      </c>
      <c r="F31" s="56"/>
      <c r="G31" s="53">
        <v>11822.333187658</v>
      </c>
      <c r="H31" s="54">
        <v>0.244772728557002</v>
      </c>
      <c r="I31" s="30"/>
      <c r="J31" s="53">
        <v>8681</v>
      </c>
      <c r="K31" s="54">
        <v>0.20542705173581899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77"/>
      <c r="C32" s="77"/>
      <c r="D32" s="22"/>
      <c r="E32" s="78"/>
      <c r="F32" s="79"/>
      <c r="G32" s="22"/>
      <c r="H32" s="78"/>
      <c r="I32" s="79"/>
      <c r="J32" s="22"/>
      <c r="K32" s="78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4" t="s">
        <v>14</v>
      </c>
      <c r="C33" s="80"/>
      <c r="D33" s="47">
        <v>940201.22824171605</v>
      </c>
      <c r="E33" s="48">
        <v>1.32932736497105</v>
      </c>
      <c r="F33" s="49"/>
      <c r="G33" s="47">
        <v>582733.30260891397</v>
      </c>
      <c r="H33" s="48">
        <v>1.79736129463802</v>
      </c>
      <c r="I33" s="50"/>
      <c r="J33" s="47">
        <v>516998.52448376</v>
      </c>
      <c r="K33" s="48">
        <v>1.63200888029708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80"/>
      <c r="C34" s="80"/>
      <c r="D34" s="22"/>
      <c r="E34" s="30"/>
      <c r="F34" s="85"/>
      <c r="G34" s="22"/>
      <c r="H34" s="30"/>
      <c r="I34" s="30"/>
      <c r="J34" s="22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83" t="s">
        <v>8</v>
      </c>
      <c r="C35" s="84"/>
      <c r="D35" s="47">
        <v>1215345.35573305</v>
      </c>
      <c r="E35" s="48">
        <v>0</v>
      </c>
      <c r="F35" s="49"/>
      <c r="G35" s="47">
        <v>853166.62916364695</v>
      </c>
      <c r="H35" s="48">
        <v>0</v>
      </c>
      <c r="I35" s="50"/>
      <c r="J35" s="47">
        <v>704303.09797417896</v>
      </c>
      <c r="K35" s="48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84"/>
      <c r="C36" s="84"/>
      <c r="D36" s="30"/>
      <c r="E36" s="30"/>
      <c r="F36" s="5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4" t="s">
        <v>9</v>
      </c>
      <c r="C37" s="75"/>
      <c r="D37" s="47">
        <v>576209.60460560198</v>
      </c>
      <c r="E37" s="48">
        <v>0.75225322179981502</v>
      </c>
      <c r="F37" s="49"/>
      <c r="G37" s="47">
        <v>424340.49897675001</v>
      </c>
      <c r="H37" s="48">
        <v>1.0528207708145201</v>
      </c>
      <c r="I37" s="50"/>
      <c r="J37" s="47">
        <v>356674.35906859703</v>
      </c>
      <c r="K37" s="48">
        <v>1.0737627877287099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75"/>
      <c r="C38" s="75"/>
      <c r="D38" s="53"/>
      <c r="E38" s="54"/>
      <c r="F38" s="49"/>
      <c r="G38" s="53"/>
      <c r="H38" s="54"/>
      <c r="I38" s="5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10</v>
      </c>
      <c r="C39" s="77"/>
      <c r="D39" s="53">
        <v>273691.08260706102</v>
      </c>
      <c r="E39" s="54">
        <v>1.4987995341509801</v>
      </c>
      <c r="F39" s="56"/>
      <c r="G39" s="53">
        <v>168925.879637087</v>
      </c>
      <c r="H39" s="54">
        <v>1.7291332796050101</v>
      </c>
      <c r="I39" s="30"/>
      <c r="J39" s="53">
        <v>202355.301107893</v>
      </c>
      <c r="K39" s="54">
        <v>2.2513374202456702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5" customHeight="1">
      <c r="A40" s="30"/>
      <c r="B40" s="76" t="s">
        <v>11</v>
      </c>
      <c r="C40" s="77"/>
      <c r="D40" s="53">
        <v>175274.15970367499</v>
      </c>
      <c r="E40" s="54">
        <v>1.0388535725547801</v>
      </c>
      <c r="F40" s="56"/>
      <c r="G40" s="53">
        <v>130336.245398325</v>
      </c>
      <c r="H40" s="54">
        <v>1.4902536555999699</v>
      </c>
      <c r="I40" s="30"/>
      <c r="J40" s="53">
        <v>118697.138578745</v>
      </c>
      <c r="K40" s="54">
        <v>1.4952781679404299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76" t="s">
        <v>64</v>
      </c>
      <c r="C41" s="77"/>
      <c r="D41" s="53">
        <v>323661.64249039401</v>
      </c>
      <c r="E41" s="54">
        <v>1.6769672011566099</v>
      </c>
      <c r="F41" s="56"/>
      <c r="G41" s="53">
        <v>226325.567938258</v>
      </c>
      <c r="H41" s="54">
        <v>2.1492883299886598</v>
      </c>
      <c r="I41" s="30"/>
      <c r="J41" s="53">
        <v>222562.6605117</v>
      </c>
      <c r="K41" s="54">
        <v>2.4108572977206899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76" t="s">
        <v>12</v>
      </c>
      <c r="C42" s="77"/>
      <c r="D42" s="53">
        <v>463435.81530333299</v>
      </c>
      <c r="E42" s="54">
        <v>1.60920891337646</v>
      </c>
      <c r="F42" s="56"/>
      <c r="G42" s="53">
        <v>346948.572296892</v>
      </c>
      <c r="H42" s="54">
        <v>2.0218393106126999</v>
      </c>
      <c r="I42" s="30"/>
      <c r="J42" s="53">
        <v>272560.868816723</v>
      </c>
      <c r="K42" s="54">
        <v>2.3729350403484299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76" t="s">
        <v>13</v>
      </c>
      <c r="C43" s="77"/>
      <c r="D43" s="53">
        <v>25028.5402091293</v>
      </c>
      <c r="E43" s="54">
        <v>0.15483593236759</v>
      </c>
      <c r="F43" s="56"/>
      <c r="G43" s="53">
        <v>23986.035562385001</v>
      </c>
      <c r="H43" s="54">
        <v>0.28377567575920698</v>
      </c>
      <c r="I43" s="30"/>
      <c r="J43" s="53">
        <v>7148.2811220600397</v>
      </c>
      <c r="K43" s="54">
        <v>9.5017426450554901E-2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77"/>
      <c r="C44" s="77"/>
      <c r="D44" s="22"/>
      <c r="E44" s="78"/>
      <c r="F44" s="79"/>
      <c r="G44" s="22"/>
      <c r="H44" s="78"/>
      <c r="I44" s="79"/>
      <c r="J44" s="22"/>
      <c r="K44" s="7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74" t="s">
        <v>14</v>
      </c>
      <c r="C45" s="77"/>
      <c r="D45" s="47">
        <v>927662.73722595698</v>
      </c>
      <c r="E45" s="48">
        <v>0.75225322179981502</v>
      </c>
      <c r="F45" s="49"/>
      <c r="G45" s="47">
        <v>648385.09284204699</v>
      </c>
      <c r="H45" s="48">
        <v>1.0528207708145201</v>
      </c>
      <c r="I45" s="50"/>
      <c r="J45" s="47">
        <v>566899.62812898203</v>
      </c>
      <c r="K45" s="48">
        <v>1.0737627877287099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6"/>
      <c r="C46" s="87"/>
      <c r="D46" s="87"/>
      <c r="E46" s="87"/>
      <c r="F46" s="88"/>
      <c r="G46" s="88"/>
      <c r="H46" s="89"/>
      <c r="I46" s="88"/>
      <c r="J46" s="88"/>
      <c r="K46" s="8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90"/>
      <c r="C47" s="91"/>
      <c r="D47" s="91"/>
      <c r="E47" s="91"/>
      <c r="F47" s="9"/>
      <c r="G47" s="9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92" t="s">
        <v>73</v>
      </c>
      <c r="C48" s="92"/>
      <c r="D48" s="92"/>
      <c r="E48" s="92"/>
      <c r="F48" s="93"/>
      <c r="G48" s="93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7B767FC6-91B7-4A41-83A3-FED5B9DB6543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27C1-484A-4FC3-A7BE-B22B46DFF3B2}">
  <dimension ref="A1:W6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6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67" t="s">
        <v>129</v>
      </c>
      <c r="C5" s="67"/>
      <c r="D5" s="67"/>
      <c r="E5" s="66"/>
      <c r="F5" s="66"/>
      <c r="G5" s="66"/>
      <c r="H5" s="30"/>
      <c r="I5" s="30"/>
      <c r="J5" s="30"/>
      <c r="K5" s="35" t="s">
        <v>53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4"/>
      <c r="C6" s="95"/>
      <c r="D6" s="95"/>
      <c r="E6" s="96"/>
      <c r="F6" s="96"/>
      <c r="G6" s="96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104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16</v>
      </c>
      <c r="C11" s="98"/>
      <c r="D11" s="47">
        <v>940724.76979118201</v>
      </c>
      <c r="E11" s="48">
        <v>0</v>
      </c>
      <c r="F11" s="49"/>
      <c r="G11" s="47">
        <v>790274.85617909802</v>
      </c>
      <c r="H11" s="48">
        <v>0</v>
      </c>
      <c r="I11" s="50"/>
      <c r="J11" s="47">
        <v>719306.42915879702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99" t="s">
        <v>17</v>
      </c>
      <c r="C13" s="80"/>
      <c r="D13" s="47">
        <v>618394.75251005101</v>
      </c>
      <c r="E13" s="48">
        <v>0.70791220923465503</v>
      </c>
      <c r="F13" s="49"/>
      <c r="G13" s="47">
        <v>469555.23219512502</v>
      </c>
      <c r="H13" s="48">
        <v>0.90997816959577804</v>
      </c>
      <c r="I13" s="50"/>
      <c r="J13" s="47">
        <v>449895.59505782701</v>
      </c>
      <c r="K13" s="48">
        <v>1.0008165161431899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80"/>
      <c r="C14" s="80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100" t="s">
        <v>105</v>
      </c>
      <c r="C15" s="101"/>
      <c r="D15" s="53">
        <v>516128.05668354902</v>
      </c>
      <c r="E15" s="54">
        <v>1.1022280853531099</v>
      </c>
      <c r="F15" s="56"/>
      <c r="G15" s="53">
        <v>397869.13421185699</v>
      </c>
      <c r="H15" s="54">
        <v>1.40638545267959</v>
      </c>
      <c r="I15" s="30"/>
      <c r="J15" s="53">
        <v>339113.14527045703</v>
      </c>
      <c r="K15" s="54">
        <v>1.6035344061263701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18</v>
      </c>
      <c r="C16" s="101"/>
      <c r="D16" s="53">
        <v>409326.14303318498</v>
      </c>
      <c r="E16" s="54">
        <v>0.99480113024740902</v>
      </c>
      <c r="F16" s="56"/>
      <c r="G16" s="53">
        <v>276082.61177021201</v>
      </c>
      <c r="H16" s="54">
        <v>1.3129174642260799</v>
      </c>
      <c r="I16" s="30"/>
      <c r="J16" s="53">
        <v>309562.68180683203</v>
      </c>
      <c r="K16" s="54">
        <v>1.4546007787734501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19</v>
      </c>
      <c r="C17" s="77"/>
      <c r="D17" s="53">
        <v>190512.66571102</v>
      </c>
      <c r="E17" s="54">
        <v>0.56904571134348003</v>
      </c>
      <c r="F17" s="56"/>
      <c r="G17" s="53">
        <v>112767.09358058999</v>
      </c>
      <c r="H17" s="54">
        <v>0.65502172888166399</v>
      </c>
      <c r="I17" s="30"/>
      <c r="J17" s="53">
        <v>147474.61607481699</v>
      </c>
      <c r="K17" s="54">
        <v>0.90137943226638695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20</v>
      </c>
      <c r="C18" s="77"/>
      <c r="D18" s="53">
        <v>236168.62928941299</v>
      </c>
      <c r="E18" s="54">
        <v>0.70157953977505205</v>
      </c>
      <c r="F18" s="56"/>
      <c r="G18" s="53">
        <v>184556.93661358999</v>
      </c>
      <c r="H18" s="54">
        <v>1.0367020134671601</v>
      </c>
      <c r="I18" s="30"/>
      <c r="J18" s="53">
        <v>151306.41871065699</v>
      </c>
      <c r="K18" s="54">
        <v>0.92653173073578698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21</v>
      </c>
      <c r="C19" s="77"/>
      <c r="D19" s="53">
        <v>138082.07988296301</v>
      </c>
      <c r="E19" s="54">
        <v>0.42281728785345501</v>
      </c>
      <c r="F19" s="56"/>
      <c r="G19" s="53">
        <v>83163.794555512402</v>
      </c>
      <c r="H19" s="54">
        <v>0.48961320480485498</v>
      </c>
      <c r="I19" s="30"/>
      <c r="J19" s="53">
        <v>110254.424318383</v>
      </c>
      <c r="K19" s="54">
        <v>0.69785371098030902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76" t="s">
        <v>22</v>
      </c>
      <c r="C20" s="77"/>
      <c r="D20" s="53">
        <v>220396.10470606401</v>
      </c>
      <c r="E20" s="54">
        <v>0.64828982771233201</v>
      </c>
      <c r="F20" s="56"/>
      <c r="G20" s="53">
        <v>139127.170012452</v>
      </c>
      <c r="H20" s="54">
        <v>0.803702623919342</v>
      </c>
      <c r="I20" s="30"/>
      <c r="J20" s="53">
        <v>164075.87034855</v>
      </c>
      <c r="K20" s="54">
        <v>0.99255064005807903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6" t="s">
        <v>23</v>
      </c>
      <c r="C21" s="77"/>
      <c r="D21" s="53">
        <v>195020.363256943</v>
      </c>
      <c r="E21" s="54">
        <v>0.58612850886950396</v>
      </c>
      <c r="F21" s="56"/>
      <c r="G21" s="53">
        <v>165010.18378557201</v>
      </c>
      <c r="H21" s="54">
        <v>0.93324116678785296</v>
      </c>
      <c r="I21" s="30"/>
      <c r="J21" s="53">
        <v>141532.51581051599</v>
      </c>
      <c r="K21" s="54">
        <v>0.89542811832097202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30" customHeight="1">
      <c r="A22" s="30"/>
      <c r="B22" s="100" t="s">
        <v>86</v>
      </c>
      <c r="C22" s="101"/>
      <c r="D22" s="53">
        <v>117314.600505248</v>
      </c>
      <c r="E22" s="54">
        <v>0.35417377472821698</v>
      </c>
      <c r="F22" s="56"/>
      <c r="G22" s="53">
        <v>68238.414312566994</v>
      </c>
      <c r="H22" s="54">
        <v>0.39560755679224902</v>
      </c>
      <c r="I22" s="30"/>
      <c r="J22" s="53">
        <v>94011.117610849105</v>
      </c>
      <c r="K22" s="54">
        <v>0.58563384137626495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76" t="s">
        <v>24</v>
      </c>
      <c r="C23" s="77"/>
      <c r="D23" s="53">
        <v>15504.1303206597</v>
      </c>
      <c r="E23" s="54">
        <v>4.7891740681014601E-2</v>
      </c>
      <c r="F23" s="56"/>
      <c r="G23" s="53">
        <v>15504.1303206597</v>
      </c>
      <c r="H23" s="54">
        <v>9.2300358780189704E-2</v>
      </c>
      <c r="I23" s="30"/>
      <c r="J23" s="53">
        <v>0</v>
      </c>
      <c r="K23" s="54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77"/>
      <c r="C24" s="77"/>
      <c r="D24" s="79"/>
      <c r="E24" s="78"/>
      <c r="F24" s="79"/>
      <c r="G24" s="79"/>
      <c r="H24" s="78"/>
      <c r="I24" s="79"/>
      <c r="J24" s="79"/>
      <c r="K24" s="78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99" t="s">
        <v>25</v>
      </c>
      <c r="C25" s="80"/>
      <c r="D25" s="47">
        <v>959041.38267972495</v>
      </c>
      <c r="E25" s="48">
        <v>0.70791220923465503</v>
      </c>
      <c r="F25" s="49"/>
      <c r="G25" s="47">
        <v>710280.549994651</v>
      </c>
      <c r="H25" s="48">
        <v>0.90997816959577804</v>
      </c>
      <c r="I25" s="50"/>
      <c r="J25" s="47">
        <v>642844.45037598396</v>
      </c>
      <c r="K25" s="48">
        <v>1.0008165161431899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81"/>
      <c r="C26" s="81"/>
      <c r="D26" s="22"/>
      <c r="E26" s="30"/>
      <c r="F26" s="102"/>
      <c r="G26" s="22"/>
      <c r="H26" s="30"/>
      <c r="I26" s="30"/>
      <c r="J26" s="22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3" t="s">
        <v>7</v>
      </c>
      <c r="C27" s="104"/>
      <c r="D27" s="47">
        <v>1202696.45731675</v>
      </c>
      <c r="E27" s="48">
        <v>0</v>
      </c>
      <c r="F27" s="49"/>
      <c r="G27" s="47">
        <v>732477.33212123101</v>
      </c>
      <c r="H27" s="48">
        <v>0</v>
      </c>
      <c r="I27" s="50"/>
      <c r="J27" s="47">
        <v>655788.85438650905</v>
      </c>
      <c r="K27" s="48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98"/>
      <c r="C28" s="98"/>
      <c r="D28" s="30"/>
      <c r="E28" s="30"/>
      <c r="F28" s="5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99" t="s">
        <v>17</v>
      </c>
      <c r="C29" s="80"/>
      <c r="D29" s="47">
        <v>497336.26680887199</v>
      </c>
      <c r="E29" s="48">
        <v>1.27560273550603</v>
      </c>
      <c r="F29" s="49"/>
      <c r="G29" s="47">
        <v>323662.73598131898</v>
      </c>
      <c r="H29" s="48">
        <v>1.45847342216992</v>
      </c>
      <c r="I29" s="50"/>
      <c r="J29" s="47">
        <v>282445.37983620999</v>
      </c>
      <c r="K29" s="48">
        <v>1.73314493607387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80"/>
      <c r="C30" s="80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00" t="s">
        <v>105</v>
      </c>
      <c r="C31" s="101"/>
      <c r="D31" s="53">
        <v>384572.58262171003</v>
      </c>
      <c r="E31" s="54">
        <v>2.1587846511014099</v>
      </c>
      <c r="F31" s="56"/>
      <c r="G31" s="53">
        <v>278340.86819091899</v>
      </c>
      <c r="H31" s="54">
        <v>2.62833247830106</v>
      </c>
      <c r="I31" s="30"/>
      <c r="J31" s="53">
        <v>206652.64592245501</v>
      </c>
      <c r="K31" s="54">
        <v>3.1343551255628701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0" t="s">
        <v>18</v>
      </c>
      <c r="C32" s="101"/>
      <c r="D32" s="53">
        <v>187496.49157401701</v>
      </c>
      <c r="E32" s="54">
        <v>1.70934459920233</v>
      </c>
      <c r="F32" s="56"/>
      <c r="G32" s="53">
        <v>135930.86545520701</v>
      </c>
      <c r="H32" s="54">
        <v>2.2881975733347799</v>
      </c>
      <c r="I32" s="30"/>
      <c r="J32" s="53">
        <v>130049.499228324</v>
      </c>
      <c r="K32" s="54">
        <v>2.8691868567512602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6" t="s">
        <v>19</v>
      </c>
      <c r="C33" s="77"/>
      <c r="D33" s="53">
        <v>114599.75166496199</v>
      </c>
      <c r="E33" s="54">
        <v>1.38567408613484</v>
      </c>
      <c r="F33" s="56"/>
      <c r="G33" s="53">
        <v>55365.980814718299</v>
      </c>
      <c r="H33" s="54">
        <v>1.23038525045411</v>
      </c>
      <c r="I33" s="30"/>
      <c r="J33" s="53">
        <v>88883.903092688706</v>
      </c>
      <c r="K33" s="54">
        <v>2.4144578441427802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6" t="s">
        <v>20</v>
      </c>
      <c r="C34" s="77"/>
      <c r="D34" s="53">
        <v>152693.579253276</v>
      </c>
      <c r="E34" s="54">
        <v>1.6926794782411201</v>
      </c>
      <c r="F34" s="56"/>
      <c r="G34" s="53">
        <v>123571.96039771001</v>
      </c>
      <c r="H34" s="54">
        <v>2.57076777300477</v>
      </c>
      <c r="I34" s="30"/>
      <c r="J34" s="53">
        <v>74564.020252514005</v>
      </c>
      <c r="K34" s="54">
        <v>1.96150733490419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6" t="s">
        <v>21</v>
      </c>
      <c r="C35" s="77"/>
      <c r="D35" s="53">
        <v>39575.448133912498</v>
      </c>
      <c r="E35" s="54">
        <v>0.49491491656638698</v>
      </c>
      <c r="F35" s="56"/>
      <c r="G35" s="53">
        <v>20732.755870843601</v>
      </c>
      <c r="H35" s="54">
        <v>0.47543748417405002</v>
      </c>
      <c r="I35" s="30"/>
      <c r="J35" s="53">
        <v>33965.061160944002</v>
      </c>
      <c r="K35" s="54">
        <v>0.953544365600557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76" t="s">
        <v>22</v>
      </c>
      <c r="C36" s="77"/>
      <c r="D36" s="53">
        <v>73067.333731139894</v>
      </c>
      <c r="E36" s="54">
        <v>0.91545638890427605</v>
      </c>
      <c r="F36" s="56"/>
      <c r="G36" s="53">
        <v>39189.744038176301</v>
      </c>
      <c r="H36" s="54">
        <v>0.88344899426371004</v>
      </c>
      <c r="I36" s="30"/>
      <c r="J36" s="53">
        <v>56023.142619002501</v>
      </c>
      <c r="K36" s="54">
        <v>1.5803794720119699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6" t="s">
        <v>23</v>
      </c>
      <c r="C37" s="77"/>
      <c r="D37" s="53">
        <v>133243.60675409299</v>
      </c>
      <c r="E37" s="54">
        <v>1.49353749772133</v>
      </c>
      <c r="F37" s="56"/>
      <c r="G37" s="53">
        <v>125725.237842013</v>
      </c>
      <c r="H37" s="54">
        <v>2.6169660526771299</v>
      </c>
      <c r="I37" s="30"/>
      <c r="J37" s="53">
        <v>39501.4388192111</v>
      </c>
      <c r="K37" s="54">
        <v>1.15523177032934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0" t="s">
        <v>86</v>
      </c>
      <c r="C38" s="101"/>
      <c r="D38" s="53">
        <v>45352.109325650003</v>
      </c>
      <c r="E38" s="54">
        <v>0.55746319858406101</v>
      </c>
      <c r="F38" s="56"/>
      <c r="G38" s="53">
        <v>35080.741782351201</v>
      </c>
      <c r="H38" s="54">
        <v>0.77716399800362002</v>
      </c>
      <c r="I38" s="30"/>
      <c r="J38" s="53">
        <v>29223.995071565001</v>
      </c>
      <c r="K38" s="54">
        <v>0.83097729566501299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24</v>
      </c>
      <c r="C39" s="77"/>
      <c r="D39" s="53">
        <v>0</v>
      </c>
      <c r="E39" s="54">
        <v>0</v>
      </c>
      <c r="F39" s="56"/>
      <c r="G39" s="53">
        <v>0</v>
      </c>
      <c r="H39" s="54">
        <v>0</v>
      </c>
      <c r="I39" s="30"/>
      <c r="J39" s="53">
        <v>0</v>
      </c>
      <c r="K39" s="54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77"/>
      <c r="C40" s="77"/>
      <c r="D40" s="79"/>
      <c r="E40" s="78"/>
      <c r="F40" s="79"/>
      <c r="G40" s="79"/>
      <c r="H40" s="78"/>
      <c r="I40" s="79"/>
      <c r="J40" s="79"/>
      <c r="K40" s="78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99" t="s">
        <v>25</v>
      </c>
      <c r="C41" s="80"/>
      <c r="D41" s="47">
        <v>962210.05044858798</v>
      </c>
      <c r="E41" s="48">
        <v>1.27560273550603</v>
      </c>
      <c r="F41" s="49"/>
      <c r="G41" s="47">
        <v>564479.12931470806</v>
      </c>
      <c r="H41" s="48">
        <v>1.45847342216992</v>
      </c>
      <c r="I41" s="50"/>
      <c r="J41" s="47">
        <v>550981.67496386101</v>
      </c>
      <c r="K41" s="48">
        <v>1.73314493607387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81"/>
      <c r="C42" s="81"/>
      <c r="D42" s="22"/>
      <c r="E42" s="30"/>
      <c r="F42" s="102"/>
      <c r="G42" s="22"/>
      <c r="H42" s="30"/>
      <c r="I42" s="30"/>
      <c r="J42" s="22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s="5" customFormat="1" ht="15" customHeight="1">
      <c r="A43" s="105"/>
      <c r="B43" s="103" t="s">
        <v>8</v>
      </c>
      <c r="C43" s="103"/>
      <c r="D43" s="47">
        <v>1215345.35573305</v>
      </c>
      <c r="E43" s="48">
        <v>0</v>
      </c>
      <c r="F43" s="49"/>
      <c r="G43" s="47">
        <v>853166.62916364695</v>
      </c>
      <c r="H43" s="48">
        <v>0</v>
      </c>
      <c r="I43" s="50"/>
      <c r="J43" s="47">
        <v>704303.09797417896</v>
      </c>
      <c r="K43" s="48">
        <v>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</row>
    <row r="44" spans="1:23" ht="6.95" customHeight="1">
      <c r="A44" s="30"/>
      <c r="B44" s="98"/>
      <c r="C44" s="98"/>
      <c r="D44" s="47"/>
      <c r="E44" s="48"/>
      <c r="F44" s="49"/>
      <c r="G44" s="47"/>
      <c r="H44" s="48"/>
      <c r="I44" s="50"/>
      <c r="J44" s="47"/>
      <c r="K44" s="4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99" t="s">
        <v>17</v>
      </c>
      <c r="C45" s="80"/>
      <c r="D45" s="47">
        <v>621589.110367127</v>
      </c>
      <c r="E45" s="48">
        <v>0.85515781833148696</v>
      </c>
      <c r="F45" s="49"/>
      <c r="G45" s="47">
        <v>446839.22598195798</v>
      </c>
      <c r="H45" s="48">
        <v>1.17865201121927</v>
      </c>
      <c r="I45" s="50"/>
      <c r="J45" s="47">
        <v>411414.95751679398</v>
      </c>
      <c r="K45" s="48">
        <v>1.2162039119813901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0"/>
      <c r="C46" s="80"/>
      <c r="D46" s="53"/>
      <c r="E46" s="54"/>
      <c r="F46" s="56"/>
      <c r="G46" s="53"/>
      <c r="H46" s="54"/>
      <c r="I46" s="3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30" customHeight="1">
      <c r="A47" s="30"/>
      <c r="B47" s="100" t="s">
        <v>105</v>
      </c>
      <c r="C47" s="101"/>
      <c r="D47" s="53">
        <v>469519.69948491</v>
      </c>
      <c r="E47" s="54">
        <v>1.2429996200651501</v>
      </c>
      <c r="F47" s="56"/>
      <c r="G47" s="53">
        <v>346904.84666002198</v>
      </c>
      <c r="H47" s="54">
        <v>1.6185350178534099</v>
      </c>
      <c r="I47" s="30"/>
      <c r="J47" s="53">
        <v>298677.050758033</v>
      </c>
      <c r="K47" s="54">
        <v>1.83698548246424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18</v>
      </c>
      <c r="C48" s="101"/>
      <c r="D48" s="53">
        <v>405808.10102978803</v>
      </c>
      <c r="E48" s="54">
        <v>1.20649694437502</v>
      </c>
      <c r="F48" s="56"/>
      <c r="G48" s="53">
        <v>262644.73966835102</v>
      </c>
      <c r="H48" s="54">
        <v>1.6123666114966899</v>
      </c>
      <c r="I48" s="30"/>
      <c r="J48" s="53">
        <v>287548.38461784902</v>
      </c>
      <c r="K48" s="54">
        <v>1.6683662664819501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76" t="s">
        <v>19</v>
      </c>
      <c r="C49" s="77"/>
      <c r="D49" s="53">
        <v>157583.29117249601</v>
      </c>
      <c r="E49" s="54">
        <v>0.61782750112099005</v>
      </c>
      <c r="F49" s="56"/>
      <c r="G49" s="53">
        <v>99565.018865808393</v>
      </c>
      <c r="H49" s="54">
        <v>0.77899157784137996</v>
      </c>
      <c r="I49" s="30"/>
      <c r="J49" s="53">
        <v>119278.55682307101</v>
      </c>
      <c r="K49" s="54">
        <v>0.93584471495874999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15" customHeight="1">
      <c r="A50" s="30"/>
      <c r="B50" s="76" t="s">
        <v>20</v>
      </c>
      <c r="C50" s="77"/>
      <c r="D50" s="53">
        <v>198524.98766737201</v>
      </c>
      <c r="E50" s="54">
        <v>0.766975709658411</v>
      </c>
      <c r="F50" s="56"/>
      <c r="G50" s="53">
        <v>145997.76320333401</v>
      </c>
      <c r="H50" s="54">
        <v>1.1010542450866601</v>
      </c>
      <c r="I50" s="30"/>
      <c r="J50" s="53">
        <v>135313.935435444</v>
      </c>
      <c r="K50" s="54">
        <v>1.0489131239875999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76" t="s">
        <v>21</v>
      </c>
      <c r="C51" s="77"/>
      <c r="D51" s="53">
        <v>133071.91983398501</v>
      </c>
      <c r="E51" s="54">
        <v>0.53723004750010905</v>
      </c>
      <c r="F51" s="56"/>
      <c r="G51" s="53">
        <v>80728.945735014102</v>
      </c>
      <c r="H51" s="54">
        <v>0.64078296894292297</v>
      </c>
      <c r="I51" s="30"/>
      <c r="J51" s="53">
        <v>104898.29858539801</v>
      </c>
      <c r="K51" s="54">
        <v>0.85510831512302599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5" customHeight="1">
      <c r="A52" s="30"/>
      <c r="B52" s="76" t="s">
        <v>22</v>
      </c>
      <c r="C52" s="77"/>
      <c r="D52" s="53">
        <v>211799.81846035199</v>
      </c>
      <c r="E52" s="54">
        <v>0.814039568389477</v>
      </c>
      <c r="F52" s="56"/>
      <c r="G52" s="53">
        <v>133732.14988733499</v>
      </c>
      <c r="H52" s="54">
        <v>1.04260664721691</v>
      </c>
      <c r="I52" s="30"/>
      <c r="J52" s="53">
        <v>155816.21527502901</v>
      </c>
      <c r="K52" s="54">
        <v>1.20050737956097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76" t="s">
        <v>23</v>
      </c>
      <c r="C53" s="77"/>
      <c r="D53" s="53">
        <v>173209.50922819201</v>
      </c>
      <c r="E53" s="54">
        <v>0.671925370720588</v>
      </c>
      <c r="F53" s="56"/>
      <c r="G53" s="53">
        <v>122692.976194424</v>
      </c>
      <c r="H53" s="54">
        <v>0.91223539070396398</v>
      </c>
      <c r="I53" s="30"/>
      <c r="J53" s="53">
        <v>135958.22413419199</v>
      </c>
      <c r="K53" s="54">
        <v>1.0912911800610099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30" customHeight="1">
      <c r="A54" s="30"/>
      <c r="B54" s="100" t="s">
        <v>86</v>
      </c>
      <c r="C54" s="101"/>
      <c r="D54" s="53">
        <v>110250.519307874</v>
      </c>
      <c r="E54" s="54">
        <v>0.43126185759568197</v>
      </c>
      <c r="F54" s="56"/>
      <c r="G54" s="53">
        <v>61892.139601608404</v>
      </c>
      <c r="H54" s="54">
        <v>0.48081471568006201</v>
      </c>
      <c r="I54" s="30"/>
      <c r="J54" s="53">
        <v>89367.422026698594</v>
      </c>
      <c r="K54" s="54">
        <v>0.71101041789543096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76" t="s">
        <v>24</v>
      </c>
      <c r="C55" s="77"/>
      <c r="D55" s="53">
        <v>15504.1303206597</v>
      </c>
      <c r="E55" s="54">
        <v>6.3040777133315004E-2</v>
      </c>
      <c r="F55" s="56"/>
      <c r="G55" s="53">
        <v>15504.1303206597</v>
      </c>
      <c r="H55" s="54">
        <v>0.12465417976432699</v>
      </c>
      <c r="I55" s="30"/>
      <c r="J55" s="53">
        <v>0</v>
      </c>
      <c r="K55" s="54">
        <v>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77"/>
      <c r="C56" s="7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5" customHeight="1">
      <c r="A57" s="30"/>
      <c r="B57" s="99" t="s">
        <v>25</v>
      </c>
      <c r="C57" s="80"/>
      <c r="D57" s="47">
        <v>935312.70339123101</v>
      </c>
      <c r="E57" s="48">
        <v>0.85515781833148696</v>
      </c>
      <c r="F57" s="49"/>
      <c r="G57" s="47">
        <v>670158.80860680202</v>
      </c>
      <c r="H57" s="48">
        <v>1.17865201121927</v>
      </c>
      <c r="I57" s="50"/>
      <c r="J57" s="47">
        <v>545059.58642935497</v>
      </c>
      <c r="K57" s="48">
        <v>1.2162039119813901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106"/>
      <c r="C58" s="106"/>
      <c r="D58" s="106"/>
      <c r="E58" s="106"/>
      <c r="F58" s="106"/>
      <c r="G58" s="106"/>
      <c r="H58" s="107"/>
      <c r="I58" s="107"/>
      <c r="J58" s="107"/>
      <c r="K58" s="107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6.95" customHeight="1">
      <c r="A59" s="30"/>
      <c r="B59" s="9"/>
      <c r="C59" s="9"/>
      <c r="D59" s="9"/>
      <c r="E59" s="9"/>
      <c r="F59" s="9"/>
      <c r="G59" s="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2" customHeight="1">
      <c r="A60" s="30"/>
      <c r="B60" s="108" t="s">
        <v>74</v>
      </c>
      <c r="C60" s="108"/>
      <c r="D60" s="108"/>
      <c r="E60" s="93"/>
      <c r="F60" s="93"/>
      <c r="G60" s="93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2" customHeight="1">
      <c r="A61" s="30"/>
      <c r="B61" s="254" t="s">
        <v>102</v>
      </c>
      <c r="C61" s="254"/>
      <c r="D61" s="254"/>
      <c r="E61" s="254"/>
      <c r="F61" s="254"/>
      <c r="G61" s="254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</sheetData>
  <mergeCells count="6">
    <mergeCell ref="B61:G61"/>
    <mergeCell ref="B7:B9"/>
    <mergeCell ref="D7:E8"/>
    <mergeCell ref="G7:K7"/>
    <mergeCell ref="G8:H8"/>
    <mergeCell ref="J8:K8"/>
  </mergeCells>
  <hyperlinks>
    <hyperlink ref="K1" location="Índice!A1" tooltip="Ir a ÍNDICE" display="INDICE" xr:uid="{BE23AB4D-2178-4983-8AED-51702A4CE2A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B660-C9EE-459A-9655-E0E8543675DC}">
  <dimension ref="A1:W3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  <col min="13" max="13" width="11.85546875" bestFit="1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10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4" t="s">
        <v>106</v>
      </c>
      <c r="C5" s="264"/>
      <c r="D5" s="264"/>
      <c r="E5" s="264"/>
      <c r="F5" s="264"/>
      <c r="G5" s="264"/>
      <c r="H5" s="111"/>
      <c r="I5" s="111"/>
      <c r="J5" s="111"/>
      <c r="K5" s="112" t="s">
        <v>54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135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5" t="s">
        <v>32</v>
      </c>
      <c r="C13" s="116"/>
      <c r="D13" s="53">
        <v>337134.08178301703</v>
      </c>
      <c r="E13" s="54">
        <v>0.93543725892101504</v>
      </c>
      <c r="F13" s="56"/>
      <c r="G13" s="53">
        <v>234444.77589435599</v>
      </c>
      <c r="H13" s="54">
        <v>1.25252162807944</v>
      </c>
      <c r="I13" s="30"/>
      <c r="J13" s="53">
        <v>221894.56781356499</v>
      </c>
      <c r="K13" s="54">
        <v>1.26671347109042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17" t="s">
        <v>97</v>
      </c>
      <c r="C14" s="118"/>
      <c r="D14" s="53">
        <v>557609.41610389098</v>
      </c>
      <c r="E14" s="54">
        <v>0.93446055803538797</v>
      </c>
      <c r="F14" s="56"/>
      <c r="G14" s="53">
        <v>421474.62761237897</v>
      </c>
      <c r="H14" s="54">
        <v>1.2531353971111501</v>
      </c>
      <c r="I14" s="30"/>
      <c r="J14" s="53">
        <v>399650.18518904998</v>
      </c>
      <c r="K14" s="54">
        <v>1.2656519815582501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17" t="s">
        <v>96</v>
      </c>
      <c r="C15" s="118"/>
      <c r="D15" s="53">
        <v>14754.4789131979</v>
      </c>
      <c r="E15" s="54">
        <v>4.5561147617491402E-2</v>
      </c>
      <c r="F15" s="56"/>
      <c r="G15" s="53">
        <v>12637.3137572824</v>
      </c>
      <c r="H15" s="54">
        <v>7.5155061494716804E-2</v>
      </c>
      <c r="I15" s="30"/>
      <c r="J15" s="53">
        <v>7615.3101709648099</v>
      </c>
      <c r="K15" s="54">
        <v>4.8933673343064303E-2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6.95" customHeight="1">
      <c r="A16" s="30"/>
      <c r="B16" s="119"/>
      <c r="C16" s="119"/>
      <c r="D16" s="22"/>
      <c r="E16" s="120"/>
      <c r="F16" s="58"/>
      <c r="G16" s="22"/>
      <c r="H16" s="120"/>
      <c r="I16" s="120"/>
      <c r="J16" s="22"/>
      <c r="K16" s="12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21" t="s">
        <v>7</v>
      </c>
      <c r="C17" s="122"/>
      <c r="D17" s="47">
        <v>497336.26680887199</v>
      </c>
      <c r="E17" s="48">
        <v>0</v>
      </c>
      <c r="F17" s="49"/>
      <c r="G17" s="47">
        <v>323662.73598131898</v>
      </c>
      <c r="H17" s="48">
        <v>0</v>
      </c>
      <c r="I17" s="50"/>
      <c r="J17" s="47">
        <v>282445.37983620999</v>
      </c>
      <c r="K17" s="48">
        <v>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22"/>
      <c r="C18" s="122"/>
      <c r="D18" s="53"/>
      <c r="E18" s="54"/>
      <c r="F18" s="49"/>
      <c r="G18" s="53"/>
      <c r="H18" s="54"/>
      <c r="I18" s="5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15" t="s">
        <v>32</v>
      </c>
      <c r="C19" s="116"/>
      <c r="D19" s="53">
        <v>224719.791115189</v>
      </c>
      <c r="E19" s="54">
        <v>2.3371669430968902</v>
      </c>
      <c r="F19" s="56"/>
      <c r="G19" s="53">
        <v>157497.084354772</v>
      </c>
      <c r="H19" s="54">
        <v>2.8639446358718899</v>
      </c>
      <c r="I19" s="30"/>
      <c r="J19" s="53">
        <v>117127.89693810701</v>
      </c>
      <c r="K19" s="54">
        <v>2.9185275053897501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17" t="s">
        <v>97</v>
      </c>
      <c r="C20" s="118"/>
      <c r="D20" s="53">
        <v>405049.19487991597</v>
      </c>
      <c r="E20" s="54">
        <v>2.3309114725157198</v>
      </c>
      <c r="F20" s="56"/>
      <c r="G20" s="53">
        <v>257630.55703887501</v>
      </c>
      <c r="H20" s="54">
        <v>2.8650692412374901</v>
      </c>
      <c r="I20" s="30"/>
      <c r="J20" s="53">
        <v>241875.24314339299</v>
      </c>
      <c r="K20" s="54">
        <v>2.91512846458799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17" t="s">
        <v>96</v>
      </c>
      <c r="C21" s="118"/>
      <c r="D21" s="53">
        <v>10127.8735675363</v>
      </c>
      <c r="E21" s="54">
        <v>0.12956249464171701</v>
      </c>
      <c r="F21" s="56"/>
      <c r="G21" s="53">
        <v>6978.0841210177496</v>
      </c>
      <c r="H21" s="54">
        <v>0.159911337168304</v>
      </c>
      <c r="I21" s="30"/>
      <c r="J21" s="53">
        <v>7340.3109607154902</v>
      </c>
      <c r="K21" s="54">
        <v>0.214441247110332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23"/>
      <c r="C22" s="123"/>
      <c r="D22" s="22"/>
      <c r="E22" s="124"/>
      <c r="F22" s="125"/>
      <c r="G22" s="22"/>
      <c r="H22" s="124"/>
      <c r="I22" s="124"/>
      <c r="J22" s="22"/>
      <c r="K22" s="12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21" t="s">
        <v>8</v>
      </c>
      <c r="C23" s="122"/>
      <c r="D23" s="47">
        <v>621589.110367127</v>
      </c>
      <c r="E23" s="48">
        <v>0</v>
      </c>
      <c r="F23" s="49"/>
      <c r="G23" s="47">
        <v>446839.22598195798</v>
      </c>
      <c r="H23" s="48">
        <v>0</v>
      </c>
      <c r="I23" s="50"/>
      <c r="J23" s="47">
        <v>411414.95751679398</v>
      </c>
      <c r="K23" s="48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22"/>
      <c r="C24" s="12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5" t="s">
        <v>32</v>
      </c>
      <c r="C25" s="116"/>
      <c r="D25" s="53">
        <v>277567.88986340503</v>
      </c>
      <c r="E25" s="54">
        <v>0.96892613270575301</v>
      </c>
      <c r="F25" s="56"/>
      <c r="G25" s="53">
        <v>183016.17048479099</v>
      </c>
      <c r="H25" s="54">
        <v>1.2980682001939501</v>
      </c>
      <c r="I25" s="30"/>
      <c r="J25" s="53">
        <v>196522.345364387</v>
      </c>
      <c r="K25" s="54">
        <v>1.41154836974992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17" t="s">
        <v>97</v>
      </c>
      <c r="C26" s="118"/>
      <c r="D26" s="53">
        <v>534434.39559580002</v>
      </c>
      <c r="E26" s="54">
        <v>0.96893590705840205</v>
      </c>
      <c r="F26" s="56"/>
      <c r="G26" s="53">
        <v>394442.06705123</v>
      </c>
      <c r="H26" s="54">
        <v>1.29886621326658</v>
      </c>
      <c r="I26" s="30"/>
      <c r="J26" s="53">
        <v>358745.23523369897</v>
      </c>
      <c r="K26" s="54">
        <v>1.4114100056219301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17" t="s">
        <v>96</v>
      </c>
      <c r="C27" s="118"/>
      <c r="D27" s="53">
        <v>10729.437310502401</v>
      </c>
      <c r="E27" s="54">
        <v>4.3644824757282298E-2</v>
      </c>
      <c r="F27" s="56"/>
      <c r="G27" s="53">
        <v>10536.0353549141</v>
      </c>
      <c r="H27" s="54">
        <v>8.4645221439378096E-2</v>
      </c>
      <c r="I27" s="30"/>
      <c r="J27" s="53">
        <v>2028</v>
      </c>
      <c r="K27" s="54">
        <v>1.6699816225157701E-2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26"/>
      <c r="C28" s="126"/>
      <c r="D28" s="126"/>
      <c r="E28" s="126"/>
      <c r="F28" s="126"/>
      <c r="G28" s="126"/>
      <c r="H28" s="127"/>
      <c r="I28" s="127"/>
      <c r="J28" s="127"/>
      <c r="K28" s="12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6.95" customHeight="1">
      <c r="A29" s="30"/>
      <c r="B29" s="128"/>
      <c r="C29" s="128"/>
      <c r="D29" s="128"/>
      <c r="E29" s="128"/>
      <c r="F29" s="128"/>
      <c r="G29" s="128"/>
      <c r="H29" s="110"/>
      <c r="I29" s="110"/>
      <c r="J29" s="110"/>
      <c r="K29" s="11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2" customHeight="1">
      <c r="A30" s="30"/>
      <c r="B30" s="129" t="s">
        <v>76</v>
      </c>
      <c r="C30" s="129"/>
      <c r="D30" s="129"/>
      <c r="E30" s="129"/>
      <c r="F30" s="129"/>
      <c r="G30" s="129"/>
      <c r="H30" s="129"/>
      <c r="I30" s="129"/>
      <c r="J30" s="129"/>
      <c r="K30" s="1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24" customHeight="1">
      <c r="A31" s="30"/>
      <c r="B31" s="263" t="s">
        <v>87</v>
      </c>
      <c r="C31" s="263"/>
      <c r="D31" s="263"/>
      <c r="E31" s="263"/>
      <c r="F31" s="263"/>
      <c r="G31" s="263"/>
      <c r="H31" s="263"/>
      <c r="I31" s="263"/>
      <c r="J31" s="263"/>
      <c r="K31" s="263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2" customHeight="1">
      <c r="A32" s="30"/>
      <c r="B32" s="254" t="s">
        <v>102</v>
      </c>
      <c r="C32" s="254"/>
      <c r="D32" s="254"/>
      <c r="E32" s="254"/>
      <c r="F32" s="254"/>
      <c r="G32" s="254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</sheetData>
  <mergeCells count="8">
    <mergeCell ref="B31:K31"/>
    <mergeCell ref="B32:G3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6F8306AC-0325-46FB-8B10-2006B2FFBAE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98DD-DCD2-4472-9FBE-BCCC94149A21}">
  <dimension ref="A1:W9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65"/>
      <c r="C4" s="265"/>
      <c r="D4" s="265"/>
      <c r="E4" s="265"/>
      <c r="F4" s="265"/>
      <c r="G4" s="265"/>
      <c r="H4" s="265"/>
      <c r="I4" s="65"/>
      <c r="J4" s="65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s="2" customFormat="1" ht="30" customHeight="1">
      <c r="A5" s="131"/>
      <c r="B5" s="266" t="s">
        <v>137</v>
      </c>
      <c r="C5" s="266"/>
      <c r="D5" s="266"/>
      <c r="E5" s="266"/>
      <c r="F5" s="266"/>
      <c r="G5" s="266"/>
      <c r="H5" s="266"/>
      <c r="I5" s="132"/>
      <c r="J5" s="132"/>
      <c r="K5" s="112" t="s">
        <v>55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20.100000000000001" customHeight="1">
      <c r="A7" s="30"/>
      <c r="B7" s="261" t="s">
        <v>138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20.100000000000001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20.100000000000001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90</v>
      </c>
      <c r="C13" s="98"/>
      <c r="D13" s="47"/>
      <c r="E13" s="48"/>
      <c r="F13" s="49"/>
      <c r="G13" s="47"/>
      <c r="H13" s="48"/>
      <c r="I13" s="50"/>
      <c r="J13" s="47"/>
      <c r="K13" s="48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98"/>
      <c r="C14" s="98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0" t="s">
        <v>98</v>
      </c>
      <c r="C15" s="98"/>
      <c r="D15" s="53">
        <v>473728.16375383397</v>
      </c>
      <c r="E15" s="54">
        <v>1.0698613722947601</v>
      </c>
      <c r="F15" s="56"/>
      <c r="G15" s="53">
        <v>323435.53809254599</v>
      </c>
      <c r="H15" s="54">
        <v>1.46712195116133</v>
      </c>
      <c r="I15" s="30"/>
      <c r="J15" s="53">
        <v>370369.06073291</v>
      </c>
      <c r="K15" s="54">
        <v>1.5771104349159599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99</v>
      </c>
      <c r="C16" s="98"/>
      <c r="D16" s="53">
        <v>444578.68201398401</v>
      </c>
      <c r="E16" s="54">
        <v>1.05909061819406</v>
      </c>
      <c r="F16" s="56"/>
      <c r="G16" s="53">
        <v>340053.86625965597</v>
      </c>
      <c r="H16" s="54">
        <v>1.4507653014742099</v>
      </c>
      <c r="I16" s="30"/>
      <c r="J16" s="53">
        <v>293575.028067281</v>
      </c>
      <c r="K16" s="54">
        <v>1.5448014086970301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0" t="s">
        <v>100</v>
      </c>
      <c r="C17" s="98"/>
      <c r="D17" s="53">
        <v>106696.044840905</v>
      </c>
      <c r="E17" s="54">
        <v>0.32851049367128898</v>
      </c>
      <c r="F17" s="56"/>
      <c r="G17" s="53">
        <v>90348.164065472607</v>
      </c>
      <c r="H17" s="54">
        <v>0.52588949142333696</v>
      </c>
      <c r="I17" s="30"/>
      <c r="J17" s="53">
        <v>53235.552126914197</v>
      </c>
      <c r="K17" s="54">
        <v>0.34353631690688202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34"/>
      <c r="C18" s="98"/>
      <c r="D18" s="22"/>
      <c r="E18" s="22"/>
      <c r="F18" s="22"/>
      <c r="G18" s="22"/>
      <c r="H18" s="22"/>
      <c r="I18" s="30"/>
      <c r="J18" s="22"/>
      <c r="K18" s="2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33" t="s">
        <v>91</v>
      </c>
      <c r="C19" s="98"/>
      <c r="D19" s="47"/>
      <c r="E19" s="48"/>
      <c r="F19" s="49"/>
      <c r="G19" s="47"/>
      <c r="H19" s="48"/>
      <c r="I19" s="50"/>
      <c r="J19" s="47"/>
      <c r="K19" s="48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98"/>
      <c r="C20" s="98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0" t="s">
        <v>98</v>
      </c>
      <c r="C21" s="98"/>
      <c r="D21" s="53">
        <v>513835.03495552798</v>
      </c>
      <c r="E21" s="54">
        <v>1.0391100957315</v>
      </c>
      <c r="F21" s="56"/>
      <c r="G21" s="53">
        <v>345736.86878685298</v>
      </c>
      <c r="H21" s="54">
        <v>1.3919502003019499</v>
      </c>
      <c r="I21" s="30"/>
      <c r="J21" s="53">
        <v>393012.64660263603</v>
      </c>
      <c r="K21" s="54">
        <v>1.44805064691625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00" t="s">
        <v>99</v>
      </c>
      <c r="C22" s="98"/>
      <c r="D22" s="53">
        <v>401192.484974286</v>
      </c>
      <c r="E22" s="54">
        <v>1.02646778079144</v>
      </c>
      <c r="F22" s="56"/>
      <c r="G22" s="53">
        <v>306774.25596040598</v>
      </c>
      <c r="H22" s="54">
        <v>1.36459778766859</v>
      </c>
      <c r="I22" s="30"/>
      <c r="J22" s="53">
        <v>256198.780157967</v>
      </c>
      <c r="K22" s="54">
        <v>1.4367392552445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00" t="s">
        <v>100</v>
      </c>
      <c r="C23" s="98"/>
      <c r="D23" s="53">
        <v>76938.461189531401</v>
      </c>
      <c r="E23" s="54">
        <v>0.23762418776927499</v>
      </c>
      <c r="F23" s="56"/>
      <c r="G23" s="53">
        <v>66354.060257037694</v>
      </c>
      <c r="H23" s="54">
        <v>0.39223653083756999</v>
      </c>
      <c r="I23" s="30"/>
      <c r="J23" s="53">
        <v>37132.528219877502</v>
      </c>
      <c r="K23" s="54">
        <v>0.23963494878564201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34"/>
      <c r="C24" s="98"/>
      <c r="D24" s="22"/>
      <c r="E24" s="22"/>
      <c r="F24" s="22"/>
      <c r="G24" s="22"/>
      <c r="H24" s="22"/>
      <c r="I24" s="30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33" t="s">
        <v>92</v>
      </c>
      <c r="C25" s="98"/>
      <c r="D25" s="47"/>
      <c r="E25" s="48"/>
      <c r="F25" s="49"/>
      <c r="G25" s="47"/>
      <c r="H25" s="48"/>
      <c r="I25" s="50"/>
      <c r="J25" s="47"/>
      <c r="K25" s="48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98"/>
      <c r="C26" s="98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0" t="s">
        <v>98</v>
      </c>
      <c r="C27" s="98"/>
      <c r="D27" s="53">
        <v>496071.75599428499</v>
      </c>
      <c r="E27" s="54">
        <v>1.0431724012765999</v>
      </c>
      <c r="F27" s="56"/>
      <c r="G27" s="53">
        <v>355432.35628035601</v>
      </c>
      <c r="H27" s="54">
        <v>1.4136887494509001</v>
      </c>
      <c r="I27" s="30"/>
      <c r="J27" s="53">
        <v>370804.87696616998</v>
      </c>
      <c r="K27" s="54">
        <v>1.4993313166562099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0" t="s">
        <v>99</v>
      </c>
      <c r="C28" s="98"/>
      <c r="D28" s="53">
        <v>416374.45230981801</v>
      </c>
      <c r="E28" s="54">
        <v>1.0305213525683099</v>
      </c>
      <c r="F28" s="56"/>
      <c r="G28" s="53">
        <v>304081.01792033698</v>
      </c>
      <c r="H28" s="54">
        <v>1.3938534102659601</v>
      </c>
      <c r="I28" s="30"/>
      <c r="J28" s="53">
        <v>281307.58227654599</v>
      </c>
      <c r="K28" s="54">
        <v>1.48383744543595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0" t="s">
        <v>100</v>
      </c>
      <c r="C29" s="98"/>
      <c r="D29" s="53">
        <v>69444.843525221906</v>
      </c>
      <c r="E29" s="54">
        <v>0.214211378707589</v>
      </c>
      <c r="F29" s="56"/>
      <c r="G29" s="53">
        <v>59289.385373775003</v>
      </c>
      <c r="H29" s="54">
        <v>0.348728804908849</v>
      </c>
      <c r="I29" s="30"/>
      <c r="J29" s="53">
        <v>38079.738614073103</v>
      </c>
      <c r="K29" s="54">
        <v>0.24596685281305999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134"/>
      <c r="C30" s="98"/>
      <c r="D30" s="22"/>
      <c r="E30" s="22"/>
      <c r="F30" s="22"/>
      <c r="G30" s="22"/>
      <c r="H30" s="22"/>
      <c r="I30" s="30"/>
      <c r="J30" s="22"/>
      <c r="K30" s="2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33" t="s">
        <v>107</v>
      </c>
      <c r="C31" s="98"/>
      <c r="D31" s="47"/>
      <c r="E31" s="48"/>
      <c r="F31" s="49"/>
      <c r="G31" s="47"/>
      <c r="H31" s="48"/>
      <c r="I31" s="50"/>
      <c r="J31" s="47"/>
      <c r="K31" s="48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98"/>
      <c r="C32" s="98"/>
      <c r="D32" s="53"/>
      <c r="E32" s="54"/>
      <c r="F32" s="49"/>
      <c r="G32" s="53"/>
      <c r="H32" s="54"/>
      <c r="I32" s="50"/>
      <c r="J32" s="53"/>
      <c r="K32" s="54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0" t="s">
        <v>98</v>
      </c>
      <c r="C33" s="98"/>
      <c r="D33" s="53">
        <v>497420.73653249</v>
      </c>
      <c r="E33" s="54">
        <v>1.01825858922501</v>
      </c>
      <c r="F33" s="56"/>
      <c r="G33" s="53">
        <v>331488.10593121097</v>
      </c>
      <c r="H33" s="54">
        <v>1.3793257910372501</v>
      </c>
      <c r="I33" s="30"/>
      <c r="J33" s="53">
        <v>390117.122109138</v>
      </c>
      <c r="K33" s="54">
        <v>1.4258595796371301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100" t="s">
        <v>99</v>
      </c>
      <c r="C34" s="98"/>
      <c r="D34" s="53">
        <v>409703.24415171501</v>
      </c>
      <c r="E34" s="54">
        <v>1.0133116217281199</v>
      </c>
      <c r="F34" s="56"/>
      <c r="G34" s="53">
        <v>325354.918596428</v>
      </c>
      <c r="H34" s="54">
        <v>1.3831076090426899</v>
      </c>
      <c r="I34" s="30"/>
      <c r="J34" s="53">
        <v>251916.85982104501</v>
      </c>
      <c r="K34" s="54">
        <v>1.40604059348746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0" t="s">
        <v>100</v>
      </c>
      <c r="C35" s="98"/>
      <c r="D35" s="53">
        <v>48196.082598217203</v>
      </c>
      <c r="E35" s="54">
        <v>0.15014061635616799</v>
      </c>
      <c r="F35" s="56"/>
      <c r="G35" s="53">
        <v>34019.669017970198</v>
      </c>
      <c r="H35" s="54">
        <v>0.20368477005602301</v>
      </c>
      <c r="I35" s="30"/>
      <c r="J35" s="53">
        <v>34070.065382617402</v>
      </c>
      <c r="K35" s="54">
        <v>0.21976714339508299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19"/>
      <c r="C36" s="119"/>
      <c r="D36" s="22"/>
      <c r="E36" s="135"/>
      <c r="F36" s="135"/>
      <c r="G36" s="22"/>
      <c r="H36" s="135"/>
      <c r="I36" s="135"/>
      <c r="J36" s="22"/>
      <c r="K36" s="135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36" t="s">
        <v>7</v>
      </c>
      <c r="C37" s="137"/>
      <c r="D37" s="47">
        <v>497336.26680887199</v>
      </c>
      <c r="E37" s="48">
        <v>0</v>
      </c>
      <c r="F37" s="49"/>
      <c r="G37" s="47">
        <v>323662.73598131898</v>
      </c>
      <c r="H37" s="48">
        <v>0</v>
      </c>
      <c r="I37" s="50"/>
      <c r="J37" s="47">
        <v>282445.37983620999</v>
      </c>
      <c r="K37" s="48">
        <v>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90</v>
      </c>
      <c r="C39" s="98"/>
      <c r="D39" s="47"/>
      <c r="E39" s="48"/>
      <c r="F39" s="49"/>
      <c r="G39" s="47"/>
      <c r="H39" s="48"/>
      <c r="I39" s="50"/>
      <c r="J39" s="47"/>
      <c r="K39" s="48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98"/>
      <c r="C40" s="98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0" t="s">
        <v>98</v>
      </c>
      <c r="C41" s="98"/>
      <c r="D41" s="53">
        <v>300872.92781852098</v>
      </c>
      <c r="E41" s="54">
        <v>2.35863499442838</v>
      </c>
      <c r="F41" s="56"/>
      <c r="G41" s="53">
        <v>214530.077216662</v>
      </c>
      <c r="H41" s="54">
        <v>3.3013168911111599</v>
      </c>
      <c r="I41" s="30"/>
      <c r="J41" s="53">
        <v>182157.65811993199</v>
      </c>
      <c r="K41" s="54">
        <v>3.4605237995572602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0" t="s">
        <v>99</v>
      </c>
      <c r="C42" s="98"/>
      <c r="D42" s="53">
        <v>304597.52642641898</v>
      </c>
      <c r="E42" s="54">
        <v>2.3540792250662199</v>
      </c>
      <c r="F42" s="56"/>
      <c r="G42" s="53">
        <v>201908.890455338</v>
      </c>
      <c r="H42" s="54">
        <v>3.2335377995918</v>
      </c>
      <c r="I42" s="30"/>
      <c r="J42" s="53">
        <v>183280.82557465899</v>
      </c>
      <c r="K42" s="54">
        <v>3.5101737260822001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0" t="s">
        <v>100</v>
      </c>
      <c r="C43" s="98"/>
      <c r="D43" s="53">
        <v>79802.622321754403</v>
      </c>
      <c r="E43" s="54">
        <v>1.0110685188028199</v>
      </c>
      <c r="F43" s="56"/>
      <c r="G43" s="53">
        <v>71949.238582952807</v>
      </c>
      <c r="H43" s="54">
        <v>1.5915995174934501</v>
      </c>
      <c r="I43" s="30"/>
      <c r="J43" s="53">
        <v>28498.485053303</v>
      </c>
      <c r="K43" s="54">
        <v>0.82941341622360498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34"/>
      <c r="C44" s="98"/>
      <c r="D44" s="22"/>
      <c r="E44" s="22"/>
      <c r="F44" s="22"/>
      <c r="G44" s="22"/>
      <c r="H44" s="22"/>
      <c r="I44" s="30"/>
      <c r="J44" s="22"/>
      <c r="K44" s="22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33" t="s">
        <v>91</v>
      </c>
      <c r="C45" s="98"/>
      <c r="D45" s="47"/>
      <c r="E45" s="48"/>
      <c r="F45" s="49"/>
      <c r="G45" s="47"/>
      <c r="H45" s="48"/>
      <c r="I45" s="50"/>
      <c r="J45" s="47"/>
      <c r="K45" s="48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98"/>
      <c r="C46" s="98"/>
      <c r="D46" s="53"/>
      <c r="E46" s="54"/>
      <c r="F46" s="49"/>
      <c r="G46" s="53"/>
      <c r="H46" s="54"/>
      <c r="I46" s="5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100" t="s">
        <v>98</v>
      </c>
      <c r="C47" s="98"/>
      <c r="D47" s="53">
        <v>331345.220070966</v>
      </c>
      <c r="E47" s="54">
        <v>2.4939762936531</v>
      </c>
      <c r="F47" s="56"/>
      <c r="G47" s="53">
        <v>212996.23325864499</v>
      </c>
      <c r="H47" s="54">
        <v>3.1458410447229399</v>
      </c>
      <c r="I47" s="30"/>
      <c r="J47" s="53">
        <v>194570.30603425601</v>
      </c>
      <c r="K47" s="54">
        <v>3.5450985860748299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99</v>
      </c>
      <c r="C48" s="98"/>
      <c r="D48" s="53">
        <v>287596.46640105802</v>
      </c>
      <c r="E48" s="54">
        <v>2.4521366012628598</v>
      </c>
      <c r="F48" s="56"/>
      <c r="G48" s="53">
        <v>196243.75899763001</v>
      </c>
      <c r="H48" s="54">
        <v>2.97667600238703</v>
      </c>
      <c r="I48" s="30"/>
      <c r="J48" s="53">
        <v>174266.08209461099</v>
      </c>
      <c r="K48" s="54">
        <v>3.5369148468792799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100" t="s">
        <v>100</v>
      </c>
      <c r="C49" s="98"/>
      <c r="D49" s="53">
        <v>65794.730868056606</v>
      </c>
      <c r="E49" s="54">
        <v>0.828871442683905</v>
      </c>
      <c r="F49" s="56"/>
      <c r="G49" s="53">
        <v>57860.613123263698</v>
      </c>
      <c r="H49" s="54">
        <v>1.29542579428372</v>
      </c>
      <c r="I49" s="30"/>
      <c r="J49" s="53">
        <v>27576.150837272398</v>
      </c>
      <c r="K49" s="54">
        <v>0.80197361697286396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34"/>
      <c r="C50" s="98"/>
      <c r="D50" s="22"/>
      <c r="E50" s="22"/>
      <c r="F50" s="22"/>
      <c r="G50" s="22"/>
      <c r="H50" s="22"/>
      <c r="I50" s="30"/>
      <c r="J50" s="22"/>
      <c r="K50" s="22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133" t="s">
        <v>92</v>
      </c>
      <c r="C51" s="98"/>
      <c r="D51" s="47"/>
      <c r="E51" s="48"/>
      <c r="F51" s="49"/>
      <c r="G51" s="47"/>
      <c r="H51" s="48"/>
      <c r="I51" s="50"/>
      <c r="J51" s="47"/>
      <c r="K51" s="4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98"/>
      <c r="C52" s="98"/>
      <c r="D52" s="53"/>
      <c r="E52" s="54"/>
      <c r="F52" s="49"/>
      <c r="G52" s="53"/>
      <c r="H52" s="54"/>
      <c r="I52" s="50"/>
      <c r="J52" s="53"/>
      <c r="K52" s="54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100" t="s">
        <v>98</v>
      </c>
      <c r="C53" s="98"/>
      <c r="D53" s="53">
        <v>338998.71101276099</v>
      </c>
      <c r="E53" s="54">
        <v>2.5262587162181598</v>
      </c>
      <c r="F53" s="56"/>
      <c r="G53" s="53">
        <v>247143.555536247</v>
      </c>
      <c r="H53" s="54">
        <v>3.3545925019986398</v>
      </c>
      <c r="I53" s="30"/>
      <c r="J53" s="53">
        <v>169787.672903481</v>
      </c>
      <c r="K53" s="54">
        <v>3.32406579220096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5" customHeight="1">
      <c r="A54" s="30"/>
      <c r="B54" s="100" t="s">
        <v>99</v>
      </c>
      <c r="C54" s="98"/>
      <c r="D54" s="53">
        <v>281887.45101794897</v>
      </c>
      <c r="E54" s="54">
        <v>2.5078825473373798</v>
      </c>
      <c r="F54" s="56"/>
      <c r="G54" s="53">
        <v>169343.33779159401</v>
      </c>
      <c r="H54" s="54">
        <v>3.1726885865911201</v>
      </c>
      <c r="I54" s="30"/>
      <c r="J54" s="53">
        <v>188723.289632364</v>
      </c>
      <c r="K54" s="54">
        <v>3.3424861131329999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100" t="s">
        <v>100</v>
      </c>
      <c r="C55" s="98"/>
      <c r="D55" s="53">
        <v>57572.5631587362</v>
      </c>
      <c r="E55" s="54">
        <v>0.71335772870423597</v>
      </c>
      <c r="F55" s="56"/>
      <c r="G55" s="53">
        <v>54298.029697218299</v>
      </c>
      <c r="H55" s="54">
        <v>1.19234136282845</v>
      </c>
      <c r="I55" s="30"/>
      <c r="J55" s="53">
        <v>21042.809318149499</v>
      </c>
      <c r="K55" s="54">
        <v>0.61003531399680799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134"/>
      <c r="C56" s="98"/>
      <c r="D56" s="22"/>
      <c r="E56" s="22"/>
      <c r="F56" s="22"/>
      <c r="G56" s="22"/>
      <c r="H56" s="22"/>
      <c r="I56" s="30"/>
      <c r="J56" s="22"/>
      <c r="K56" s="2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30" customHeight="1">
      <c r="A57" s="30"/>
      <c r="B57" s="133" t="s">
        <v>107</v>
      </c>
      <c r="C57" s="98"/>
      <c r="D57" s="47"/>
      <c r="E57" s="48"/>
      <c r="F57" s="49"/>
      <c r="G57" s="47"/>
      <c r="H57" s="48"/>
      <c r="I57" s="50"/>
      <c r="J57" s="47"/>
      <c r="K57" s="4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98"/>
      <c r="C58" s="98"/>
      <c r="D58" s="53"/>
      <c r="E58" s="54"/>
      <c r="F58" s="49"/>
      <c r="G58" s="53"/>
      <c r="H58" s="54"/>
      <c r="I58" s="50"/>
      <c r="J58" s="53"/>
      <c r="K58" s="54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15" customHeight="1">
      <c r="A59" s="30"/>
      <c r="B59" s="100" t="s">
        <v>98</v>
      </c>
      <c r="C59" s="98"/>
      <c r="D59" s="53">
        <v>335633.13237009197</v>
      </c>
      <c r="E59" s="54">
        <v>2.39163917307831</v>
      </c>
      <c r="F59" s="56"/>
      <c r="G59" s="53">
        <v>225104.77615789601</v>
      </c>
      <c r="H59" s="54">
        <v>3.14393424957558</v>
      </c>
      <c r="I59" s="30"/>
      <c r="J59" s="53">
        <v>191050.69199014301</v>
      </c>
      <c r="K59" s="54">
        <v>3.3656869595010401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5" customHeight="1">
      <c r="A60" s="30"/>
      <c r="B60" s="100" t="s">
        <v>99</v>
      </c>
      <c r="C60" s="98"/>
      <c r="D60" s="53">
        <v>284373.68326199701</v>
      </c>
      <c r="E60" s="54">
        <v>2.3943485667450601</v>
      </c>
      <c r="F60" s="56"/>
      <c r="G60" s="53">
        <v>198678.65433562201</v>
      </c>
      <c r="H60" s="54">
        <v>3.13433032761671</v>
      </c>
      <c r="I60" s="30"/>
      <c r="J60" s="53">
        <v>170737.58982138601</v>
      </c>
      <c r="K60" s="54">
        <v>3.3472465534674001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5" customHeight="1">
      <c r="A61" s="30"/>
      <c r="B61" s="100" t="s">
        <v>100</v>
      </c>
      <c r="C61" s="98"/>
      <c r="D61" s="53">
        <v>31666.4223534435</v>
      </c>
      <c r="E61" s="54">
        <v>0.40863437519465501</v>
      </c>
      <c r="F61" s="56"/>
      <c r="G61" s="53">
        <v>23642.035804896299</v>
      </c>
      <c r="H61" s="54">
        <v>0.54961044738406395</v>
      </c>
      <c r="I61" s="30"/>
      <c r="J61" s="53">
        <v>20073.355150547199</v>
      </c>
      <c r="K61" s="54">
        <v>0.58026193801710502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spans="1:23" ht="6.95" customHeight="1">
      <c r="A62" s="30"/>
      <c r="B62" s="119"/>
      <c r="C62" s="119"/>
      <c r="D62" s="22"/>
      <c r="E62" s="135"/>
      <c r="F62" s="135"/>
      <c r="G62" s="22"/>
      <c r="H62" s="135"/>
      <c r="I62" s="135"/>
      <c r="J62" s="22"/>
      <c r="K62" s="135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1:23" ht="15" customHeight="1">
      <c r="A63" s="30"/>
      <c r="B63" s="136" t="s">
        <v>8</v>
      </c>
      <c r="C63" s="137"/>
      <c r="D63" s="47">
        <v>621589.110367127</v>
      </c>
      <c r="E63" s="48">
        <v>0</v>
      </c>
      <c r="F63" s="49"/>
      <c r="G63" s="47">
        <v>446839.22598195798</v>
      </c>
      <c r="H63" s="48">
        <v>0</v>
      </c>
      <c r="I63" s="50"/>
      <c r="J63" s="47">
        <v>411414.95751679398</v>
      </c>
      <c r="K63" s="48">
        <v>0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spans="1:23" ht="6.95" customHeight="1">
      <c r="A64" s="30"/>
      <c r="B64" s="136"/>
      <c r="C64" s="137"/>
      <c r="D64" s="30"/>
      <c r="E64" s="30"/>
      <c r="F64" s="5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spans="1:23" ht="15" customHeight="1">
      <c r="A65" s="30"/>
      <c r="B65" s="133" t="s">
        <v>90</v>
      </c>
      <c r="C65" s="98"/>
      <c r="D65" s="47"/>
      <c r="E65" s="48"/>
      <c r="F65" s="49"/>
      <c r="G65" s="47"/>
      <c r="H65" s="48"/>
      <c r="I65" s="50"/>
      <c r="J65" s="47"/>
      <c r="K65" s="48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spans="1:23" ht="6.95" customHeight="1">
      <c r="A66" s="30"/>
      <c r="B66" s="98"/>
      <c r="C66" s="98"/>
      <c r="D66" s="53"/>
      <c r="E66" s="54"/>
      <c r="F66" s="49"/>
      <c r="G66" s="53"/>
      <c r="H66" s="54"/>
      <c r="I66" s="50"/>
      <c r="J66" s="53"/>
      <c r="K66" s="54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spans="1:23" ht="15" customHeight="1">
      <c r="A67" s="30"/>
      <c r="B67" s="100" t="s">
        <v>98</v>
      </c>
      <c r="C67" s="98"/>
      <c r="D67" s="53">
        <v>454916.61192662502</v>
      </c>
      <c r="E67" s="54">
        <v>1.2317079683285299</v>
      </c>
      <c r="F67" s="56"/>
      <c r="G67" s="53">
        <v>282673.85185788601</v>
      </c>
      <c r="H67" s="54">
        <v>1.62556131689145</v>
      </c>
      <c r="I67" s="30"/>
      <c r="J67" s="53">
        <v>342527.37374128099</v>
      </c>
      <c r="K67" s="54">
        <v>1.7763824287434999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spans="1:23" ht="15" customHeight="1">
      <c r="A68" s="30"/>
      <c r="B68" s="100" t="s">
        <v>99</v>
      </c>
      <c r="C68" s="98"/>
      <c r="D68" s="53">
        <v>400652.40077415999</v>
      </c>
      <c r="E68" s="54">
        <v>1.2136149157207701</v>
      </c>
      <c r="F68" s="56"/>
      <c r="G68" s="53">
        <v>305928.36913421802</v>
      </c>
      <c r="H68" s="54">
        <v>1.6015555425450001</v>
      </c>
      <c r="I68" s="30"/>
      <c r="J68" s="53">
        <v>250729.08750360401</v>
      </c>
      <c r="K68" s="54">
        <v>1.7308161138870699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spans="1:23" ht="15" customHeight="1">
      <c r="A69" s="30"/>
      <c r="B69" s="100" t="s">
        <v>100</v>
      </c>
      <c r="C69" s="98"/>
      <c r="D69" s="53">
        <v>73596.844386977406</v>
      </c>
      <c r="E69" s="54">
        <v>0.29386676119088601</v>
      </c>
      <c r="F69" s="56"/>
      <c r="G69" s="53">
        <v>55828.148750229499</v>
      </c>
      <c r="H69" s="54">
        <v>0.43842252345631799</v>
      </c>
      <c r="I69" s="30"/>
      <c r="J69" s="53">
        <v>47297.804155415797</v>
      </c>
      <c r="K69" s="54">
        <v>0.38605019613291502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spans="1:23" ht="6.95" customHeight="1">
      <c r="A70" s="30"/>
      <c r="B70" s="134"/>
      <c r="C70" s="98"/>
      <c r="D70" s="22"/>
      <c r="E70" s="22"/>
      <c r="F70" s="22"/>
      <c r="G70" s="22"/>
      <c r="H70" s="22"/>
      <c r="I70" s="30"/>
      <c r="J70" s="22"/>
      <c r="K70" s="22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spans="1:23" ht="15" customHeight="1">
      <c r="A71" s="30"/>
      <c r="B71" s="133" t="s">
        <v>91</v>
      </c>
      <c r="C71" s="98"/>
      <c r="D71" s="47"/>
      <c r="E71" s="48"/>
      <c r="F71" s="49"/>
      <c r="G71" s="47"/>
      <c r="H71" s="48"/>
      <c r="I71" s="50"/>
      <c r="J71" s="47"/>
      <c r="K71" s="48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spans="1:23" ht="6.95" customHeight="1">
      <c r="A72" s="30"/>
      <c r="B72" s="98"/>
      <c r="C72" s="98"/>
      <c r="D72" s="53"/>
      <c r="E72" s="54"/>
      <c r="F72" s="49"/>
      <c r="G72" s="53"/>
      <c r="H72" s="54"/>
      <c r="I72" s="50"/>
      <c r="J72" s="53"/>
      <c r="K72" s="54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spans="1:23" ht="15" customHeight="1">
      <c r="A73" s="30"/>
      <c r="B73" s="100" t="s">
        <v>98</v>
      </c>
      <c r="C73" s="98"/>
      <c r="D73" s="53">
        <v>493336.13094515301</v>
      </c>
      <c r="E73" s="54">
        <v>1.12366614856379</v>
      </c>
      <c r="F73" s="56"/>
      <c r="G73" s="53">
        <v>324135.21206934197</v>
      </c>
      <c r="H73" s="54">
        <v>1.5343912036074701</v>
      </c>
      <c r="I73" s="30"/>
      <c r="J73" s="53">
        <v>365885.47263491101</v>
      </c>
      <c r="K73" s="54">
        <v>1.5248758139784799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spans="1:23" ht="15" customHeight="1">
      <c r="A74" s="30"/>
      <c r="B74" s="100" t="s">
        <v>99</v>
      </c>
      <c r="C74" s="98"/>
      <c r="D74" s="53">
        <v>346128.54950611002</v>
      </c>
      <c r="E74" s="54">
        <v>1.1174950793535701</v>
      </c>
      <c r="F74" s="56"/>
      <c r="G74" s="53">
        <v>263467.95171099203</v>
      </c>
      <c r="H74" s="54">
        <v>1.5332288500586799</v>
      </c>
      <c r="I74" s="30"/>
      <c r="J74" s="53">
        <v>204183.669939771</v>
      </c>
      <c r="K74" s="54">
        <v>1.5134877744347099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spans="1:23" ht="15" customHeight="1">
      <c r="A75" s="30"/>
      <c r="B75" s="100" t="s">
        <v>100</v>
      </c>
      <c r="C75" s="98"/>
      <c r="D75" s="53">
        <v>40961.342631264997</v>
      </c>
      <c r="E75" s="54">
        <v>0.16678549319160299</v>
      </c>
      <c r="F75" s="56"/>
      <c r="G75" s="53">
        <v>32480.929198448099</v>
      </c>
      <c r="H75" s="54">
        <v>0.26130626189196099</v>
      </c>
      <c r="I75" s="30"/>
      <c r="J75" s="53">
        <v>25115.593980632799</v>
      </c>
      <c r="K75" s="54">
        <v>0.20653639612793401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spans="1:23" ht="6.95" customHeight="1">
      <c r="A76" s="30"/>
      <c r="B76" s="134"/>
      <c r="C76" s="98"/>
      <c r="D76" s="22"/>
      <c r="E76" s="22"/>
      <c r="F76" s="22"/>
      <c r="G76" s="22"/>
      <c r="H76" s="22"/>
      <c r="I76" s="30"/>
      <c r="J76" s="22"/>
      <c r="K76" s="22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5" customHeight="1">
      <c r="A77" s="30"/>
      <c r="B77" s="133" t="s">
        <v>92</v>
      </c>
      <c r="C77" s="98"/>
      <c r="D77" s="47"/>
      <c r="E77" s="48"/>
      <c r="F77" s="49"/>
      <c r="G77" s="47"/>
      <c r="H77" s="48"/>
      <c r="I77" s="50"/>
      <c r="J77" s="47"/>
      <c r="K77" s="4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spans="1:23" ht="6.95" customHeight="1">
      <c r="A78" s="30"/>
      <c r="B78" s="98"/>
      <c r="C78" s="98"/>
      <c r="D78" s="53"/>
      <c r="E78" s="54"/>
      <c r="F78" s="49"/>
      <c r="G78" s="53"/>
      <c r="H78" s="54"/>
      <c r="I78" s="50"/>
      <c r="J78" s="53"/>
      <c r="K78" s="54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spans="1:23" ht="15" customHeight="1">
      <c r="A79" s="30"/>
      <c r="B79" s="100" t="s">
        <v>98</v>
      </c>
      <c r="C79" s="98"/>
      <c r="D79" s="53">
        <v>484701.84196001</v>
      </c>
      <c r="E79" s="54">
        <v>1.1564263829590899</v>
      </c>
      <c r="F79" s="56"/>
      <c r="G79" s="53">
        <v>316567.30645169597</v>
      </c>
      <c r="H79" s="54">
        <v>1.5496133874398099</v>
      </c>
      <c r="I79" s="30"/>
      <c r="J79" s="53">
        <v>354886.27772356098</v>
      </c>
      <c r="K79" s="54">
        <v>1.6222496326901601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spans="1:23" ht="15" customHeight="1">
      <c r="A80" s="30"/>
      <c r="B80" s="100" t="s">
        <v>99</v>
      </c>
      <c r="C80" s="98"/>
      <c r="D80" s="53">
        <v>362954.63030346</v>
      </c>
      <c r="E80" s="54">
        <v>1.1522245522674699</v>
      </c>
      <c r="F80" s="56"/>
      <c r="G80" s="53">
        <v>274374.48274936998</v>
      </c>
      <c r="H80" s="54">
        <v>1.5636253695324001</v>
      </c>
      <c r="I80" s="30"/>
      <c r="J80" s="53">
        <v>224050.970117091</v>
      </c>
      <c r="K80" s="54">
        <v>1.6042505810655501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spans="1:23" ht="15" customHeight="1">
      <c r="A81" s="30"/>
      <c r="B81" s="100" t="s">
        <v>100</v>
      </c>
      <c r="C81" s="98"/>
      <c r="D81" s="53">
        <v>39230.237897809697</v>
      </c>
      <c r="E81" s="54">
        <v>0.16002213097339599</v>
      </c>
      <c r="F81" s="56"/>
      <c r="G81" s="53">
        <v>23810.820838433901</v>
      </c>
      <c r="H81" s="54">
        <v>0.191880189229863</v>
      </c>
      <c r="I81" s="30"/>
      <c r="J81" s="53">
        <v>31737.4647524992</v>
      </c>
      <c r="K81" s="54">
        <v>0.26146308287453301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spans="1:23" ht="6.95" customHeight="1">
      <c r="A82" s="30"/>
      <c r="B82" s="134"/>
      <c r="C82" s="98"/>
      <c r="D82" s="22"/>
      <c r="E82" s="22"/>
      <c r="F82" s="22"/>
      <c r="G82" s="22"/>
      <c r="H82" s="22"/>
      <c r="I82" s="30"/>
      <c r="J82" s="22"/>
      <c r="K82" s="22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 ht="30" customHeight="1">
      <c r="A83" s="30"/>
      <c r="B83" s="133" t="s">
        <v>107</v>
      </c>
      <c r="C83" s="98"/>
      <c r="D83" s="47"/>
      <c r="E83" s="48"/>
      <c r="F83" s="49"/>
      <c r="G83" s="47"/>
      <c r="H83" s="48"/>
      <c r="I83" s="50"/>
      <c r="J83" s="47"/>
      <c r="K83" s="48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spans="1:23" ht="6.95" customHeight="1">
      <c r="A84" s="30"/>
      <c r="B84" s="98"/>
      <c r="C84" s="98"/>
      <c r="D84" s="53"/>
      <c r="E84" s="54"/>
      <c r="F84" s="49"/>
      <c r="G84" s="53"/>
      <c r="H84" s="54"/>
      <c r="I84" s="50"/>
      <c r="J84" s="53"/>
      <c r="K84" s="54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spans="1:23" ht="15" customHeight="1">
      <c r="A85" s="30"/>
      <c r="B85" s="100" t="s">
        <v>98</v>
      </c>
      <c r="C85" s="98"/>
      <c r="D85" s="53">
        <v>479151.67627707002</v>
      </c>
      <c r="E85" s="54">
        <v>1.12611780170384</v>
      </c>
      <c r="F85" s="56"/>
      <c r="G85" s="53">
        <v>294917.29247769102</v>
      </c>
      <c r="H85" s="54">
        <v>1.5187145216316</v>
      </c>
      <c r="I85" s="30"/>
      <c r="J85" s="53">
        <v>367581.341842636</v>
      </c>
      <c r="K85" s="54">
        <v>1.5064278135454301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spans="1:23" ht="15" customHeight="1">
      <c r="A86" s="30"/>
      <c r="B86" s="100" t="s">
        <v>99</v>
      </c>
      <c r="C86" s="98"/>
      <c r="D86" s="53">
        <v>357901.24190008402</v>
      </c>
      <c r="E86" s="54">
        <v>1.1192723970858001</v>
      </c>
      <c r="F86" s="56"/>
      <c r="G86" s="53">
        <v>286533.45382307703</v>
      </c>
      <c r="H86" s="54">
        <v>1.52346229715638</v>
      </c>
      <c r="I86" s="30"/>
      <c r="J86" s="53">
        <v>197851.713116281</v>
      </c>
      <c r="K86" s="54">
        <v>1.4893898104552801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spans="1:23" ht="15" customHeight="1">
      <c r="A87" s="30"/>
      <c r="B87" s="100" t="s">
        <v>100</v>
      </c>
      <c r="C87" s="98"/>
      <c r="D87" s="53">
        <v>36333.181434434096</v>
      </c>
      <c r="E87" s="54">
        <v>0.14844172847178899</v>
      </c>
      <c r="F87" s="56"/>
      <c r="G87" s="53">
        <v>24462.052716242801</v>
      </c>
      <c r="H87" s="54">
        <v>0.19768641920963601</v>
      </c>
      <c r="I87" s="30"/>
      <c r="J87" s="53">
        <v>27528.708073133799</v>
      </c>
      <c r="K87" s="54">
        <v>0.22660190302966299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spans="1:23" ht="6.95" customHeight="1">
      <c r="A88" s="30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spans="1:23" ht="6.95" customHeight="1">
      <c r="A89" s="30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spans="1:23" ht="12" customHeight="1">
      <c r="A90" s="30"/>
      <c r="B90" s="140" t="s">
        <v>76</v>
      </c>
      <c r="C90" s="140"/>
      <c r="D90" s="140"/>
      <c r="E90" s="141"/>
      <c r="F90" s="141"/>
      <c r="G90" s="141"/>
      <c r="H90" s="141"/>
      <c r="I90" s="141"/>
      <c r="J90" s="141"/>
      <c r="K90" s="141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ht="12" customHeight="1">
      <c r="A91" s="30"/>
      <c r="B91" s="254" t="s">
        <v>102</v>
      </c>
      <c r="C91" s="254"/>
      <c r="D91" s="254"/>
      <c r="E91" s="254"/>
      <c r="F91" s="254"/>
      <c r="G91" s="254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spans="1:2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spans="1:23">
      <c r="A93" s="30"/>
      <c r="B93" s="142"/>
      <c r="C93" s="142"/>
      <c r="D93" s="142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</sheetData>
  <mergeCells count="8">
    <mergeCell ref="B91:G91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A6686A15-BC12-48F4-BC18-9E935F727987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D907-9A05-4EEE-BC91-50F134D674B8}">
  <dimension ref="A1:W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143</v>
      </c>
      <c r="C5" s="266"/>
      <c r="D5" s="266"/>
      <c r="E5" s="266"/>
      <c r="F5" s="266"/>
      <c r="G5" s="266"/>
      <c r="H5" s="144"/>
      <c r="I5" s="145"/>
      <c r="J5" s="145"/>
      <c r="K5" s="112" t="s">
        <v>56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66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108</v>
      </c>
      <c r="C13" s="147"/>
      <c r="D13" s="53">
        <v>606240.68245217402</v>
      </c>
      <c r="E13" s="54">
        <v>0.88046782155165204</v>
      </c>
      <c r="F13" s="56"/>
      <c r="G13" s="53">
        <v>431574.44989469397</v>
      </c>
      <c r="H13" s="54">
        <v>1.1396810007870799</v>
      </c>
      <c r="I13" s="30"/>
      <c r="J13" s="53">
        <v>421009.03480161203</v>
      </c>
      <c r="K13" s="54">
        <v>1.2269143394469999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77" t="s">
        <v>67</v>
      </c>
      <c r="C14" s="148"/>
      <c r="D14" s="53">
        <v>141227.58161334301</v>
      </c>
      <c r="E14" s="54">
        <v>0.43424464598432799</v>
      </c>
      <c r="F14" s="56"/>
      <c r="G14" s="53">
        <v>94724.940465131993</v>
      </c>
      <c r="H14" s="54">
        <v>0.55601286759358304</v>
      </c>
      <c r="I14" s="30"/>
      <c r="J14" s="53">
        <v>104561.49588998999</v>
      </c>
      <c r="K14" s="54">
        <v>0.66269570131884004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68</v>
      </c>
      <c r="C15" s="148"/>
      <c r="D15" s="53">
        <v>187716.709373841</v>
      </c>
      <c r="E15" s="54">
        <v>0.56902275535643698</v>
      </c>
      <c r="F15" s="56"/>
      <c r="G15" s="53">
        <v>137855.41561340899</v>
      </c>
      <c r="H15" s="54">
        <v>0.79986931753034796</v>
      </c>
      <c r="I15" s="30"/>
      <c r="J15" s="53">
        <v>138480.09171724299</v>
      </c>
      <c r="K15" s="54">
        <v>0.83792517497674701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33</v>
      </c>
      <c r="C16" s="148"/>
      <c r="D16" s="53">
        <v>157387.34046745501</v>
      </c>
      <c r="E16" s="54">
        <v>0.48015559342045699</v>
      </c>
      <c r="F16" s="56"/>
      <c r="G16" s="53">
        <v>123489.111301681</v>
      </c>
      <c r="H16" s="54">
        <v>0.71167552168188197</v>
      </c>
      <c r="I16" s="30"/>
      <c r="J16" s="53">
        <v>83701.747487779896</v>
      </c>
      <c r="K16" s="54">
        <v>0.53624150733760201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49" t="s">
        <v>81</v>
      </c>
      <c r="C17" s="148"/>
      <c r="D17" s="53">
        <v>23352.752578657601</v>
      </c>
      <c r="E17" s="54">
        <v>7.2144280842348002E-2</v>
      </c>
      <c r="F17" s="56"/>
      <c r="G17" s="53">
        <v>21440.558271649599</v>
      </c>
      <c r="H17" s="54">
        <v>0.12747966157118701</v>
      </c>
      <c r="I17" s="30"/>
      <c r="J17" s="53">
        <v>9254.9183680894803</v>
      </c>
      <c r="K17" s="54">
        <v>5.9502732568540301E-2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50"/>
      <c r="C18" s="150"/>
      <c r="D18" s="22"/>
      <c r="E18" s="151"/>
      <c r="F18" s="102"/>
      <c r="G18" s="22"/>
      <c r="H18" s="151"/>
      <c r="I18" s="151"/>
      <c r="J18" s="22"/>
      <c r="K18" s="1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52" t="s">
        <v>7</v>
      </c>
      <c r="C19" s="153"/>
      <c r="D19" s="47">
        <v>497336.26680887199</v>
      </c>
      <c r="E19" s="48">
        <v>0</v>
      </c>
      <c r="F19" s="49"/>
      <c r="G19" s="47">
        <v>323662.73598131898</v>
      </c>
      <c r="H19" s="48">
        <v>0</v>
      </c>
      <c r="I19" s="50"/>
      <c r="J19" s="47">
        <v>282445.37983620999</v>
      </c>
      <c r="K19" s="48">
        <v>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53"/>
      <c r="C20" s="153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7" t="s">
        <v>108</v>
      </c>
      <c r="C21" s="147"/>
      <c r="D21" s="53">
        <v>453901.51471291698</v>
      </c>
      <c r="E21" s="54">
        <v>1.84298716538013</v>
      </c>
      <c r="F21" s="56"/>
      <c r="G21" s="53">
        <v>298024.657967915</v>
      </c>
      <c r="H21" s="54">
        <v>2.38359586392819</v>
      </c>
      <c r="I21" s="30"/>
      <c r="J21" s="53">
        <v>255112.85690775301</v>
      </c>
      <c r="K21" s="54">
        <v>2.2361937592655998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67</v>
      </c>
      <c r="C22" s="148"/>
      <c r="D22" s="53">
        <v>64340.325889040498</v>
      </c>
      <c r="E22" s="54">
        <v>0.80787413836366495</v>
      </c>
      <c r="F22" s="56"/>
      <c r="G22" s="53">
        <v>33418.698080898102</v>
      </c>
      <c r="H22" s="54">
        <v>0.76556585341717398</v>
      </c>
      <c r="I22" s="30"/>
      <c r="J22" s="53">
        <v>55031.525122294297</v>
      </c>
      <c r="K22" s="54">
        <v>1.5833160436743801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68</v>
      </c>
      <c r="C23" s="148"/>
      <c r="D23" s="53">
        <v>94186.385906956493</v>
      </c>
      <c r="E23" s="54">
        <v>1.0963503909455701</v>
      </c>
      <c r="F23" s="56"/>
      <c r="G23" s="53">
        <v>76548.450693952298</v>
      </c>
      <c r="H23" s="54">
        <v>1.66888344380882</v>
      </c>
      <c r="I23" s="30"/>
      <c r="J23" s="53">
        <v>56564.200099827598</v>
      </c>
      <c r="K23" s="54">
        <v>1.5061086421297101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77" t="s">
        <v>33</v>
      </c>
      <c r="C24" s="148"/>
      <c r="D24" s="53">
        <v>69918.697862112196</v>
      </c>
      <c r="E24" s="54">
        <v>0.91102734944112695</v>
      </c>
      <c r="F24" s="56"/>
      <c r="G24" s="53">
        <v>55858.1924376362</v>
      </c>
      <c r="H24" s="54">
        <v>1.26094593837323</v>
      </c>
      <c r="I24" s="30"/>
      <c r="J24" s="53">
        <v>35686.148400558297</v>
      </c>
      <c r="K24" s="54">
        <v>1.0521514695194201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49" t="s">
        <v>81</v>
      </c>
      <c r="C25" s="148"/>
      <c r="D25" s="53">
        <v>20703.293023091799</v>
      </c>
      <c r="E25" s="54">
        <v>0.26684701110407599</v>
      </c>
      <c r="F25" s="56"/>
      <c r="G25" s="53">
        <v>18636.524702851701</v>
      </c>
      <c r="H25" s="54">
        <v>0.42753420867723402</v>
      </c>
      <c r="I25" s="30"/>
      <c r="J25" s="53">
        <v>9017</v>
      </c>
      <c r="K25" s="54">
        <v>0.26396149855077999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54"/>
      <c r="C26" s="154"/>
      <c r="D26" s="22"/>
      <c r="E26" s="151"/>
      <c r="F26" s="102"/>
      <c r="G26" s="22"/>
      <c r="H26" s="151"/>
      <c r="I26" s="151"/>
      <c r="J26" s="22"/>
      <c r="K26" s="1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52" t="s">
        <v>8</v>
      </c>
      <c r="C27" s="153"/>
      <c r="D27" s="47">
        <v>621589.110367127</v>
      </c>
      <c r="E27" s="48">
        <v>0</v>
      </c>
      <c r="F27" s="49"/>
      <c r="G27" s="47">
        <v>446839.22598195798</v>
      </c>
      <c r="H27" s="48">
        <v>0</v>
      </c>
      <c r="I27" s="50"/>
      <c r="J27" s="47">
        <v>411414.95751679398</v>
      </c>
      <c r="K27" s="48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3"/>
      <c r="C28" s="153"/>
      <c r="D28" s="53"/>
      <c r="E28" s="54"/>
      <c r="F28" s="4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7" t="s">
        <v>108</v>
      </c>
      <c r="C29" s="147"/>
      <c r="D29" s="53">
        <v>566948.95112461795</v>
      </c>
      <c r="E29" s="54">
        <v>0.99233963206164</v>
      </c>
      <c r="F29" s="56"/>
      <c r="G29" s="53">
        <v>391879.37940494902</v>
      </c>
      <c r="H29" s="54">
        <v>1.3015941856912101</v>
      </c>
      <c r="I29" s="30"/>
      <c r="J29" s="53">
        <v>374994.102346431</v>
      </c>
      <c r="K29" s="54">
        <v>1.43607605343483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7" t="s">
        <v>67</v>
      </c>
      <c r="C30" s="148"/>
      <c r="D30" s="53">
        <v>126020.246521764</v>
      </c>
      <c r="E30" s="54">
        <v>0.50416829161911103</v>
      </c>
      <c r="F30" s="56"/>
      <c r="G30" s="53">
        <v>88896.043515448895</v>
      </c>
      <c r="H30" s="54">
        <v>0.695820713218394</v>
      </c>
      <c r="I30" s="30"/>
      <c r="J30" s="53">
        <v>88931.627588090196</v>
      </c>
      <c r="K30" s="54">
        <v>0.71710216801624205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77" t="s">
        <v>68</v>
      </c>
      <c r="C31" s="148"/>
      <c r="D31" s="53">
        <v>174072.34305275601</v>
      </c>
      <c r="E31" s="54">
        <v>0.67340143670911701</v>
      </c>
      <c r="F31" s="56"/>
      <c r="G31" s="53">
        <v>121125.331683775</v>
      </c>
      <c r="H31" s="54">
        <v>0.93126519272290897</v>
      </c>
      <c r="I31" s="30"/>
      <c r="J31" s="53">
        <v>129262.24204725301</v>
      </c>
      <c r="K31" s="54">
        <v>0.98792537316912399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77" t="s">
        <v>33</v>
      </c>
      <c r="C32" s="148"/>
      <c r="D32" s="53">
        <v>142678.31737045199</v>
      </c>
      <c r="E32" s="54">
        <v>0.56629432433603299</v>
      </c>
      <c r="F32" s="56"/>
      <c r="G32" s="53">
        <v>111255.433216445</v>
      </c>
      <c r="H32" s="54">
        <v>0.86078716003018396</v>
      </c>
      <c r="I32" s="30"/>
      <c r="J32" s="53">
        <v>75795.077998781693</v>
      </c>
      <c r="K32" s="54">
        <v>0.61885339736266698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49" t="s">
        <v>81</v>
      </c>
      <c r="C33" s="148"/>
      <c r="D33" s="53">
        <v>10803.9210937511</v>
      </c>
      <c r="E33" s="54">
        <v>4.3906840391602898E-2</v>
      </c>
      <c r="F33" s="56"/>
      <c r="G33" s="53">
        <v>10600.824779233</v>
      </c>
      <c r="H33" s="54">
        <v>8.5113052308166001E-2</v>
      </c>
      <c r="I33" s="30"/>
      <c r="J33" s="53">
        <v>2085</v>
      </c>
      <c r="K33" s="54">
        <v>1.71833122602001E-2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55"/>
      <c r="C34" s="155"/>
      <c r="D34" s="155"/>
      <c r="E34" s="156"/>
      <c r="F34" s="156"/>
      <c r="G34" s="156"/>
      <c r="H34" s="156"/>
      <c r="I34" s="156"/>
      <c r="J34" s="156"/>
      <c r="K34" s="15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6.95" customHeight="1">
      <c r="A35" s="30"/>
      <c r="B35" s="72"/>
      <c r="C35" s="72"/>
      <c r="D35" s="72"/>
      <c r="E35" s="72"/>
      <c r="F35" s="72"/>
      <c r="G35" s="72"/>
      <c r="H35" s="72"/>
      <c r="I35" s="72"/>
      <c r="J35" s="72"/>
      <c r="K35" s="158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2" customHeight="1">
      <c r="A36" s="30"/>
      <c r="B36" s="159" t="s">
        <v>75</v>
      </c>
      <c r="C36" s="159"/>
      <c r="D36" s="159"/>
      <c r="E36" s="160"/>
      <c r="F36" s="160"/>
      <c r="G36" s="160"/>
      <c r="H36" s="160"/>
      <c r="I36" s="160"/>
      <c r="J36" s="160"/>
      <c r="K36" s="16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2" customHeight="1">
      <c r="A37" s="30"/>
      <c r="B37" s="254" t="s">
        <v>102</v>
      </c>
      <c r="C37" s="254"/>
      <c r="D37" s="254"/>
      <c r="E37" s="254"/>
      <c r="F37" s="254"/>
      <c r="G37" s="254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</sheetData>
  <mergeCells count="7"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F69CD3AC-6E67-4267-BF92-37E6E5366C74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34ED-C76D-46A6-9BCC-2CB996A19238}">
  <dimension ref="A1:W40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144</v>
      </c>
      <c r="C5" s="266"/>
      <c r="D5" s="266"/>
      <c r="E5" s="266"/>
      <c r="F5" s="266"/>
      <c r="G5" s="266"/>
      <c r="H5" s="161"/>
      <c r="I5" s="66"/>
      <c r="J5" s="66"/>
      <c r="K5" s="112" t="s">
        <v>57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109</v>
      </c>
      <c r="C13" s="162"/>
      <c r="D13" s="53">
        <v>478412.883781326</v>
      </c>
      <c r="E13" s="54">
        <v>1.0622646838838199</v>
      </c>
      <c r="F13" s="56"/>
      <c r="G13" s="53">
        <v>332792.78332441399</v>
      </c>
      <c r="H13" s="54">
        <v>1.41590818723322</v>
      </c>
      <c r="I13" s="30"/>
      <c r="J13" s="53">
        <v>354719.75331288698</v>
      </c>
      <c r="K13" s="54">
        <v>1.55078086922811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77" t="s">
        <v>69</v>
      </c>
      <c r="C14" s="150"/>
      <c r="D14" s="53">
        <v>231606.24187355</v>
      </c>
      <c r="E14" s="54">
        <v>0.68288998925504896</v>
      </c>
      <c r="F14" s="56"/>
      <c r="G14" s="53">
        <v>170891.76577310599</v>
      </c>
      <c r="H14" s="54">
        <v>0.97047504613615398</v>
      </c>
      <c r="I14" s="30"/>
      <c r="J14" s="53">
        <v>180339.48213361599</v>
      </c>
      <c r="K14" s="54">
        <v>1.0623270569246599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110</v>
      </c>
      <c r="C15" s="150"/>
      <c r="D15" s="53">
        <v>334265.16592691198</v>
      </c>
      <c r="E15" s="54">
        <v>0.93898108498967903</v>
      </c>
      <c r="F15" s="56"/>
      <c r="G15" s="53">
        <v>256497.25110403501</v>
      </c>
      <c r="H15" s="54">
        <v>1.3425583346883601</v>
      </c>
      <c r="I15" s="30"/>
      <c r="J15" s="53">
        <v>199882.68049097701</v>
      </c>
      <c r="K15" s="54">
        <v>1.19331320797829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49</v>
      </c>
      <c r="C16" s="150"/>
      <c r="D16" s="53">
        <v>211672.422951007</v>
      </c>
      <c r="E16" s="54">
        <v>0.62204381587323498</v>
      </c>
      <c r="F16" s="56"/>
      <c r="G16" s="53">
        <v>167817.923285995</v>
      </c>
      <c r="H16" s="54">
        <v>0.95521550530080401</v>
      </c>
      <c r="I16" s="30"/>
      <c r="J16" s="53">
        <v>123719.77571238</v>
      </c>
      <c r="K16" s="54">
        <v>0.76756411206136599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7" t="s">
        <v>50</v>
      </c>
      <c r="C17" s="150"/>
      <c r="D17" s="53">
        <v>58512.2573493456</v>
      </c>
      <c r="E17" s="54">
        <v>0.18043794095803201</v>
      </c>
      <c r="F17" s="56"/>
      <c r="G17" s="53">
        <v>45070.116017569897</v>
      </c>
      <c r="H17" s="54">
        <v>0.266091833650131</v>
      </c>
      <c r="I17" s="30"/>
      <c r="J17" s="53">
        <v>36695.966275096303</v>
      </c>
      <c r="K17" s="54">
        <v>0.233952288694382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49" t="s">
        <v>81</v>
      </c>
      <c r="C18" s="150"/>
      <c r="D18" s="53">
        <v>42656.954197866602</v>
      </c>
      <c r="E18" s="54">
        <v>0.13166750308365299</v>
      </c>
      <c r="F18" s="56"/>
      <c r="G18" s="53">
        <v>32372.5543173191</v>
      </c>
      <c r="H18" s="54">
        <v>0.19191877721265799</v>
      </c>
      <c r="I18" s="30"/>
      <c r="J18" s="53">
        <v>28568.0548865337</v>
      </c>
      <c r="K18" s="54">
        <v>0.18352736946117501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150"/>
      <c r="C19" s="150"/>
      <c r="D19" s="22"/>
      <c r="E19" s="151"/>
      <c r="F19" s="102"/>
      <c r="G19" s="22"/>
      <c r="H19" s="151"/>
      <c r="I19" s="151"/>
      <c r="J19" s="22"/>
      <c r="K19" s="1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63" t="s">
        <v>7</v>
      </c>
      <c r="C20" s="164"/>
      <c r="D20" s="47">
        <v>497336.26680887199</v>
      </c>
      <c r="E20" s="48">
        <v>0</v>
      </c>
      <c r="F20" s="49"/>
      <c r="G20" s="47">
        <v>323662.73598131898</v>
      </c>
      <c r="H20" s="48">
        <v>0</v>
      </c>
      <c r="I20" s="50"/>
      <c r="J20" s="47">
        <v>282445.37983620999</v>
      </c>
      <c r="K20" s="48">
        <v>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73"/>
      <c r="C21" s="73"/>
      <c r="D21" s="53"/>
      <c r="E21" s="54"/>
      <c r="F21" s="49"/>
      <c r="G21" s="53"/>
      <c r="H21" s="54"/>
      <c r="I21" s="5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109</v>
      </c>
      <c r="C22" s="162"/>
      <c r="D22" s="53">
        <v>289801.287925718</v>
      </c>
      <c r="E22" s="54">
        <v>2.3433237439346901</v>
      </c>
      <c r="F22" s="56"/>
      <c r="G22" s="53">
        <v>174596.776655792</v>
      </c>
      <c r="H22" s="54">
        <v>2.8939020740943699</v>
      </c>
      <c r="I22" s="30"/>
      <c r="J22" s="53">
        <v>196100.88873986699</v>
      </c>
      <c r="K22" s="54">
        <v>3.6822713347260598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69</v>
      </c>
      <c r="C23" s="150"/>
      <c r="D23" s="53">
        <v>139958.954906656</v>
      </c>
      <c r="E23" s="54">
        <v>1.71810884472876</v>
      </c>
      <c r="F23" s="56"/>
      <c r="G23" s="53">
        <v>125133.67494004199</v>
      </c>
      <c r="H23" s="54">
        <v>2.6787275287814598</v>
      </c>
      <c r="I23" s="30"/>
      <c r="J23" s="53">
        <v>65218.567095976403</v>
      </c>
      <c r="K23" s="54">
        <v>1.8008714553762299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77" t="s">
        <v>110</v>
      </c>
      <c r="C24" s="150"/>
      <c r="D24" s="53">
        <v>238303.04318638801</v>
      </c>
      <c r="E24" s="54">
        <v>2.3653974739062802</v>
      </c>
      <c r="F24" s="56"/>
      <c r="G24" s="53">
        <v>163325.825308795</v>
      </c>
      <c r="H24" s="54">
        <v>3.1165756591317</v>
      </c>
      <c r="I24" s="30"/>
      <c r="J24" s="53">
        <v>145391.92401149601</v>
      </c>
      <c r="K24" s="54">
        <v>3.3214355482771598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7" t="s">
        <v>49</v>
      </c>
      <c r="C25" s="150"/>
      <c r="D25" s="53">
        <v>127559.611117733</v>
      </c>
      <c r="E25" s="54">
        <v>1.3443155987000801</v>
      </c>
      <c r="F25" s="56"/>
      <c r="G25" s="53">
        <v>112356.158573197</v>
      </c>
      <c r="H25" s="54">
        <v>2.2923415439251298</v>
      </c>
      <c r="I25" s="30"/>
      <c r="J25" s="53">
        <v>52263.948204246</v>
      </c>
      <c r="K25" s="54">
        <v>1.44609430555161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77" t="s">
        <v>50</v>
      </c>
      <c r="C26" s="150"/>
      <c r="D26" s="53">
        <v>23823.708703599001</v>
      </c>
      <c r="E26" s="54">
        <v>0.305334862773668</v>
      </c>
      <c r="F26" s="56"/>
      <c r="G26" s="53">
        <v>20579.531870283201</v>
      </c>
      <c r="H26" s="54">
        <v>0.46895838459082401</v>
      </c>
      <c r="I26" s="30"/>
      <c r="J26" s="53">
        <v>12042.215618398501</v>
      </c>
      <c r="K26" s="54">
        <v>0.35106411595110698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49" t="s">
        <v>81</v>
      </c>
      <c r="C27" s="150"/>
      <c r="D27" s="53">
        <v>14814</v>
      </c>
      <c r="E27" s="54">
        <v>0.19041006070161001</v>
      </c>
      <c r="F27" s="56"/>
      <c r="G27" s="53">
        <v>14814</v>
      </c>
      <c r="H27" s="54">
        <v>0.33881690714496199</v>
      </c>
      <c r="I27" s="30"/>
      <c r="J27" s="53">
        <v>0</v>
      </c>
      <c r="K27" s="54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0"/>
      <c r="C28" s="150"/>
      <c r="D28" s="22"/>
      <c r="E28" s="151"/>
      <c r="F28" s="102"/>
      <c r="G28" s="22"/>
      <c r="H28" s="151"/>
      <c r="I28" s="151"/>
      <c r="J28" s="22"/>
      <c r="K28" s="1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63" t="s">
        <v>8</v>
      </c>
      <c r="C29" s="164"/>
      <c r="D29" s="47">
        <v>621589.110367127</v>
      </c>
      <c r="E29" s="48">
        <v>0</v>
      </c>
      <c r="F29" s="49"/>
      <c r="G29" s="47">
        <v>446839.22598195798</v>
      </c>
      <c r="H29" s="48">
        <v>0</v>
      </c>
      <c r="I29" s="50"/>
      <c r="J29" s="47">
        <v>411414.95751679398</v>
      </c>
      <c r="K29" s="48">
        <v>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73"/>
      <c r="C30" s="73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7" t="s">
        <v>109</v>
      </c>
      <c r="C31" s="162"/>
      <c r="D31" s="53">
        <v>445521.82057196897</v>
      </c>
      <c r="E31" s="54">
        <v>1.22593646001839</v>
      </c>
      <c r="F31" s="56"/>
      <c r="G31" s="53">
        <v>312342.005468563</v>
      </c>
      <c r="H31" s="54">
        <v>1.65398879530735</v>
      </c>
      <c r="I31" s="30"/>
      <c r="J31" s="53">
        <v>312698.15191560599</v>
      </c>
      <c r="K31" s="54">
        <v>1.697120727163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30" customHeight="1">
      <c r="A32" s="30"/>
      <c r="B32" s="77" t="s">
        <v>69</v>
      </c>
      <c r="C32" s="150"/>
      <c r="D32" s="53">
        <v>207252.164654939</v>
      </c>
      <c r="E32" s="54">
        <v>0.78360297906341803</v>
      </c>
      <c r="F32" s="56"/>
      <c r="G32" s="53">
        <v>117027.606403082</v>
      </c>
      <c r="H32" s="54">
        <v>0.89843877925515303</v>
      </c>
      <c r="I32" s="30"/>
      <c r="J32" s="53">
        <v>170020.24677104299</v>
      </c>
      <c r="K32" s="54">
        <v>1.26901295548035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30" customHeight="1">
      <c r="A33" s="30"/>
      <c r="B33" s="77" t="s">
        <v>110</v>
      </c>
      <c r="C33" s="150"/>
      <c r="D33" s="53">
        <v>283082.08088329801</v>
      </c>
      <c r="E33" s="54">
        <v>1.00453798785224</v>
      </c>
      <c r="F33" s="56"/>
      <c r="G33" s="53">
        <v>216412.51107961399</v>
      </c>
      <c r="H33" s="54">
        <v>1.4839221877967701</v>
      </c>
      <c r="I33" s="30"/>
      <c r="J33" s="53">
        <v>156627.822560712</v>
      </c>
      <c r="K33" s="54">
        <v>1.1855292826742101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7" t="s">
        <v>49</v>
      </c>
      <c r="C34" s="150"/>
      <c r="D34" s="53">
        <v>184585.612026955</v>
      </c>
      <c r="E34" s="54">
        <v>0.70212770252513401</v>
      </c>
      <c r="F34" s="56"/>
      <c r="G34" s="53">
        <v>137646.61069666699</v>
      </c>
      <c r="H34" s="54">
        <v>1.0298972260175101</v>
      </c>
      <c r="I34" s="30"/>
      <c r="J34" s="53">
        <v>114145.514918054</v>
      </c>
      <c r="K34" s="54">
        <v>0.89944006008352895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7" t="s">
        <v>50</v>
      </c>
      <c r="C35" s="150"/>
      <c r="D35" s="53">
        <v>53513.2387823061</v>
      </c>
      <c r="E35" s="54">
        <v>0.21484059981176401</v>
      </c>
      <c r="F35" s="56"/>
      <c r="G35" s="53">
        <v>40097.359337457703</v>
      </c>
      <c r="H35" s="54">
        <v>0.31640474504442101</v>
      </c>
      <c r="I35" s="30"/>
      <c r="J35" s="53">
        <v>34663.7993281608</v>
      </c>
      <c r="K35" s="54">
        <v>0.282560915835323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49" t="s">
        <v>81</v>
      </c>
      <c r="C36" s="150"/>
      <c r="D36" s="53">
        <v>40002.014267270199</v>
      </c>
      <c r="E36" s="54">
        <v>0.16245623726262401</v>
      </c>
      <c r="F36" s="56"/>
      <c r="G36" s="53">
        <v>28784.1567016958</v>
      </c>
      <c r="H36" s="54">
        <v>0.23055667496415799</v>
      </c>
      <c r="I36" s="30"/>
      <c r="J36" s="53">
        <v>28568.0548865337</v>
      </c>
      <c r="K36" s="54">
        <v>0.23510450688713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6.95" customHeight="1">
      <c r="A37" s="30"/>
      <c r="B37" s="165"/>
      <c r="C37" s="165"/>
      <c r="D37" s="165"/>
      <c r="E37" s="166"/>
      <c r="F37" s="166"/>
      <c r="G37" s="166"/>
      <c r="H37" s="167"/>
      <c r="I37" s="167"/>
      <c r="J37" s="167"/>
      <c r="K37" s="16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2" customHeight="1">
      <c r="A39" s="30"/>
      <c r="B39" s="159" t="s">
        <v>75</v>
      </c>
      <c r="C39" s="159"/>
      <c r="D39" s="159"/>
      <c r="E39" s="160"/>
      <c r="F39" s="160"/>
      <c r="G39" s="160"/>
      <c r="H39" s="160"/>
      <c r="I39" s="160"/>
      <c r="J39" s="160"/>
      <c r="K39" s="16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2" customHeight="1">
      <c r="A40" s="30"/>
      <c r="B40" s="254" t="s">
        <v>102</v>
      </c>
      <c r="C40" s="254"/>
      <c r="D40" s="254"/>
      <c r="E40" s="254"/>
      <c r="F40" s="254"/>
      <c r="G40" s="25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</sheetData>
  <mergeCells count="7">
    <mergeCell ref="B40:G4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C0B600D8-086D-48CF-ACEA-AEFE78F41AEE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D5EA-45E0-4C5C-921A-8DDF7DC26650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3"/>
      <c r="F4" s="33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145</v>
      </c>
      <c r="C5" s="67"/>
      <c r="D5" s="67"/>
      <c r="E5" s="67"/>
      <c r="F5" s="67"/>
      <c r="G5" s="67"/>
      <c r="H5" s="168"/>
      <c r="I5" s="33"/>
      <c r="J5" s="33"/>
      <c r="K5" s="35" t="s">
        <v>58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7"/>
      <c r="C6" s="67"/>
      <c r="D6" s="67"/>
      <c r="E6" s="67"/>
      <c r="F6" s="67"/>
      <c r="G6" s="67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147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940724.76979118201</v>
      </c>
      <c r="E11" s="48">
        <v>0</v>
      </c>
      <c r="F11" s="169"/>
      <c r="G11" s="47">
        <v>790274.85617909802</v>
      </c>
      <c r="H11" s="48">
        <v>0</v>
      </c>
      <c r="I11" s="50"/>
      <c r="J11" s="47">
        <v>719306.42915879702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17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82</v>
      </c>
      <c r="C13" s="171"/>
      <c r="D13" s="47">
        <v>575898.13137160998</v>
      </c>
      <c r="E13" s="48">
        <v>0.66254241823109095</v>
      </c>
      <c r="F13" s="169"/>
      <c r="G13" s="47">
        <v>428034.53734094999</v>
      </c>
      <c r="H13" s="48">
        <v>0.852275134526714</v>
      </c>
      <c r="I13" s="50"/>
      <c r="J13" s="47">
        <v>408465.48515412002</v>
      </c>
      <c r="K13" s="48">
        <v>0.92481265464552598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71"/>
      <c r="C14" s="171"/>
      <c r="D14" s="53"/>
      <c r="E14" s="54"/>
      <c r="F14" s="16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72" t="s">
        <v>26</v>
      </c>
      <c r="C15" s="172"/>
      <c r="D15" s="53">
        <v>302367.44482407399</v>
      </c>
      <c r="E15" s="54">
        <v>1.0418671940175299</v>
      </c>
      <c r="F15" s="173"/>
      <c r="G15" s="53">
        <v>205658.540397137</v>
      </c>
      <c r="H15" s="54">
        <v>1.39805610345015</v>
      </c>
      <c r="I15" s="30"/>
      <c r="J15" s="53">
        <v>211257.29125622899</v>
      </c>
      <c r="K15" s="54">
        <v>1.4149662352372301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27</v>
      </c>
      <c r="C16" s="55"/>
      <c r="D16" s="53">
        <v>318359.97688663902</v>
      </c>
      <c r="E16" s="54">
        <v>1.0501120982446801</v>
      </c>
      <c r="F16" s="173"/>
      <c r="G16" s="53">
        <v>239499.213079448</v>
      </c>
      <c r="H16" s="54">
        <v>1.50253722581287</v>
      </c>
      <c r="I16" s="30"/>
      <c r="J16" s="53">
        <v>211178.82853792401</v>
      </c>
      <c r="K16" s="54">
        <v>1.4296257110802599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28</v>
      </c>
      <c r="C17" s="55"/>
      <c r="D17" s="53">
        <v>187921.62586670401</v>
      </c>
      <c r="E17" s="54">
        <v>0.68880084352308601</v>
      </c>
      <c r="F17" s="173"/>
      <c r="G17" s="53">
        <v>119618.276205569</v>
      </c>
      <c r="H17" s="54">
        <v>0.83632931332121896</v>
      </c>
      <c r="I17" s="30"/>
      <c r="J17" s="53">
        <v>135945.81399014301</v>
      </c>
      <c r="K17" s="54">
        <v>1.0354498544063999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55" t="s">
        <v>29</v>
      </c>
      <c r="C18" s="55"/>
      <c r="D18" s="53">
        <v>123982.08252462999</v>
      </c>
      <c r="E18" s="54">
        <v>0.47057376313917698</v>
      </c>
      <c r="F18" s="173"/>
      <c r="G18" s="53">
        <v>71578.864278245994</v>
      </c>
      <c r="H18" s="54">
        <v>0.52085220835065804</v>
      </c>
      <c r="I18" s="30"/>
      <c r="J18" s="53">
        <v>93506.104857494895</v>
      </c>
      <c r="K18" s="54">
        <v>0.744967153675823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5" t="s">
        <v>83</v>
      </c>
      <c r="C19" s="55"/>
      <c r="D19" s="53">
        <v>264708.64052398998</v>
      </c>
      <c r="E19" s="54">
        <v>0.93523961610377704</v>
      </c>
      <c r="F19" s="173"/>
      <c r="G19" s="53">
        <v>182016.41735911701</v>
      </c>
      <c r="H19" s="54">
        <v>1.2061642497640599</v>
      </c>
      <c r="I19" s="30"/>
      <c r="J19" s="53">
        <v>181897.951933465</v>
      </c>
      <c r="K19" s="54">
        <v>1.3408008737695201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55" t="s">
        <v>30</v>
      </c>
      <c r="C20" s="55"/>
      <c r="D20" s="53">
        <v>239488.889092834</v>
      </c>
      <c r="E20" s="54">
        <v>0.86135793585826204</v>
      </c>
      <c r="F20" s="173"/>
      <c r="G20" s="53">
        <v>203945.35768854601</v>
      </c>
      <c r="H20" s="54">
        <v>1.35371573501919</v>
      </c>
      <c r="I20" s="30"/>
      <c r="J20" s="53">
        <v>117366.50772537899</v>
      </c>
      <c r="K20" s="54">
        <v>0.92359850491167395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5" t="s">
        <v>156</v>
      </c>
      <c r="C21" s="55"/>
      <c r="D21" s="53">
        <v>10692</v>
      </c>
      <c r="E21" s="54">
        <v>4.1244755231886102E-2</v>
      </c>
      <c r="F21" s="173"/>
      <c r="G21" s="53">
        <v>0</v>
      </c>
      <c r="H21" s="54">
        <v>0</v>
      </c>
      <c r="I21" s="30"/>
      <c r="J21" s="53">
        <v>10692</v>
      </c>
      <c r="K21" s="54">
        <v>8.6568011683586701E-2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55"/>
      <c r="C22" s="55"/>
      <c r="D22" s="47"/>
      <c r="E22" s="48"/>
      <c r="F22" s="169"/>
      <c r="G22" s="47"/>
      <c r="H22" s="48"/>
      <c r="I22" s="50"/>
      <c r="J22" s="47"/>
      <c r="K22" s="4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31</v>
      </c>
      <c r="C23" s="171"/>
      <c r="D23" s="47">
        <v>971586.87520921696</v>
      </c>
      <c r="E23" s="48">
        <v>0.66254241823109095</v>
      </c>
      <c r="F23" s="169"/>
      <c r="G23" s="47">
        <v>731810.987278749</v>
      </c>
      <c r="H23" s="48">
        <v>0.852275134526714</v>
      </c>
      <c r="I23" s="50"/>
      <c r="J23" s="47">
        <v>656078.173272277</v>
      </c>
      <c r="K23" s="48">
        <v>0.92481265464552598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74"/>
      <c r="C24" s="174"/>
      <c r="D24" s="22"/>
      <c r="E24" s="22"/>
      <c r="F24" s="22"/>
      <c r="G24" s="22"/>
      <c r="H24" s="22"/>
      <c r="I24" s="22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75" t="s">
        <v>7</v>
      </c>
      <c r="C25" s="176"/>
      <c r="D25" s="47">
        <v>1202696.45731675</v>
      </c>
      <c r="E25" s="48">
        <v>0</v>
      </c>
      <c r="F25" s="169"/>
      <c r="G25" s="47">
        <v>732477.33212123101</v>
      </c>
      <c r="H25" s="48">
        <v>0</v>
      </c>
      <c r="I25" s="50"/>
      <c r="J25" s="47">
        <v>655788.85438650905</v>
      </c>
      <c r="K25" s="48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46"/>
      <c r="C26" s="46"/>
      <c r="D26" s="30"/>
      <c r="E26" s="30"/>
      <c r="F26" s="17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2" t="s">
        <v>82</v>
      </c>
      <c r="C27" s="171"/>
      <c r="D27" s="47">
        <v>418473.079268025</v>
      </c>
      <c r="E27" s="48">
        <v>1.11053836519755</v>
      </c>
      <c r="F27" s="169"/>
      <c r="G27" s="47">
        <v>290043.81584367401</v>
      </c>
      <c r="H27" s="48">
        <v>1.38072049745533</v>
      </c>
      <c r="I27" s="50"/>
      <c r="J27" s="47">
        <v>247184.26369249201</v>
      </c>
      <c r="K27" s="48">
        <v>1.59888164027821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71"/>
      <c r="C28" s="171"/>
      <c r="D28" s="53"/>
      <c r="E28" s="54"/>
      <c r="F28" s="16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72" t="s">
        <v>26</v>
      </c>
      <c r="C29" s="172"/>
      <c r="D29" s="53">
        <v>215210.120938115</v>
      </c>
      <c r="E29" s="54">
        <v>2.69805501353453</v>
      </c>
      <c r="F29" s="173"/>
      <c r="G29" s="53">
        <v>124134.982690369</v>
      </c>
      <c r="H29" s="54">
        <v>3.2494363760834402</v>
      </c>
      <c r="I29" s="30"/>
      <c r="J29" s="53">
        <v>148519.77087125101</v>
      </c>
      <c r="K29" s="54">
        <v>3.3217109126219602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55" t="s">
        <v>27</v>
      </c>
      <c r="C30" s="55"/>
      <c r="D30" s="53">
        <v>172235.997576906</v>
      </c>
      <c r="E30" s="54">
        <v>2.3214583803981399</v>
      </c>
      <c r="F30" s="173"/>
      <c r="G30" s="53">
        <v>151955.63744562</v>
      </c>
      <c r="H30" s="54">
        <v>3.8415688533953598</v>
      </c>
      <c r="I30" s="30"/>
      <c r="J30" s="53">
        <v>86040.041912320201</v>
      </c>
      <c r="K30" s="54">
        <v>2.40026496564938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5" t="s">
        <v>28</v>
      </c>
      <c r="C31" s="55"/>
      <c r="D31" s="53">
        <v>59878.672034651303</v>
      </c>
      <c r="E31" s="54">
        <v>0.94512570794837403</v>
      </c>
      <c r="F31" s="173"/>
      <c r="G31" s="53">
        <v>48357.030343753198</v>
      </c>
      <c r="H31" s="54">
        <v>1.3664999600055701</v>
      </c>
      <c r="I31" s="30"/>
      <c r="J31" s="53">
        <v>33970.664733953403</v>
      </c>
      <c r="K31" s="54">
        <v>1.19217722660567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55" t="s">
        <v>29</v>
      </c>
      <c r="C32" s="55"/>
      <c r="D32" s="53">
        <v>27151.048966844701</v>
      </c>
      <c r="E32" s="54">
        <v>0.43896317947771901</v>
      </c>
      <c r="F32" s="173"/>
      <c r="G32" s="53">
        <v>13751.6203045314</v>
      </c>
      <c r="H32" s="54">
        <v>0.40454930091095598</v>
      </c>
      <c r="I32" s="30"/>
      <c r="J32" s="53">
        <v>27458.4610457323</v>
      </c>
      <c r="K32" s="54">
        <v>0.97592662495515303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5" t="s">
        <v>83</v>
      </c>
      <c r="C33" s="55"/>
      <c r="D33" s="53">
        <v>154047.953457639</v>
      </c>
      <c r="E33" s="54">
        <v>1.9741298697208001</v>
      </c>
      <c r="F33" s="173"/>
      <c r="G33" s="53">
        <v>113958.155084736</v>
      </c>
      <c r="H33" s="54">
        <v>2.90982206091291</v>
      </c>
      <c r="I33" s="30"/>
      <c r="J33" s="53">
        <v>76152.310428204903</v>
      </c>
      <c r="K33" s="54">
        <v>2.4539430132785398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55" t="s">
        <v>30</v>
      </c>
      <c r="C34" s="55"/>
      <c r="D34" s="53">
        <v>163125.42520127899</v>
      </c>
      <c r="E34" s="54">
        <v>2.3450816931295302</v>
      </c>
      <c r="F34" s="173"/>
      <c r="G34" s="53">
        <v>147706.06658435901</v>
      </c>
      <c r="H34" s="54">
        <v>3.6519995023509302</v>
      </c>
      <c r="I34" s="30"/>
      <c r="J34" s="53">
        <v>63929.334997841397</v>
      </c>
      <c r="K34" s="54">
        <v>2.2185899983428299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55" t="s">
        <v>156</v>
      </c>
      <c r="C35" s="55"/>
      <c r="D35" s="53">
        <v>0</v>
      </c>
      <c r="E35" s="54">
        <v>0</v>
      </c>
      <c r="F35" s="173"/>
      <c r="G35" s="53">
        <v>0</v>
      </c>
      <c r="H35" s="54">
        <v>0</v>
      </c>
      <c r="I35" s="30"/>
      <c r="J35" s="53">
        <v>0</v>
      </c>
      <c r="K35" s="54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55"/>
      <c r="C36" s="55"/>
      <c r="D36" s="47"/>
      <c r="E36" s="48"/>
      <c r="F36" s="169"/>
      <c r="G36" s="47"/>
      <c r="H36" s="48"/>
      <c r="I36" s="50"/>
      <c r="J36" s="47"/>
      <c r="K36" s="48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2" t="s">
        <v>31</v>
      </c>
      <c r="C37" s="171"/>
      <c r="D37" s="47">
        <v>1004389.28941907</v>
      </c>
      <c r="E37" s="48">
        <v>1.11053836519755</v>
      </c>
      <c r="F37" s="169"/>
      <c r="G37" s="47">
        <v>591641.12422322901</v>
      </c>
      <c r="H37" s="48">
        <v>1.38072049745533</v>
      </c>
      <c r="I37" s="50"/>
      <c r="J37" s="47">
        <v>577716.66637972998</v>
      </c>
      <c r="K37" s="48">
        <v>1.59888164027821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176"/>
      <c r="C38" s="174"/>
      <c r="D38" s="22"/>
      <c r="E38" s="22"/>
      <c r="F38" s="22"/>
      <c r="G38" s="22"/>
      <c r="H38" s="22"/>
      <c r="I38" s="22"/>
      <c r="J38" s="22"/>
      <c r="K38" s="22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75" t="s">
        <v>8</v>
      </c>
      <c r="C39" s="176"/>
      <c r="D39" s="47">
        <v>1215345.35573305</v>
      </c>
      <c r="E39" s="48">
        <v>0</v>
      </c>
      <c r="F39" s="169"/>
      <c r="G39" s="47">
        <v>853166.62916364695</v>
      </c>
      <c r="H39" s="48">
        <v>0</v>
      </c>
      <c r="I39" s="50"/>
      <c r="J39" s="47">
        <v>704303.09797417896</v>
      </c>
      <c r="K39" s="48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46"/>
      <c r="C40" s="46"/>
      <c r="D40" s="30"/>
      <c r="E40" s="30"/>
      <c r="F40" s="17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52" t="s">
        <v>82</v>
      </c>
      <c r="C41" s="171"/>
      <c r="D41" s="47">
        <v>560274.64180019102</v>
      </c>
      <c r="E41" s="48">
        <v>0.82205758290239095</v>
      </c>
      <c r="F41" s="169"/>
      <c r="G41" s="47">
        <v>395818.47371759202</v>
      </c>
      <c r="H41" s="48">
        <v>1.1065542649620099</v>
      </c>
      <c r="I41" s="50"/>
      <c r="J41" s="47">
        <v>363460.82740788697</v>
      </c>
      <c r="K41" s="48">
        <v>1.10959343536291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171"/>
      <c r="C42" s="171"/>
      <c r="D42" s="53"/>
      <c r="E42" s="54"/>
      <c r="F42" s="169"/>
      <c r="G42" s="53"/>
      <c r="H42" s="54"/>
      <c r="I42" s="50"/>
      <c r="J42" s="53"/>
      <c r="K42" s="54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72" t="s">
        <v>26</v>
      </c>
      <c r="C43" s="172"/>
      <c r="D43" s="53">
        <v>243263.48869906101</v>
      </c>
      <c r="E43" s="54">
        <v>1.06012990392708</v>
      </c>
      <c r="F43" s="173"/>
      <c r="G43" s="53">
        <v>177240.96580148599</v>
      </c>
      <c r="H43" s="54">
        <v>1.4822691825453</v>
      </c>
      <c r="I43" s="30"/>
      <c r="J43" s="53">
        <v>155554.70404809501</v>
      </c>
      <c r="K43" s="54">
        <v>1.43707778540933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55" t="s">
        <v>27</v>
      </c>
      <c r="C44" s="55"/>
      <c r="D44" s="53">
        <v>278974.73359308997</v>
      </c>
      <c r="E44" s="54">
        <v>1.1758515785902699</v>
      </c>
      <c r="F44" s="173"/>
      <c r="G44" s="53">
        <v>188157.64373564199</v>
      </c>
      <c r="H44" s="54">
        <v>1.58976971692119</v>
      </c>
      <c r="I44" s="30"/>
      <c r="J44" s="53">
        <v>197771.79867159799</v>
      </c>
      <c r="K44" s="54">
        <v>1.6942692850410299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55" t="s">
        <v>28</v>
      </c>
      <c r="C45" s="55"/>
      <c r="D45" s="53">
        <v>179023.100517749</v>
      </c>
      <c r="E45" s="54">
        <v>0.85325382609817502</v>
      </c>
      <c r="F45" s="173"/>
      <c r="G45" s="53">
        <v>109554.406837312</v>
      </c>
      <c r="H45" s="54">
        <v>1.02442749523793</v>
      </c>
      <c r="I45" s="30"/>
      <c r="J45" s="53">
        <v>132011.75897647001</v>
      </c>
      <c r="K45" s="54">
        <v>1.2692608444620399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55" t="s">
        <v>29</v>
      </c>
      <c r="C46" s="55"/>
      <c r="D46" s="53">
        <v>120988.59132639</v>
      </c>
      <c r="E46" s="54">
        <v>0.60485796917946599</v>
      </c>
      <c r="F46" s="173"/>
      <c r="G46" s="53">
        <v>70245.474945818103</v>
      </c>
      <c r="H46" s="54">
        <v>0.683337077807603</v>
      </c>
      <c r="I46" s="30"/>
      <c r="J46" s="53">
        <v>89405.181430501194</v>
      </c>
      <c r="K46" s="54">
        <v>0.91834211274388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55" t="s">
        <v>83</v>
      </c>
      <c r="C47" s="55"/>
      <c r="D47" s="53">
        <v>241264.644607775</v>
      </c>
      <c r="E47" s="54">
        <v>1.0973197375116901</v>
      </c>
      <c r="F47" s="173"/>
      <c r="G47" s="53">
        <v>160382.02383006801</v>
      </c>
      <c r="H47" s="54">
        <v>1.3603130849035401</v>
      </c>
      <c r="I47" s="30"/>
      <c r="J47" s="53">
        <v>168443.92464210599</v>
      </c>
      <c r="K47" s="54">
        <v>1.5745583295675001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55" t="s">
        <v>30</v>
      </c>
      <c r="C48" s="55"/>
      <c r="D48" s="53">
        <v>197109.97960874499</v>
      </c>
      <c r="E48" s="54">
        <v>0.89113123422714602</v>
      </c>
      <c r="F48" s="173"/>
      <c r="G48" s="53">
        <v>152566.87435314601</v>
      </c>
      <c r="H48" s="54">
        <v>1.3185286918238801</v>
      </c>
      <c r="I48" s="30"/>
      <c r="J48" s="53">
        <v>103550.11523072699</v>
      </c>
      <c r="K48" s="54">
        <v>1.03242779696747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55" t="s">
        <v>156</v>
      </c>
      <c r="C49" s="55"/>
      <c r="D49" s="53">
        <v>10692</v>
      </c>
      <c r="E49" s="54">
        <v>5.4224445484971802E-2</v>
      </c>
      <c r="F49" s="173"/>
      <c r="G49" s="53">
        <v>0</v>
      </c>
      <c r="H49" s="54">
        <v>0</v>
      </c>
      <c r="I49" s="30"/>
      <c r="J49" s="53">
        <v>10692</v>
      </c>
      <c r="K49" s="54">
        <v>0.111676350854617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55"/>
      <c r="C50" s="55"/>
      <c r="D50" s="47"/>
      <c r="E50" s="48"/>
      <c r="F50" s="169"/>
      <c r="G50" s="47"/>
      <c r="H50" s="48"/>
      <c r="I50" s="50"/>
      <c r="J50" s="47"/>
      <c r="K50" s="4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52" t="s">
        <v>31</v>
      </c>
      <c r="C51" s="171"/>
      <c r="D51" s="47">
        <v>999904.78613978205</v>
      </c>
      <c r="E51" s="48">
        <v>0.82205758290239095</v>
      </c>
      <c r="F51" s="169"/>
      <c r="G51" s="47">
        <v>710223.32201155904</v>
      </c>
      <c r="H51" s="48">
        <v>1.1065542649620099</v>
      </c>
      <c r="I51" s="50"/>
      <c r="J51" s="47">
        <v>569471.35242484801</v>
      </c>
      <c r="K51" s="48">
        <v>1.10959343536291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177"/>
      <c r="C52" s="177"/>
      <c r="D52" s="177"/>
      <c r="E52" s="178"/>
      <c r="F52" s="178"/>
      <c r="G52" s="178"/>
      <c r="H52" s="178"/>
      <c r="I52" s="178"/>
      <c r="J52" s="178"/>
      <c r="K52" s="17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6.95" customHeight="1">
      <c r="A53" s="30"/>
      <c r="B53" s="179"/>
      <c r="C53" s="179"/>
      <c r="D53" s="179"/>
      <c r="E53" s="180"/>
      <c r="F53" s="180"/>
      <c r="G53" s="180"/>
      <c r="H53" s="180"/>
      <c r="I53" s="180"/>
      <c r="J53" s="180"/>
      <c r="K53" s="18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181" t="s">
        <v>76</v>
      </c>
      <c r="C54" s="181"/>
      <c r="D54" s="181"/>
      <c r="E54" s="64"/>
      <c r="F54" s="64"/>
      <c r="G54" s="64"/>
      <c r="H54" s="64"/>
      <c r="I54" s="64"/>
      <c r="J54" s="64"/>
      <c r="K54" s="64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2" customHeight="1">
      <c r="A55" s="30"/>
      <c r="B55" s="181" t="s">
        <v>77</v>
      </c>
      <c r="C55" s="181"/>
      <c r="D55" s="181"/>
      <c r="E55" s="64"/>
      <c r="F55" s="64"/>
      <c r="G55" s="64"/>
      <c r="H55" s="64"/>
      <c r="I55" s="64"/>
      <c r="J55" s="64"/>
      <c r="K55" s="64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12" customHeight="1">
      <c r="A56" s="30"/>
      <c r="B56" s="181" t="s">
        <v>84</v>
      </c>
      <c r="C56" s="181"/>
      <c r="D56" s="181"/>
      <c r="E56" s="180"/>
      <c r="F56" s="180"/>
      <c r="G56" s="180"/>
      <c r="H56" s="180"/>
      <c r="I56" s="180"/>
      <c r="J56" s="180"/>
      <c r="K56" s="18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2" customHeight="1">
      <c r="A57" s="30"/>
      <c r="B57" s="254" t="s">
        <v>102</v>
      </c>
      <c r="C57" s="254"/>
      <c r="D57" s="254"/>
      <c r="E57" s="254"/>
      <c r="F57" s="254"/>
      <c r="G57" s="254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</sheetData>
  <mergeCells count="6">
    <mergeCell ref="B57:G57"/>
    <mergeCell ref="B7:B9"/>
    <mergeCell ref="D7:E8"/>
    <mergeCell ref="G7:K7"/>
    <mergeCell ref="G8:H8"/>
    <mergeCell ref="J8:K8"/>
  </mergeCells>
  <hyperlinks>
    <hyperlink ref="K1" location="Índice!A1" tooltip="Ir a ÍNDICE" display="INDICE" xr:uid="{0A52B500-6493-4EE8-B5C9-A14FFC0154CF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DF98-420A-4074-B40A-D579AFEC199F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1"/>
      <c r="C4" s="183"/>
      <c r="D4" s="183"/>
      <c r="E4" s="65"/>
      <c r="F4" s="65"/>
      <c r="G4" s="65"/>
      <c r="H4" s="65"/>
      <c r="I4" s="65"/>
      <c r="J4" s="65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148</v>
      </c>
      <c r="C5" s="267"/>
      <c r="D5" s="267"/>
      <c r="E5" s="267"/>
      <c r="F5" s="267"/>
      <c r="G5" s="267"/>
      <c r="H5" s="184"/>
      <c r="I5" s="184"/>
      <c r="J5" s="65"/>
      <c r="K5" s="112" t="s">
        <v>59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34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38</v>
      </c>
      <c r="C13" s="185"/>
      <c r="D13" s="47">
        <v>343320.60902848101</v>
      </c>
      <c r="E13" s="48">
        <v>0.93173325792858797</v>
      </c>
      <c r="F13" s="49"/>
      <c r="G13" s="47">
        <v>224691.962773907</v>
      </c>
      <c r="H13" s="48">
        <v>1.1777771914768</v>
      </c>
      <c r="I13" s="50"/>
      <c r="J13" s="47">
        <v>274091.04954615299</v>
      </c>
      <c r="K13" s="48">
        <v>1.4895772527975399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85"/>
      <c r="C14" s="18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86" t="s">
        <v>35</v>
      </c>
      <c r="C15" s="115"/>
      <c r="D15" s="53">
        <v>323892.34423399501</v>
      </c>
      <c r="E15" s="54">
        <v>1.23927083359757</v>
      </c>
      <c r="F15" s="56"/>
      <c r="G15" s="53">
        <v>213685.54580294</v>
      </c>
      <c r="H15" s="54">
        <v>1.7515553277001299</v>
      </c>
      <c r="I15" s="30"/>
      <c r="J15" s="53">
        <v>256205.08333048099</v>
      </c>
      <c r="K15" s="54">
        <v>1.66683528348026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86" t="s">
        <v>65</v>
      </c>
      <c r="C16" s="77"/>
      <c r="D16" s="53">
        <v>226019.01457136901</v>
      </c>
      <c r="E16" s="54">
        <v>1.8158501613970399</v>
      </c>
      <c r="F16" s="56"/>
      <c r="G16" s="53">
        <v>155004.20361244801</v>
      </c>
      <c r="H16" s="54">
        <v>2.8532101585991501</v>
      </c>
      <c r="I16" s="30"/>
      <c r="J16" s="53">
        <v>169597.097573946</v>
      </c>
      <c r="K16" s="54">
        <v>2.3391410366350498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30" customHeight="1">
      <c r="A17" s="30"/>
      <c r="B17" s="187" t="s">
        <v>111</v>
      </c>
      <c r="C17" s="101"/>
      <c r="D17" s="53">
        <v>146136.46710275099</v>
      </c>
      <c r="E17" s="54">
        <v>1.38909490367637</v>
      </c>
      <c r="F17" s="56"/>
      <c r="G17" s="53">
        <v>77551.295754209699</v>
      </c>
      <c r="H17" s="54">
        <v>1.65205444997208</v>
      </c>
      <c r="I17" s="30"/>
      <c r="J17" s="53">
        <v>122014.046703944</v>
      </c>
      <c r="K17" s="54">
        <v>2.0507010396545402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87" t="s">
        <v>125</v>
      </c>
      <c r="C18" s="101"/>
      <c r="D18" s="53">
        <v>133682.263739738</v>
      </c>
      <c r="E18" s="54">
        <v>1.28388094988548</v>
      </c>
      <c r="F18" s="56"/>
      <c r="G18" s="53">
        <v>71807.024682359406</v>
      </c>
      <c r="H18" s="54">
        <v>1.5606683708904801</v>
      </c>
      <c r="I18" s="30"/>
      <c r="J18" s="53">
        <v>113008.137413056</v>
      </c>
      <c r="K18" s="54">
        <v>1.97128704199801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86" t="s">
        <v>36</v>
      </c>
      <c r="C19" s="101"/>
      <c r="D19" s="53">
        <v>92603.795833915501</v>
      </c>
      <c r="E19" s="54">
        <v>0.92248325451368296</v>
      </c>
      <c r="F19" s="56"/>
      <c r="G19" s="53">
        <v>66025.616851836705</v>
      </c>
      <c r="H19" s="54">
        <v>1.4304630573964201</v>
      </c>
      <c r="I19" s="30"/>
      <c r="J19" s="53">
        <v>64763.066322790102</v>
      </c>
      <c r="K19" s="54">
        <v>1.20955817573831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86" t="s">
        <v>124</v>
      </c>
      <c r="C20" s="101"/>
      <c r="D20" s="53">
        <v>75587.018417819607</v>
      </c>
      <c r="E20" s="54">
        <v>0.76813099846476796</v>
      </c>
      <c r="F20" s="56"/>
      <c r="G20" s="53">
        <v>41920.940756569697</v>
      </c>
      <c r="H20" s="54">
        <v>0.94232208129152095</v>
      </c>
      <c r="I20" s="30"/>
      <c r="J20" s="53">
        <v>62799.170120694696</v>
      </c>
      <c r="K20" s="54">
        <v>1.1565446045990699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101"/>
      <c r="C21" s="101"/>
      <c r="D21" s="47"/>
      <c r="E21" s="48"/>
      <c r="F21" s="49"/>
      <c r="G21" s="47"/>
      <c r="H21" s="48"/>
      <c r="I21" s="50"/>
      <c r="J21" s="47"/>
      <c r="K21" s="48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33" t="s">
        <v>37</v>
      </c>
      <c r="C22" s="185"/>
      <c r="D22" s="47">
        <v>543527.44788293901</v>
      </c>
      <c r="E22" s="48">
        <v>0.93173325792858797</v>
      </c>
      <c r="F22" s="49"/>
      <c r="G22" s="47">
        <v>411960.90090814198</v>
      </c>
      <c r="H22" s="48">
        <v>1.1777771914768</v>
      </c>
      <c r="I22" s="50"/>
      <c r="J22" s="47">
        <v>381736.49154063402</v>
      </c>
      <c r="K22" s="48">
        <v>1.4895772527975399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98"/>
      <c r="C23" s="98"/>
      <c r="D23" s="22"/>
      <c r="E23" s="188"/>
      <c r="F23" s="30"/>
      <c r="G23" s="22"/>
      <c r="H23" s="188"/>
      <c r="I23" s="22"/>
      <c r="J23" s="22"/>
      <c r="K23" s="188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89" t="s">
        <v>7</v>
      </c>
      <c r="C24" s="190"/>
      <c r="D24" s="47">
        <v>497336.26680887199</v>
      </c>
      <c r="E24" s="48">
        <v>0</v>
      </c>
      <c r="F24" s="49"/>
      <c r="G24" s="47">
        <v>323662.73598131898</v>
      </c>
      <c r="H24" s="48">
        <v>0</v>
      </c>
      <c r="I24" s="50"/>
      <c r="J24" s="47">
        <v>282445.37983620999</v>
      </c>
      <c r="K24" s="48">
        <v>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98"/>
      <c r="C25" s="98"/>
      <c r="D25" s="30"/>
      <c r="E25" s="30"/>
      <c r="F25" s="5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33" t="s">
        <v>38</v>
      </c>
      <c r="C26" s="185"/>
      <c r="D26" s="47">
        <v>179260.30465799099</v>
      </c>
      <c r="E26" s="48">
        <v>1.8393173418356299</v>
      </c>
      <c r="F26" s="49"/>
      <c r="G26" s="47">
        <v>113874.068786155</v>
      </c>
      <c r="H26" s="48">
        <v>2.1818326717821002</v>
      </c>
      <c r="I26" s="50"/>
      <c r="J26" s="47">
        <v>124733.094468628</v>
      </c>
      <c r="K26" s="48">
        <v>3.18736316509899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6.95" customHeight="1">
      <c r="A27" s="30"/>
      <c r="B27" s="185"/>
      <c r="C27" s="185"/>
      <c r="D27" s="53"/>
      <c r="E27" s="54"/>
      <c r="F27" s="49"/>
      <c r="G27" s="53"/>
      <c r="H27" s="54"/>
      <c r="I27" s="50"/>
      <c r="J27" s="53"/>
      <c r="K27" s="54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86" t="s">
        <v>35</v>
      </c>
      <c r="C28" s="115"/>
      <c r="D28" s="53">
        <v>162626.289920429</v>
      </c>
      <c r="E28" s="54">
        <v>3.07416834384916</v>
      </c>
      <c r="F28" s="56"/>
      <c r="G28" s="53">
        <v>109400.219939056</v>
      </c>
      <c r="H28" s="54">
        <v>4.1490403336768198</v>
      </c>
      <c r="I28" s="30"/>
      <c r="J28" s="53">
        <v>113471.288773972</v>
      </c>
      <c r="K28" s="54">
        <v>4.8125884926824201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86" t="s">
        <v>65</v>
      </c>
      <c r="C29" s="77"/>
      <c r="D29" s="53">
        <v>93076.131949317496</v>
      </c>
      <c r="E29" s="54">
        <v>4.8115484879614696</v>
      </c>
      <c r="F29" s="56"/>
      <c r="G29" s="53">
        <v>68365.280222179601</v>
      </c>
      <c r="H29" s="54">
        <v>7.23333498434258</v>
      </c>
      <c r="I29" s="30"/>
      <c r="J29" s="53">
        <v>53988.227792291698</v>
      </c>
      <c r="K29" s="54">
        <v>5.95186212123442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30" customHeight="1">
      <c r="A30" s="30"/>
      <c r="B30" s="187" t="s">
        <v>111</v>
      </c>
      <c r="C30" s="101"/>
      <c r="D30" s="53">
        <v>63118.953345114103</v>
      </c>
      <c r="E30" s="54">
        <v>3.6184648980895502</v>
      </c>
      <c r="F30" s="56"/>
      <c r="G30" s="53">
        <v>24012.828175789698</v>
      </c>
      <c r="H30" s="54">
        <v>2.96924285851627</v>
      </c>
      <c r="I30" s="30"/>
      <c r="J30" s="53">
        <v>55078.878851353496</v>
      </c>
      <c r="K30" s="54">
        <v>5.8183827301491204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87" t="s">
        <v>125</v>
      </c>
      <c r="C31" s="101"/>
      <c r="D31" s="53">
        <v>50064.750746075501</v>
      </c>
      <c r="E31" s="54">
        <v>2.99162864196117</v>
      </c>
      <c r="F31" s="56"/>
      <c r="G31" s="53">
        <v>21677.841613038901</v>
      </c>
      <c r="H31" s="54">
        <v>2.7943910928113298</v>
      </c>
      <c r="I31" s="30"/>
      <c r="J31" s="53">
        <v>44339.5385136111</v>
      </c>
      <c r="K31" s="54">
        <v>5.1587599930534402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86" t="s">
        <v>36</v>
      </c>
      <c r="C32" s="101"/>
      <c r="D32" s="53">
        <v>28810.314779553701</v>
      </c>
      <c r="E32" s="54">
        <v>1.7612887693433099</v>
      </c>
      <c r="F32" s="56"/>
      <c r="G32" s="53">
        <v>20525.964416865401</v>
      </c>
      <c r="H32" s="54">
        <v>2.5420044228787901</v>
      </c>
      <c r="I32" s="30"/>
      <c r="J32" s="53">
        <v>20154.087054490999</v>
      </c>
      <c r="K32" s="54">
        <v>2.4703298377371201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86" t="s">
        <v>124</v>
      </c>
      <c r="C33" s="101"/>
      <c r="D33" s="53">
        <v>27637.401487838899</v>
      </c>
      <c r="E33" s="54">
        <v>1.7016419151611699</v>
      </c>
      <c r="F33" s="56"/>
      <c r="G33" s="53">
        <v>12925.210481845201</v>
      </c>
      <c r="H33" s="54">
        <v>1.60065190992421</v>
      </c>
      <c r="I33" s="30"/>
      <c r="J33" s="53">
        <v>24706.4285763847</v>
      </c>
      <c r="K33" s="54">
        <v>3.0060127214052099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01"/>
      <c r="C34" s="101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33" t="s">
        <v>37</v>
      </c>
      <c r="C35" s="185"/>
      <c r="D35" s="47">
        <v>414604.75052449101</v>
      </c>
      <c r="E35" s="48">
        <v>1.8393173418356299</v>
      </c>
      <c r="F35" s="49"/>
      <c r="G35" s="47">
        <v>277687.55654141097</v>
      </c>
      <c r="H35" s="48">
        <v>2.1818326717821002</v>
      </c>
      <c r="I35" s="50"/>
      <c r="J35" s="47">
        <v>246719.22790056901</v>
      </c>
      <c r="K35" s="48">
        <v>3.18736316509899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90"/>
      <c r="C36" s="190"/>
      <c r="D36" s="22"/>
      <c r="E36" s="191"/>
      <c r="F36" s="191"/>
      <c r="G36" s="22"/>
      <c r="H36" s="191"/>
      <c r="I36" s="191"/>
      <c r="J36" s="22"/>
      <c r="K36" s="191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89" t="s">
        <v>8</v>
      </c>
      <c r="C37" s="190"/>
      <c r="D37" s="47">
        <v>621589.110367127</v>
      </c>
      <c r="E37" s="48">
        <v>0</v>
      </c>
      <c r="F37" s="49"/>
      <c r="G37" s="47">
        <v>446839.22598195798</v>
      </c>
      <c r="H37" s="48">
        <v>0</v>
      </c>
      <c r="I37" s="50"/>
      <c r="J37" s="47">
        <v>411414.95751679398</v>
      </c>
      <c r="K37" s="48">
        <v>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38</v>
      </c>
      <c r="C39" s="185"/>
      <c r="D39" s="47">
        <v>326311.85331837402</v>
      </c>
      <c r="E39" s="48">
        <v>1.0903361929297799</v>
      </c>
      <c r="F39" s="49"/>
      <c r="G39" s="47">
        <v>213412.10206139501</v>
      </c>
      <c r="H39" s="48">
        <v>1.4344811188564901</v>
      </c>
      <c r="I39" s="50"/>
      <c r="J39" s="47">
        <v>250303.55567458301</v>
      </c>
      <c r="K39" s="48">
        <v>1.6737264949603501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185"/>
      <c r="C40" s="185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86" t="s">
        <v>35</v>
      </c>
      <c r="C41" s="115"/>
      <c r="D41" s="53">
        <v>303228.551745239</v>
      </c>
      <c r="E41" s="54">
        <v>1.3302247295081899</v>
      </c>
      <c r="F41" s="56"/>
      <c r="G41" s="53">
        <v>201558.37368959101</v>
      </c>
      <c r="H41" s="54">
        <v>1.9447754115623199</v>
      </c>
      <c r="I41" s="30"/>
      <c r="J41" s="53">
        <v>233517.226481024</v>
      </c>
      <c r="K41" s="54">
        <v>1.75752484643971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86" t="s">
        <v>65</v>
      </c>
      <c r="C42" s="77"/>
      <c r="D42" s="53">
        <v>220688.34764964899</v>
      </c>
      <c r="E42" s="54">
        <v>1.97562777064144</v>
      </c>
      <c r="F42" s="56"/>
      <c r="G42" s="53">
        <v>145903.45600205599</v>
      </c>
      <c r="H42" s="54">
        <v>3.0847828169403901</v>
      </c>
      <c r="I42" s="30"/>
      <c r="J42" s="53">
        <v>163660.46473139699</v>
      </c>
      <c r="K42" s="54">
        <v>2.5163342802212001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30" customHeight="1">
      <c r="A43" s="30"/>
      <c r="B43" s="187" t="s">
        <v>111</v>
      </c>
      <c r="C43" s="101"/>
      <c r="D43" s="53">
        <v>132607.05596560799</v>
      </c>
      <c r="E43" s="54">
        <v>1.50538443547269</v>
      </c>
      <c r="F43" s="56"/>
      <c r="G43" s="53">
        <v>73793.987610103795</v>
      </c>
      <c r="H43" s="54">
        <v>1.90177038919107</v>
      </c>
      <c r="I43" s="30"/>
      <c r="J43" s="53">
        <v>108895.382198216</v>
      </c>
      <c r="K43" s="54">
        <v>2.1751065522024802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30" customHeight="1">
      <c r="A44" s="30"/>
      <c r="B44" s="187" t="s">
        <v>125</v>
      </c>
      <c r="C44" s="101"/>
      <c r="D44" s="53">
        <v>124918.923140709</v>
      </c>
      <c r="E44" s="54">
        <v>1.4176464800777799</v>
      </c>
      <c r="F44" s="56"/>
      <c r="G44" s="53">
        <v>68664.426577851104</v>
      </c>
      <c r="H44" s="54">
        <v>1.81115668526231</v>
      </c>
      <c r="I44" s="30"/>
      <c r="J44" s="53">
        <v>104877.273009781</v>
      </c>
      <c r="K44" s="54">
        <v>2.13495086995137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86" t="s">
        <v>36</v>
      </c>
      <c r="C45" s="101"/>
      <c r="D45" s="53">
        <v>88215.898655497396</v>
      </c>
      <c r="E45" s="54">
        <v>1.0514003085219701</v>
      </c>
      <c r="F45" s="56"/>
      <c r="G45" s="53">
        <v>63040.931238546298</v>
      </c>
      <c r="H45" s="54">
        <v>1.65770490911917</v>
      </c>
      <c r="I45" s="30"/>
      <c r="J45" s="53">
        <v>61551.5344973182</v>
      </c>
      <c r="K45" s="54">
        <v>1.35405932381785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186" t="s">
        <v>124</v>
      </c>
      <c r="C46" s="101"/>
      <c r="D46" s="53">
        <v>70353.190349093595</v>
      </c>
      <c r="E46" s="54">
        <v>0.85540850691134096</v>
      </c>
      <c r="F46" s="56"/>
      <c r="G46" s="53">
        <v>39878.6184303798</v>
      </c>
      <c r="H46" s="54">
        <v>1.0930215785553901</v>
      </c>
      <c r="I46" s="30"/>
      <c r="J46" s="53">
        <v>57734.9820719462</v>
      </c>
      <c r="K46" s="54">
        <v>1.2509080866898099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01"/>
      <c r="C47" s="101"/>
      <c r="D47" s="53"/>
      <c r="E47" s="54"/>
      <c r="F47" s="56"/>
      <c r="G47" s="53"/>
      <c r="H47" s="54"/>
      <c r="I47" s="30"/>
      <c r="J47" s="53"/>
      <c r="K47" s="54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33" t="s">
        <v>37</v>
      </c>
      <c r="C48" s="101"/>
      <c r="D48" s="47">
        <v>510150.697211513</v>
      </c>
      <c r="E48" s="48">
        <v>1.0903361929297799</v>
      </c>
      <c r="F48" s="49"/>
      <c r="G48" s="47">
        <v>374123.18957802397</v>
      </c>
      <c r="H48" s="48">
        <v>1.4344811188564901</v>
      </c>
      <c r="I48" s="50"/>
      <c r="J48" s="47">
        <v>333988.19720297202</v>
      </c>
      <c r="K48" s="48">
        <v>1.6737264949603501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6.95" customHeight="1">
      <c r="A49" s="30"/>
      <c r="B49" s="192"/>
      <c r="C49" s="192"/>
      <c r="D49" s="192"/>
      <c r="E49" s="126"/>
      <c r="F49" s="126"/>
      <c r="G49" s="126"/>
      <c r="H49" s="126"/>
      <c r="I49" s="126"/>
      <c r="J49" s="126"/>
      <c r="K49" s="126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41"/>
      <c r="C50" s="141"/>
      <c r="D50" s="141"/>
      <c r="E50" s="128"/>
      <c r="F50" s="128"/>
      <c r="G50" s="128"/>
      <c r="H50" s="128"/>
      <c r="I50" s="128"/>
      <c r="J50" s="128"/>
      <c r="K50" s="12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2" customHeight="1">
      <c r="A51" s="30"/>
      <c r="B51" s="159" t="s">
        <v>75</v>
      </c>
      <c r="C51" s="159"/>
      <c r="D51" s="159"/>
      <c r="E51" s="128"/>
      <c r="F51" s="128"/>
      <c r="G51" s="128"/>
      <c r="H51" s="128"/>
      <c r="I51" s="128"/>
      <c r="J51" s="128"/>
      <c r="K51" s="12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2" customHeight="1">
      <c r="A52" s="30"/>
      <c r="B52" s="193" t="s">
        <v>93</v>
      </c>
      <c r="C52" s="193"/>
      <c r="D52" s="193"/>
      <c r="E52" s="128"/>
      <c r="F52" s="128"/>
      <c r="G52" s="128"/>
      <c r="H52" s="128"/>
      <c r="I52" s="128"/>
      <c r="J52" s="128"/>
      <c r="K52" s="12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2" customHeight="1">
      <c r="A53" s="30"/>
      <c r="B53" s="193" t="s">
        <v>126</v>
      </c>
      <c r="C53" s="193"/>
      <c r="D53" s="193"/>
      <c r="E53" s="128"/>
      <c r="F53" s="128"/>
      <c r="G53" s="128"/>
      <c r="H53" s="128"/>
      <c r="I53" s="128"/>
      <c r="J53" s="128"/>
      <c r="K53" s="128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254" t="s">
        <v>102</v>
      </c>
      <c r="C54" s="254"/>
      <c r="D54" s="254"/>
      <c r="E54" s="254"/>
      <c r="F54" s="254"/>
      <c r="G54" s="254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</sheetData>
  <mergeCells count="7">
    <mergeCell ref="B54:G54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2E4DEAA9-2652-49D2-B1F8-F7CFC6A1A14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BFD3-800B-4ECB-9F98-619111500222}">
  <dimension ref="A1:W2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85546875" customWidth="1"/>
    <col min="6" max="6" width="1.7109375" customWidth="1"/>
    <col min="7" max="7" width="15.855468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94</v>
      </c>
      <c r="C5" s="266"/>
      <c r="D5" s="266"/>
      <c r="E5" s="266"/>
      <c r="F5" s="266"/>
      <c r="G5" s="266"/>
      <c r="H5" s="65"/>
      <c r="I5" s="65"/>
      <c r="J5" s="65"/>
      <c r="K5" s="112" t="s">
        <v>60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151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618394.75251005101</v>
      </c>
      <c r="E11" s="48">
        <v>0</v>
      </c>
      <c r="F11" s="49"/>
      <c r="G11" s="47">
        <v>469555.23219512502</v>
      </c>
      <c r="H11" s="48">
        <v>0</v>
      </c>
      <c r="I11" s="50"/>
      <c r="J11" s="47">
        <v>449895.59505782701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30" customHeight="1">
      <c r="A13" s="30"/>
      <c r="B13" s="194" t="s">
        <v>88</v>
      </c>
      <c r="C13" s="116"/>
      <c r="D13" s="53">
        <v>342424.938072872</v>
      </c>
      <c r="E13" s="54">
        <v>0.93299675147855698</v>
      </c>
      <c r="F13" s="56"/>
      <c r="G13" s="53">
        <v>233983.48102172001</v>
      </c>
      <c r="H13" s="54">
        <v>1.26254009506289</v>
      </c>
      <c r="I13" s="30"/>
      <c r="J13" s="53">
        <v>275794.00106161297</v>
      </c>
      <c r="K13" s="54">
        <v>1.4540415395070601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194" t="s">
        <v>89</v>
      </c>
      <c r="C14" s="116"/>
      <c r="D14" s="53">
        <v>547141.27957480995</v>
      </c>
      <c r="E14" s="54">
        <v>0.93299675147855698</v>
      </c>
      <c r="F14" s="56"/>
      <c r="G14" s="53">
        <v>426193.93865229201</v>
      </c>
      <c r="H14" s="54">
        <v>1.26254009506289</v>
      </c>
      <c r="I14" s="30"/>
      <c r="J14" s="53">
        <v>368677.42761015601</v>
      </c>
      <c r="K14" s="54">
        <v>1.4540415395070601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6.95" customHeight="1">
      <c r="A15" s="30"/>
      <c r="B15" s="119"/>
      <c r="C15" s="119"/>
      <c r="D15" s="79"/>
      <c r="E15" s="78"/>
      <c r="F15" s="195"/>
      <c r="G15" s="79"/>
      <c r="H15" s="78"/>
      <c r="I15" s="79"/>
      <c r="J15" s="79"/>
      <c r="K15" s="78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96" t="s">
        <v>7</v>
      </c>
      <c r="C16" s="197"/>
      <c r="D16" s="47">
        <v>497336.26680887199</v>
      </c>
      <c r="E16" s="48">
        <v>0</v>
      </c>
      <c r="F16" s="49"/>
      <c r="G16" s="47">
        <v>323662.73598131898</v>
      </c>
      <c r="H16" s="48">
        <v>0</v>
      </c>
      <c r="I16" s="50"/>
      <c r="J16" s="47">
        <v>282445.37983620999</v>
      </c>
      <c r="K16" s="48">
        <v>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197"/>
      <c r="C17" s="197"/>
      <c r="D17" s="53"/>
      <c r="E17" s="54"/>
      <c r="F17" s="49"/>
      <c r="G17" s="53"/>
      <c r="H17" s="54"/>
      <c r="I17" s="50"/>
      <c r="J17" s="53"/>
      <c r="K17" s="5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94" t="s">
        <v>88</v>
      </c>
      <c r="C18" s="116"/>
      <c r="D18" s="53">
        <v>153523.2729754</v>
      </c>
      <c r="E18" s="54">
        <v>1.6621021201134401</v>
      </c>
      <c r="F18" s="56"/>
      <c r="G18" s="53">
        <v>120652.96717741901</v>
      </c>
      <c r="H18" s="54">
        <v>2.4609897349407901</v>
      </c>
      <c r="I18" s="30"/>
      <c r="J18" s="53">
        <v>95317.614225787795</v>
      </c>
      <c r="K18" s="54">
        <v>2.4505474676669499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30" customHeight="1">
      <c r="A19" s="30"/>
      <c r="B19" s="194" t="s">
        <v>89</v>
      </c>
      <c r="C19" s="116"/>
      <c r="D19" s="53">
        <v>434096.37735426001</v>
      </c>
      <c r="E19" s="54">
        <v>1.6621021201134401</v>
      </c>
      <c r="F19" s="56"/>
      <c r="G19" s="53">
        <v>288886.90317295899</v>
      </c>
      <c r="H19" s="54">
        <v>2.4609897349407901</v>
      </c>
      <c r="I19" s="30"/>
      <c r="J19" s="53">
        <v>250917.59187547801</v>
      </c>
      <c r="K19" s="54">
        <v>2.4505474676669499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98"/>
      <c r="C20" s="198"/>
      <c r="D20" s="30"/>
      <c r="E20" s="30"/>
      <c r="F20" s="102"/>
      <c r="G20" s="30"/>
      <c r="H20" s="30"/>
      <c r="I20" s="2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96" t="s">
        <v>8</v>
      </c>
      <c r="C21" s="197"/>
      <c r="D21" s="47">
        <v>621589.110367127</v>
      </c>
      <c r="E21" s="48">
        <v>0</v>
      </c>
      <c r="F21" s="49"/>
      <c r="G21" s="47">
        <v>446839.22598195798</v>
      </c>
      <c r="H21" s="48">
        <v>0</v>
      </c>
      <c r="I21" s="50"/>
      <c r="J21" s="47">
        <v>411414.95751679398</v>
      </c>
      <c r="K21" s="48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97"/>
      <c r="C22" s="197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194" t="s">
        <v>88</v>
      </c>
      <c r="C23" s="116"/>
      <c r="D23" s="53">
        <v>331942.71150038799</v>
      </c>
      <c r="E23" s="54">
        <v>1.09800109959531</v>
      </c>
      <c r="F23" s="56"/>
      <c r="G23" s="53">
        <v>206457.79915322899</v>
      </c>
      <c r="H23" s="54">
        <v>1.4055707202626699</v>
      </c>
      <c r="I23" s="30"/>
      <c r="J23" s="53">
        <v>263341.20132695301</v>
      </c>
      <c r="K23" s="54">
        <v>1.6704872568490301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194" t="s">
        <v>89</v>
      </c>
      <c r="C24" s="116"/>
      <c r="D24" s="53">
        <v>506161.82274144399</v>
      </c>
      <c r="E24" s="54">
        <v>1.09800109959531</v>
      </c>
      <c r="F24" s="56"/>
      <c r="G24" s="53">
        <v>379317.26403725299</v>
      </c>
      <c r="H24" s="54">
        <v>1.4055707202626699</v>
      </c>
      <c r="I24" s="30"/>
      <c r="J24" s="53">
        <v>314897.14087423403</v>
      </c>
      <c r="K24" s="54">
        <v>1.6704872568490301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126"/>
      <c r="C25" s="126"/>
      <c r="D25" s="126"/>
      <c r="E25" s="126"/>
      <c r="F25" s="126"/>
      <c r="G25" s="126"/>
      <c r="H25" s="127"/>
      <c r="I25" s="127"/>
      <c r="J25" s="127"/>
      <c r="K25" s="12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28"/>
      <c r="C26" s="128"/>
      <c r="D26" s="128"/>
      <c r="E26" s="128"/>
      <c r="F26" s="128"/>
      <c r="G26" s="128"/>
      <c r="H26" s="110"/>
      <c r="I26" s="110"/>
      <c r="J26" s="110"/>
      <c r="K26" s="11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2" customHeight="1">
      <c r="A27" s="30"/>
      <c r="B27" s="159" t="s">
        <v>75</v>
      </c>
      <c r="C27" s="129"/>
      <c r="D27" s="129"/>
      <c r="E27" s="129"/>
      <c r="F27" s="129"/>
      <c r="G27" s="129"/>
      <c r="H27" s="129"/>
      <c r="I27" s="129"/>
      <c r="J27" s="129"/>
      <c r="K27" s="1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2" customHeight="1">
      <c r="A28" s="30"/>
      <c r="B28" s="254" t="s">
        <v>102</v>
      </c>
      <c r="C28" s="254"/>
      <c r="D28" s="254"/>
      <c r="E28" s="254"/>
      <c r="F28" s="254"/>
      <c r="G28" s="25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</sheetData>
  <mergeCells count="7">
    <mergeCell ref="B28:G2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831CA5C8-CFF7-4F22-B5AD-8C6CD215F6B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1CB8-67A3-4526-A26A-FF0824702AC6}">
  <dimension ref="A1:W3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66"/>
      <c r="F4" s="66"/>
      <c r="G4" s="66"/>
      <c r="H4" s="199"/>
      <c r="I4" s="199"/>
      <c r="J4" s="19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234" t="s">
        <v>158</v>
      </c>
      <c r="C5" s="67"/>
      <c r="D5" s="66"/>
      <c r="E5" s="66"/>
      <c r="F5" s="66"/>
      <c r="G5" s="66"/>
      <c r="H5" s="200"/>
      <c r="I5" s="200"/>
      <c r="J5" s="200"/>
      <c r="K5" s="112" t="s">
        <v>61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8" t="s">
        <v>159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7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940724.76979118201</v>
      </c>
      <c r="E11" s="48">
        <v>0</v>
      </c>
      <c r="F11" s="49"/>
      <c r="G11" s="47">
        <v>790274.85617909802</v>
      </c>
      <c r="H11" s="48">
        <v>0</v>
      </c>
      <c r="I11" s="50"/>
      <c r="J11" s="47">
        <v>719306.42915879702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232" t="s">
        <v>160</v>
      </c>
      <c r="C13" s="150"/>
      <c r="D13" s="53">
        <v>618394.75251005101</v>
      </c>
      <c r="E13" s="54">
        <v>0.70791220923465503</v>
      </c>
      <c r="F13" s="56"/>
      <c r="G13" s="53">
        <v>469555.23219512502</v>
      </c>
      <c r="H13" s="54">
        <v>0.90997816959577804</v>
      </c>
      <c r="I13" s="30"/>
      <c r="J13" s="53">
        <v>449895.59505782701</v>
      </c>
      <c r="K13" s="54">
        <v>1.0008165161431899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232" t="s">
        <v>161</v>
      </c>
      <c r="C14" s="150"/>
      <c r="D14" s="53">
        <v>959041.38267972495</v>
      </c>
      <c r="E14" s="54">
        <v>0.70791220923465503</v>
      </c>
      <c r="F14" s="56"/>
      <c r="G14" s="53">
        <v>710280.549994651</v>
      </c>
      <c r="H14" s="54">
        <v>0.90997816959577804</v>
      </c>
      <c r="I14" s="30"/>
      <c r="J14" s="53">
        <v>642844.45037598396</v>
      </c>
      <c r="K14" s="54">
        <v>1.0008165161431899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233" t="s">
        <v>162</v>
      </c>
      <c r="C15" s="201"/>
      <c r="D15" s="53">
        <v>877496.43190880294</v>
      </c>
      <c r="E15" s="54">
        <v>0.73395061490065605</v>
      </c>
      <c r="F15" s="56"/>
      <c r="G15" s="53">
        <v>653107.66731712595</v>
      </c>
      <c r="H15" s="54">
        <v>0.85961104090742901</v>
      </c>
      <c r="I15" s="30"/>
      <c r="J15" s="53">
        <v>600238.80781875795</v>
      </c>
      <c r="K15" s="54">
        <v>1.1694606892761299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233" t="s">
        <v>163</v>
      </c>
      <c r="C16" s="202"/>
      <c r="D16" s="53">
        <v>435438.45830769697</v>
      </c>
      <c r="E16" s="54">
        <v>0.73395061490065605</v>
      </c>
      <c r="F16" s="56"/>
      <c r="G16" s="53">
        <v>276355.113994663</v>
      </c>
      <c r="H16" s="54">
        <v>0.85961104090742901</v>
      </c>
      <c r="I16" s="30"/>
      <c r="J16" s="53">
        <v>308149.63434527197</v>
      </c>
      <c r="K16" s="54">
        <v>1.1694606892761299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228"/>
      <c r="C17" s="162"/>
      <c r="D17" s="79"/>
      <c r="E17" s="203"/>
      <c r="F17" s="203"/>
      <c r="G17" s="79"/>
      <c r="H17" s="203"/>
      <c r="I17" s="203"/>
      <c r="J17" s="79"/>
      <c r="K17" s="203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231" t="s">
        <v>7</v>
      </c>
      <c r="C18" s="204"/>
      <c r="D18" s="47">
        <v>1202696.45731675</v>
      </c>
      <c r="E18" s="48">
        <v>0</v>
      </c>
      <c r="F18" s="49"/>
      <c r="G18" s="47">
        <v>732477.33212123101</v>
      </c>
      <c r="H18" s="48">
        <v>0</v>
      </c>
      <c r="I18" s="50"/>
      <c r="J18" s="47">
        <v>655788.85438650905</v>
      </c>
      <c r="K18" s="48">
        <v>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229"/>
      <c r="C19" s="204"/>
      <c r="D19" s="53"/>
      <c r="E19" s="54"/>
      <c r="F19" s="49"/>
      <c r="G19" s="53"/>
      <c r="H19" s="54"/>
      <c r="I19" s="50"/>
      <c r="J19" s="53"/>
      <c r="K19" s="5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232" t="s">
        <v>160</v>
      </c>
      <c r="C20" s="150"/>
      <c r="D20" s="53">
        <v>497336.26680887199</v>
      </c>
      <c r="E20" s="54">
        <v>1.27560273550603</v>
      </c>
      <c r="F20" s="56"/>
      <c r="G20" s="53">
        <v>323662.73598131898</v>
      </c>
      <c r="H20" s="54">
        <v>1.45847342216992</v>
      </c>
      <c r="I20" s="30"/>
      <c r="J20" s="53">
        <v>282445.37983620999</v>
      </c>
      <c r="K20" s="54">
        <v>1.73314493607387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232" t="s">
        <v>161</v>
      </c>
      <c r="C21" s="150"/>
      <c r="D21" s="53">
        <v>962210.05044858798</v>
      </c>
      <c r="E21" s="54">
        <v>1.27560273550603</v>
      </c>
      <c r="F21" s="56"/>
      <c r="G21" s="53">
        <v>564479.12931470806</v>
      </c>
      <c r="H21" s="54">
        <v>1.45847342216992</v>
      </c>
      <c r="I21" s="30"/>
      <c r="J21" s="53">
        <v>550981.67496386101</v>
      </c>
      <c r="K21" s="54">
        <v>1.73314493607387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33" t="s">
        <v>162</v>
      </c>
      <c r="C22" s="201"/>
      <c r="D22" s="53">
        <v>825067.93980657402</v>
      </c>
      <c r="E22" s="54">
        <v>1.02601777984128</v>
      </c>
      <c r="F22" s="56"/>
      <c r="G22" s="53">
        <v>507314.51612556499</v>
      </c>
      <c r="H22" s="54">
        <v>1.1852981296324401</v>
      </c>
      <c r="I22" s="30"/>
      <c r="J22" s="53">
        <v>488140.64953318198</v>
      </c>
      <c r="K22" s="54">
        <v>1.7905187116157999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33" t="s">
        <v>163</v>
      </c>
      <c r="C23" s="202"/>
      <c r="D23" s="53">
        <v>282005.19195485202</v>
      </c>
      <c r="E23" s="54">
        <v>1.02601777984128</v>
      </c>
      <c r="F23" s="56"/>
      <c r="G23" s="53">
        <v>161825.94999864401</v>
      </c>
      <c r="H23" s="54">
        <v>1.1852981296324401</v>
      </c>
      <c r="I23" s="30"/>
      <c r="J23" s="53">
        <v>205751.16009163999</v>
      </c>
      <c r="K23" s="54">
        <v>1.7905187116157999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30"/>
      <c r="C24" s="205"/>
      <c r="D24" s="22"/>
      <c r="E24" s="206"/>
      <c r="F24" s="207"/>
      <c r="G24" s="22"/>
      <c r="H24" s="206"/>
      <c r="I24" s="206"/>
      <c r="J24" s="22"/>
      <c r="K24" s="20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231" t="s">
        <v>8</v>
      </c>
      <c r="C25" s="204"/>
      <c r="D25" s="47">
        <v>1215345.35573305</v>
      </c>
      <c r="E25" s="48">
        <v>0</v>
      </c>
      <c r="F25" s="49"/>
      <c r="G25" s="47">
        <v>853166.62916364695</v>
      </c>
      <c r="H25" s="48">
        <v>0</v>
      </c>
      <c r="I25" s="50"/>
      <c r="J25" s="47">
        <v>704303.09797417896</v>
      </c>
      <c r="K25" s="48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229"/>
      <c r="C26" s="204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232" t="s">
        <v>160</v>
      </c>
      <c r="C27" s="150"/>
      <c r="D27" s="53">
        <v>621589.110367127</v>
      </c>
      <c r="E27" s="54">
        <v>0.85515781833148696</v>
      </c>
      <c r="F27" s="56"/>
      <c r="G27" s="53">
        <v>446839.22598195798</v>
      </c>
      <c r="H27" s="54">
        <v>1.17865201121927</v>
      </c>
      <c r="I27" s="30"/>
      <c r="J27" s="53">
        <v>411414.95751679398</v>
      </c>
      <c r="K27" s="54">
        <v>1.2162039119813901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232" t="s">
        <v>161</v>
      </c>
      <c r="C28" s="150"/>
      <c r="D28" s="53">
        <v>935312.70339123101</v>
      </c>
      <c r="E28" s="54">
        <v>0.85515781833148696</v>
      </c>
      <c r="F28" s="56"/>
      <c r="G28" s="53">
        <v>670158.80860680202</v>
      </c>
      <c r="H28" s="54">
        <v>1.17865201121927</v>
      </c>
      <c r="I28" s="30"/>
      <c r="J28" s="53">
        <v>545059.58642935497</v>
      </c>
      <c r="K28" s="54">
        <v>1.2162039119813901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233" t="s">
        <v>162</v>
      </c>
      <c r="C29" s="201"/>
      <c r="D29" s="53">
        <v>797758.23140955204</v>
      </c>
      <c r="E29" s="54">
        <v>1.0166330775672801</v>
      </c>
      <c r="F29" s="56"/>
      <c r="G29" s="53">
        <v>590585.910269627</v>
      </c>
      <c r="H29" s="54">
        <v>1.2138715772344399</v>
      </c>
      <c r="I29" s="30"/>
      <c r="J29" s="53">
        <v>476402.85646764602</v>
      </c>
      <c r="K29" s="54">
        <v>1.51267764277156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233" t="s">
        <v>163</v>
      </c>
      <c r="C30" s="202"/>
      <c r="D30" s="53">
        <v>386724.635964196</v>
      </c>
      <c r="E30" s="54">
        <v>1.0166330775672801</v>
      </c>
      <c r="F30" s="56"/>
      <c r="G30" s="53">
        <v>244651.60092360599</v>
      </c>
      <c r="H30" s="54">
        <v>1.2138715772344399</v>
      </c>
      <c r="I30" s="30"/>
      <c r="J30" s="53">
        <v>248397.523293142</v>
      </c>
      <c r="K30" s="54">
        <v>1.51267764277156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6.95" customHeight="1">
      <c r="A31" s="30"/>
      <c r="B31" s="208"/>
      <c r="C31" s="208"/>
      <c r="D31" s="209"/>
      <c r="E31" s="209"/>
      <c r="F31" s="209"/>
      <c r="G31" s="209"/>
      <c r="H31" s="209"/>
      <c r="I31" s="209"/>
      <c r="J31" s="209"/>
      <c r="K31" s="20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162"/>
      <c r="C32" s="162"/>
      <c r="D32" s="210"/>
      <c r="E32" s="210"/>
      <c r="F32" s="210"/>
      <c r="G32" s="210"/>
      <c r="H32" s="210"/>
      <c r="I32" s="210"/>
      <c r="J32" s="210"/>
      <c r="K32" s="21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2" customHeight="1">
      <c r="A33" s="30"/>
      <c r="B33" s="159" t="s">
        <v>78</v>
      </c>
      <c r="C33" s="159"/>
      <c r="D33" s="211"/>
      <c r="E33" s="211"/>
      <c r="F33" s="211"/>
      <c r="G33" s="211"/>
      <c r="H33" s="160"/>
      <c r="I33" s="160"/>
      <c r="J33" s="160"/>
      <c r="K33" s="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2" customHeight="1">
      <c r="A34" s="30"/>
      <c r="B34" s="254" t="s">
        <v>102</v>
      </c>
      <c r="C34" s="254"/>
      <c r="D34" s="254"/>
      <c r="E34" s="254"/>
      <c r="F34" s="254"/>
      <c r="G34" s="25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INDICE" xr:uid="{F90FC123-384F-43CC-8BF3-DB36AEF1DEF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388-C07A-4BDB-A50D-AAC7B82A345A}">
  <dimension ref="A1:W4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12"/>
      <c r="C4" s="212"/>
      <c r="D4" s="212"/>
      <c r="E4" s="212"/>
      <c r="F4" s="212"/>
      <c r="G4" s="212"/>
      <c r="H4" s="212"/>
      <c r="I4" s="212"/>
      <c r="J4" s="212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234" t="s">
        <v>165</v>
      </c>
      <c r="C5" s="67"/>
      <c r="D5" s="67"/>
      <c r="E5" s="67"/>
      <c r="F5" s="213"/>
      <c r="G5" s="213"/>
      <c r="H5" s="214"/>
      <c r="I5" s="212"/>
      <c r="J5" s="212"/>
      <c r="K5" s="112" t="s">
        <v>62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71" t="s">
        <v>164</v>
      </c>
      <c r="E7" s="271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72"/>
      <c r="E8" s="272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435438.45830769697</v>
      </c>
      <c r="E11" s="48">
        <v>0</v>
      </c>
      <c r="F11" s="49"/>
      <c r="G11" s="47">
        <v>276355.113994663</v>
      </c>
      <c r="H11" s="48">
        <v>0</v>
      </c>
      <c r="I11" s="50"/>
      <c r="J11" s="47">
        <v>308149.63434527197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01" t="s">
        <v>39</v>
      </c>
      <c r="C13" s="134"/>
      <c r="D13" s="53">
        <v>205114.68848076099</v>
      </c>
      <c r="E13" s="54">
        <v>1.5751356325132599</v>
      </c>
      <c r="F13" s="56"/>
      <c r="G13" s="53">
        <v>135055.133134495</v>
      </c>
      <c r="H13" s="54">
        <v>2.0548223894149902</v>
      </c>
      <c r="I13" s="30"/>
      <c r="J13" s="53">
        <v>152326.19149206</v>
      </c>
      <c r="K13" s="54">
        <v>2.4507592215456202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40</v>
      </c>
      <c r="C14" s="134"/>
      <c r="D14" s="53">
        <v>189310.844741037</v>
      </c>
      <c r="E14" s="54">
        <v>1.4823822801833899</v>
      </c>
      <c r="F14" s="56"/>
      <c r="G14" s="53">
        <v>126665.742653726</v>
      </c>
      <c r="H14" s="54">
        <v>2.0305564638856399</v>
      </c>
      <c r="I14" s="30"/>
      <c r="J14" s="53">
        <v>144532.05202244301</v>
      </c>
      <c r="K14" s="54">
        <v>2.4075251750095399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41</v>
      </c>
      <c r="C15" s="134"/>
      <c r="D15" s="53">
        <v>222888.53385566699</v>
      </c>
      <c r="E15" s="54">
        <v>1.74727546175269</v>
      </c>
      <c r="F15" s="56"/>
      <c r="G15" s="53">
        <v>143924.73006250701</v>
      </c>
      <c r="H15" s="54">
        <v>2.28646719678426</v>
      </c>
      <c r="I15" s="30"/>
      <c r="J15" s="53">
        <v>174892.23753680801</v>
      </c>
      <c r="K15" s="54">
        <v>2.62753137736467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152</v>
      </c>
      <c r="C16" s="134"/>
      <c r="D16" s="53">
        <v>161226.41518062801</v>
      </c>
      <c r="E16" s="54">
        <v>1.3361983075302599</v>
      </c>
      <c r="F16" s="56"/>
      <c r="G16" s="53">
        <v>84699.320576648795</v>
      </c>
      <c r="H16" s="54">
        <v>1.47804663876995</v>
      </c>
      <c r="I16" s="30"/>
      <c r="J16" s="53">
        <v>138068.980581329</v>
      </c>
      <c r="K16" s="54">
        <v>2.31505587248119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42</v>
      </c>
      <c r="C17" s="134"/>
      <c r="D17" s="53">
        <v>109158.140190577</v>
      </c>
      <c r="E17" s="54">
        <v>0.93606291350831905</v>
      </c>
      <c r="F17" s="56"/>
      <c r="G17" s="53">
        <v>92740.187645987302</v>
      </c>
      <c r="H17" s="54">
        <v>1.5608564204882101</v>
      </c>
      <c r="I17" s="30"/>
      <c r="J17" s="53">
        <v>58496.197396375603</v>
      </c>
      <c r="K17" s="54">
        <v>1.0536280674163401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01" t="s">
        <v>112</v>
      </c>
      <c r="C18" s="134"/>
      <c r="D18" s="53">
        <v>37497.737388884103</v>
      </c>
      <c r="E18" s="54">
        <v>0.33992991944840401</v>
      </c>
      <c r="F18" s="56"/>
      <c r="G18" s="53">
        <v>28893.6093799304</v>
      </c>
      <c r="H18" s="54">
        <v>0.51689644325291795</v>
      </c>
      <c r="I18" s="30"/>
      <c r="J18" s="53">
        <v>23919.727820357799</v>
      </c>
      <c r="K18" s="54">
        <v>0.431973355235937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85</v>
      </c>
      <c r="C19" s="134"/>
      <c r="D19" s="53">
        <v>66949.177012147105</v>
      </c>
      <c r="E19" s="54">
        <v>0.59434977455660798</v>
      </c>
      <c r="F19" s="56"/>
      <c r="G19" s="53">
        <v>55398.341680956502</v>
      </c>
      <c r="H19" s="54">
        <v>0.98312588870453699</v>
      </c>
      <c r="I19" s="30"/>
      <c r="J19" s="53">
        <v>37914.699339438303</v>
      </c>
      <c r="K19" s="54">
        <v>0.68586752878432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43</v>
      </c>
      <c r="C20" s="134"/>
      <c r="D20" s="53">
        <v>74059.868200127501</v>
      </c>
      <c r="E20" s="54">
        <v>0.66357378004773204</v>
      </c>
      <c r="F20" s="56"/>
      <c r="G20" s="53">
        <v>64250.500889688097</v>
      </c>
      <c r="H20" s="54">
        <v>1.13473449952296</v>
      </c>
      <c r="I20" s="30"/>
      <c r="J20" s="53">
        <v>36837.616806737104</v>
      </c>
      <c r="K20" s="54">
        <v>0.66227612292474702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215"/>
      <c r="C21" s="215"/>
      <c r="D21" s="53"/>
      <c r="E21" s="54"/>
      <c r="F21" s="56"/>
      <c r="G21" s="53"/>
      <c r="H21" s="54"/>
      <c r="I21" s="3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16" t="s">
        <v>7</v>
      </c>
      <c r="C22" s="217"/>
      <c r="D22" s="47">
        <v>282005.19195485202</v>
      </c>
      <c r="E22" s="48">
        <v>0</v>
      </c>
      <c r="F22" s="49"/>
      <c r="G22" s="47">
        <v>161825.94999864401</v>
      </c>
      <c r="H22" s="48">
        <v>0</v>
      </c>
      <c r="I22" s="50"/>
      <c r="J22" s="47">
        <v>205751.16009163999</v>
      </c>
      <c r="K22" s="48">
        <v>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217"/>
      <c r="C23" s="217"/>
      <c r="D23" s="53"/>
      <c r="E23" s="54"/>
      <c r="F23" s="49"/>
      <c r="G23" s="53"/>
      <c r="H23" s="54"/>
      <c r="I23" s="50"/>
      <c r="J23" s="53"/>
      <c r="K23" s="54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01" t="s">
        <v>39</v>
      </c>
      <c r="C24" s="134"/>
      <c r="D24" s="53">
        <v>112234.694756162</v>
      </c>
      <c r="E24" s="54">
        <v>2.79976475828978</v>
      </c>
      <c r="F24" s="56"/>
      <c r="G24" s="53">
        <v>72413.350642782505</v>
      </c>
      <c r="H24" s="54">
        <v>3.3656836274734299</v>
      </c>
      <c r="I24" s="30"/>
      <c r="J24" s="53">
        <v>81188.149939077703</v>
      </c>
      <c r="K24" s="54">
        <v>4.6944874614699703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01" t="s">
        <v>40</v>
      </c>
      <c r="C25" s="134"/>
      <c r="D25" s="53">
        <v>82898.521417166296</v>
      </c>
      <c r="E25" s="54">
        <v>2.3814804830164999</v>
      </c>
      <c r="F25" s="56"/>
      <c r="G25" s="53">
        <v>70032.439383474295</v>
      </c>
      <c r="H25" s="54">
        <v>3.5818505231009499</v>
      </c>
      <c r="I25" s="30"/>
      <c r="J25" s="53">
        <v>43595.834015255597</v>
      </c>
      <c r="K25" s="54">
        <v>2.94115310955064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41</v>
      </c>
      <c r="C26" s="134"/>
      <c r="D26" s="53">
        <v>149101.23148648301</v>
      </c>
      <c r="E26" s="54">
        <v>3.3763280009469998</v>
      </c>
      <c r="F26" s="56"/>
      <c r="G26" s="53">
        <v>90864.1099070911</v>
      </c>
      <c r="H26" s="54">
        <v>4.3940759182928799</v>
      </c>
      <c r="I26" s="30"/>
      <c r="J26" s="53">
        <v>117275.460188721</v>
      </c>
      <c r="K26" s="54">
        <v>5.2646286735565102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30" customHeight="1">
      <c r="A27" s="30"/>
      <c r="B27" s="101" t="s">
        <v>152</v>
      </c>
      <c r="C27" s="134"/>
      <c r="D27" s="53">
        <v>120725.912502726</v>
      </c>
      <c r="E27" s="54">
        <v>3.11787969414836</v>
      </c>
      <c r="F27" s="56"/>
      <c r="G27" s="53">
        <v>45902.816467450502</v>
      </c>
      <c r="H27" s="54">
        <v>2.5662137147558099</v>
      </c>
      <c r="I27" s="30"/>
      <c r="J27" s="53">
        <v>111504.29096483901</v>
      </c>
      <c r="K27" s="54">
        <v>5.9343777638544397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1" t="s">
        <v>42</v>
      </c>
      <c r="C28" s="134"/>
      <c r="D28" s="53">
        <v>42642.235490515399</v>
      </c>
      <c r="E28" s="54">
        <v>1.2541137181498001</v>
      </c>
      <c r="F28" s="56"/>
      <c r="G28" s="53">
        <v>33980.593682277002</v>
      </c>
      <c r="H28" s="54">
        <v>1.8480196141671901</v>
      </c>
      <c r="I28" s="30"/>
      <c r="J28" s="53">
        <v>24276.710716239999</v>
      </c>
      <c r="K28" s="54">
        <v>1.53937199164241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30" customHeight="1">
      <c r="A29" s="30"/>
      <c r="B29" s="101" t="s">
        <v>112</v>
      </c>
      <c r="C29" s="134"/>
      <c r="D29" s="53">
        <v>28475.267285839502</v>
      </c>
      <c r="E29" s="54">
        <v>0.84969485491355801</v>
      </c>
      <c r="F29" s="56"/>
      <c r="G29" s="53">
        <v>26439.2082710508</v>
      </c>
      <c r="H29" s="54">
        <v>1.48701365903753</v>
      </c>
      <c r="I29" s="30"/>
      <c r="J29" s="53">
        <v>10573.982835242399</v>
      </c>
      <c r="K29" s="54">
        <v>0.65067813614650105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85</v>
      </c>
      <c r="C30" s="134"/>
      <c r="D30" s="53">
        <v>57119.659505287702</v>
      </c>
      <c r="E30" s="54">
        <v>1.6067170154055901</v>
      </c>
      <c r="F30" s="56"/>
      <c r="G30" s="53">
        <v>51706.266902571901</v>
      </c>
      <c r="H30" s="54">
        <v>2.8163880165111199</v>
      </c>
      <c r="I30" s="30"/>
      <c r="J30" s="53">
        <v>24271.7421088804</v>
      </c>
      <c r="K30" s="54">
        <v>1.4866927540534101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43</v>
      </c>
      <c r="C31" s="134"/>
      <c r="D31" s="53">
        <v>28159.447807085999</v>
      </c>
      <c r="E31" s="54">
        <v>0.81611333833049704</v>
      </c>
      <c r="F31" s="56"/>
      <c r="G31" s="53">
        <v>12121.5180979942</v>
      </c>
      <c r="H31" s="54">
        <v>0.69086160393260698</v>
      </c>
      <c r="I31" s="30"/>
      <c r="J31" s="53">
        <v>25454.986800232298</v>
      </c>
      <c r="K31" s="54">
        <v>1.5350492091696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218"/>
      <c r="C32" s="218"/>
      <c r="D32" s="22"/>
      <c r="E32" s="151"/>
      <c r="F32" s="102"/>
      <c r="G32" s="22"/>
      <c r="H32" s="151"/>
      <c r="I32" s="151"/>
      <c r="J32" s="22"/>
      <c r="K32" s="15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216" t="s">
        <v>8</v>
      </c>
      <c r="C33" s="217"/>
      <c r="D33" s="47">
        <v>386724.635964196</v>
      </c>
      <c r="E33" s="48">
        <v>0</v>
      </c>
      <c r="F33" s="49"/>
      <c r="G33" s="47">
        <v>244651.60092360599</v>
      </c>
      <c r="H33" s="48">
        <v>0</v>
      </c>
      <c r="I33" s="50"/>
      <c r="J33" s="47">
        <v>248397.523293142</v>
      </c>
      <c r="K33" s="48">
        <v>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17"/>
      <c r="C34" s="217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1" t="s">
        <v>39</v>
      </c>
      <c r="C35" s="134"/>
      <c r="D35" s="53">
        <v>178918.201936139</v>
      </c>
      <c r="E35" s="54">
        <v>1.9360097257858699</v>
      </c>
      <c r="F35" s="56"/>
      <c r="G35" s="53">
        <v>117094.31956900501</v>
      </c>
      <c r="H35" s="54">
        <v>2.6212910487397498</v>
      </c>
      <c r="I35" s="30"/>
      <c r="J35" s="53">
        <v>131046.94692907001</v>
      </c>
      <c r="K35" s="54">
        <v>2.8814990467495498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01" t="s">
        <v>40</v>
      </c>
      <c r="C36" s="134"/>
      <c r="D36" s="53">
        <v>172680.312444704</v>
      </c>
      <c r="E36" s="54">
        <v>1.82163900853478</v>
      </c>
      <c r="F36" s="56"/>
      <c r="G36" s="53">
        <v>105900.663925981</v>
      </c>
      <c r="H36" s="54">
        <v>2.4629048302713898</v>
      </c>
      <c r="I36" s="30"/>
      <c r="J36" s="53">
        <v>138054.437599647</v>
      </c>
      <c r="K36" s="54">
        <v>3.01449120961058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01" t="s">
        <v>41</v>
      </c>
      <c r="C37" s="134"/>
      <c r="D37" s="53">
        <v>192319.56393463901</v>
      </c>
      <c r="E37" s="54">
        <v>2.1223724207503998</v>
      </c>
      <c r="F37" s="56"/>
      <c r="G37" s="53">
        <v>125837.145588635</v>
      </c>
      <c r="H37" s="54">
        <v>2.8525909173747399</v>
      </c>
      <c r="I37" s="30"/>
      <c r="J37" s="53">
        <v>132600.63418886799</v>
      </c>
      <c r="K37" s="54">
        <v>2.9374061697631499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1" t="s">
        <v>152</v>
      </c>
      <c r="C38" s="134"/>
      <c r="D38" s="53">
        <v>107280.59289404</v>
      </c>
      <c r="E38" s="54">
        <v>1.30910112417066</v>
      </c>
      <c r="F38" s="56"/>
      <c r="G38" s="53">
        <v>71184.285603816606</v>
      </c>
      <c r="H38" s="54">
        <v>1.7966639044353501</v>
      </c>
      <c r="I38" s="30"/>
      <c r="J38" s="53">
        <v>81817.929250796893</v>
      </c>
      <c r="K38" s="54">
        <v>2.0190254264775001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42</v>
      </c>
      <c r="C39" s="134"/>
      <c r="D39" s="53">
        <v>101225.408670388</v>
      </c>
      <c r="E39" s="54">
        <v>1.23579987076195</v>
      </c>
      <c r="F39" s="56"/>
      <c r="G39" s="53">
        <v>86621.652508844098</v>
      </c>
      <c r="H39" s="54">
        <v>2.1129846216954302</v>
      </c>
      <c r="I39" s="30"/>
      <c r="J39" s="53">
        <v>53376.935436906999</v>
      </c>
      <c r="K39" s="54">
        <v>1.35148248102102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112</v>
      </c>
      <c r="C40" s="134"/>
      <c r="D40" s="53">
        <v>24397.529839836501</v>
      </c>
      <c r="E40" s="54">
        <v>0.31690003162644897</v>
      </c>
      <c r="F40" s="56"/>
      <c r="G40" s="53">
        <v>11653.708808787</v>
      </c>
      <c r="H40" s="54">
        <v>0.30594908719326502</v>
      </c>
      <c r="I40" s="30"/>
      <c r="J40" s="53">
        <v>21455.634830971601</v>
      </c>
      <c r="K40" s="54">
        <v>0.54895062088260305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85</v>
      </c>
      <c r="C41" s="134"/>
      <c r="D41" s="53">
        <v>34921.867083588302</v>
      </c>
      <c r="E41" s="54">
        <v>0.45214359684337402</v>
      </c>
      <c r="F41" s="56"/>
      <c r="G41" s="53">
        <v>19885.6285794541</v>
      </c>
      <c r="H41" s="54">
        <v>0.52234280398680699</v>
      </c>
      <c r="I41" s="30"/>
      <c r="J41" s="53">
        <v>29127.426268038202</v>
      </c>
      <c r="K41" s="54">
        <v>0.74494553275780695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43</v>
      </c>
      <c r="C42" s="134"/>
      <c r="D42" s="53">
        <v>68497.515115661401</v>
      </c>
      <c r="E42" s="54">
        <v>0.88349340911640795</v>
      </c>
      <c r="F42" s="56"/>
      <c r="G42" s="53">
        <v>63096.716741648401</v>
      </c>
      <c r="H42" s="54">
        <v>1.6264437547053301</v>
      </c>
      <c r="I42" s="30"/>
      <c r="J42" s="53">
        <v>26628.061495347301</v>
      </c>
      <c r="K42" s="54">
        <v>0.68473539595914101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6.95" customHeight="1">
      <c r="A43" s="30"/>
      <c r="B43" s="126"/>
      <c r="C43" s="126"/>
      <c r="D43" s="106"/>
      <c r="E43" s="106"/>
      <c r="F43" s="106"/>
      <c r="G43" s="106"/>
      <c r="H43" s="106"/>
      <c r="I43" s="106"/>
      <c r="J43" s="106"/>
      <c r="K43" s="106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28"/>
      <c r="C44" s="128"/>
      <c r="D44" s="9"/>
      <c r="E44" s="9"/>
      <c r="F44" s="9"/>
      <c r="G44" s="9"/>
      <c r="H44" s="9"/>
      <c r="I44" s="9"/>
      <c r="J44" s="9"/>
      <c r="K44" s="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2" customHeight="1">
      <c r="A45" s="30"/>
      <c r="B45" s="129" t="s">
        <v>79</v>
      </c>
      <c r="C45" s="129"/>
      <c r="D45" s="141"/>
      <c r="E45" s="141"/>
      <c r="F45" s="141"/>
      <c r="G45" s="141"/>
      <c r="H45" s="141"/>
      <c r="I45" s="141"/>
      <c r="J45" s="141"/>
      <c r="K45" s="141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2" customHeight="1">
      <c r="A46" s="30"/>
      <c r="B46" s="254" t="s">
        <v>102</v>
      </c>
      <c r="C46" s="254"/>
      <c r="D46" s="254"/>
      <c r="E46" s="254"/>
      <c r="F46" s="254"/>
      <c r="G46" s="254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</sheetData>
  <mergeCells count="6">
    <mergeCell ref="B46:G46"/>
    <mergeCell ref="B7:B9"/>
    <mergeCell ref="D7:E8"/>
    <mergeCell ref="G7:K7"/>
    <mergeCell ref="G8:H8"/>
    <mergeCell ref="J8:K8"/>
  </mergeCells>
  <hyperlinks>
    <hyperlink ref="H4" tooltip="CV:  19.55" display="Annex" xr:uid="{AAC20ED6-CF15-49ED-BD12-133D69F01E44}"/>
    <hyperlink ref="K5" tooltip="CV:  24.14" display="Annex" xr:uid="{559F0339-EA63-4F2B-A541-2B43627C5EBE}"/>
    <hyperlink ref="K1" location="Índice!A1" tooltip="Ir a ÍNDICE" display="INDICE" xr:uid="{E9BF9922-0C0D-4331-BF71-5E8378414CA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99C5-1DC6-4FE7-8621-16796D3ECD5F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109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5"/>
      <c r="G4" s="65"/>
      <c r="H4" s="219"/>
      <c r="I4" s="219"/>
      <c r="J4" s="21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153</v>
      </c>
      <c r="C5" s="67"/>
      <c r="D5" s="67"/>
      <c r="E5" s="67"/>
      <c r="F5" s="67"/>
      <c r="G5" s="67"/>
      <c r="H5" s="65"/>
      <c r="I5" s="65"/>
      <c r="J5" s="65"/>
      <c r="K5" s="112" t="s">
        <v>63</v>
      </c>
      <c r="L5" s="10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10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62" t="s">
        <v>155</v>
      </c>
      <c r="E7" s="262"/>
      <c r="F7" s="71"/>
      <c r="G7" s="257" t="s">
        <v>132</v>
      </c>
      <c r="H7" s="257"/>
      <c r="I7" s="257"/>
      <c r="J7" s="257"/>
      <c r="K7" s="257"/>
      <c r="L7" s="10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877496.43190880294</v>
      </c>
      <c r="E11" s="48">
        <v>0</v>
      </c>
      <c r="F11" s="49"/>
      <c r="G11" s="47">
        <v>653107.66731712595</v>
      </c>
      <c r="H11" s="48">
        <v>0</v>
      </c>
      <c r="I11" s="50"/>
      <c r="J11" s="47">
        <v>600238.80781875795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7" t="s">
        <v>44</v>
      </c>
      <c r="C13" s="118"/>
      <c r="D13" s="53">
        <v>393341.09807310998</v>
      </c>
      <c r="E13" s="54">
        <v>0.84118981569408402</v>
      </c>
      <c r="F13" s="56"/>
      <c r="G13" s="53">
        <v>284866.54817483999</v>
      </c>
      <c r="H13" s="54">
        <v>1.0475504675595599</v>
      </c>
      <c r="I13" s="30"/>
      <c r="J13" s="53">
        <v>242653.802935182</v>
      </c>
      <c r="K13" s="54">
        <v>1.18835453616933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45</v>
      </c>
      <c r="C14" s="134"/>
      <c r="D14" s="53">
        <v>50586.062923042002</v>
      </c>
      <c r="E14" s="54">
        <v>0.116912806773267</v>
      </c>
      <c r="F14" s="56"/>
      <c r="G14" s="53">
        <v>33540.054836634401</v>
      </c>
      <c r="H14" s="54">
        <v>0.13844083925609499</v>
      </c>
      <c r="I14" s="30"/>
      <c r="J14" s="53">
        <v>25790.439775234499</v>
      </c>
      <c r="K14" s="54">
        <v>0.135362786394186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95</v>
      </c>
      <c r="C15" s="134"/>
      <c r="D15" s="53">
        <v>127611.882060986</v>
      </c>
      <c r="E15" s="54">
        <v>0.294328315583119</v>
      </c>
      <c r="F15" s="56"/>
      <c r="G15" s="53">
        <v>89224.580416819299</v>
      </c>
      <c r="H15" s="54">
        <v>0.37165073110077002</v>
      </c>
      <c r="I15" s="30"/>
      <c r="J15" s="53">
        <v>68939.430737368806</v>
      </c>
      <c r="K15" s="54">
        <v>0.35707710160260597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113</v>
      </c>
      <c r="C16" s="134"/>
      <c r="D16" s="53">
        <v>140255.80177296599</v>
      </c>
      <c r="E16" s="54">
        <v>0.321353436640195</v>
      </c>
      <c r="F16" s="56"/>
      <c r="G16" s="53">
        <v>93884.798867913196</v>
      </c>
      <c r="H16" s="54">
        <v>0.38856941418174101</v>
      </c>
      <c r="I16" s="30"/>
      <c r="J16" s="53">
        <v>105439.773007517</v>
      </c>
      <c r="K16" s="54">
        <v>0.54325486839617299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46</v>
      </c>
      <c r="C17" s="134"/>
      <c r="D17" s="53">
        <v>236937.032625266</v>
      </c>
      <c r="E17" s="54">
        <v>0.52957462741914796</v>
      </c>
      <c r="F17" s="56"/>
      <c r="G17" s="53">
        <v>168444.34001661799</v>
      </c>
      <c r="H17" s="54">
        <v>0.68094986639230903</v>
      </c>
      <c r="I17" s="30"/>
      <c r="J17" s="53">
        <v>162329.96406944899</v>
      </c>
      <c r="K17" s="54">
        <v>0.79429836944937504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01" t="s">
        <v>47</v>
      </c>
      <c r="C18" s="134"/>
      <c r="D18" s="53">
        <v>447661.80836662301</v>
      </c>
      <c r="E18" s="54">
        <v>0.895691895750648</v>
      </c>
      <c r="F18" s="56"/>
      <c r="G18" s="53">
        <v>354916.43821703899</v>
      </c>
      <c r="H18" s="54">
        <v>1.2528128753776799</v>
      </c>
      <c r="I18" s="30"/>
      <c r="J18" s="53">
        <v>301619.00709628698</v>
      </c>
      <c r="K18" s="54">
        <v>1.2675704604176301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48</v>
      </c>
      <c r="C19" s="134"/>
      <c r="D19" s="53">
        <v>572558.50161487202</v>
      </c>
      <c r="E19" s="54">
        <v>0.99377889084333404</v>
      </c>
      <c r="F19" s="56"/>
      <c r="G19" s="53">
        <v>415095.62215649302</v>
      </c>
      <c r="H19" s="54">
        <v>1.31579084009584</v>
      </c>
      <c r="I19" s="30"/>
      <c r="J19" s="53">
        <v>362847.59247546102</v>
      </c>
      <c r="K19" s="54">
        <v>1.4921214328819701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85</v>
      </c>
      <c r="C20" s="134"/>
      <c r="D20" s="53">
        <v>88589.816662101497</v>
      </c>
      <c r="E20" s="54">
        <v>0.203775911564751</v>
      </c>
      <c r="F20" s="56"/>
      <c r="G20" s="53">
        <v>74495.142057362798</v>
      </c>
      <c r="H20" s="54">
        <v>0.30626361071260499</v>
      </c>
      <c r="I20" s="30"/>
      <c r="J20" s="53">
        <v>47117.0926397777</v>
      </c>
      <c r="K20" s="54">
        <v>0.24749480617605499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1" t="s">
        <v>43</v>
      </c>
      <c r="C21" s="134"/>
      <c r="D21" s="53">
        <v>73479.593541410199</v>
      </c>
      <c r="E21" s="54">
        <v>0.16924110748879501</v>
      </c>
      <c r="F21" s="56"/>
      <c r="G21" s="53">
        <v>43740.3189754821</v>
      </c>
      <c r="H21" s="54">
        <v>0.18095851640872701</v>
      </c>
      <c r="I21" s="30"/>
      <c r="J21" s="53">
        <v>53580.201342369801</v>
      </c>
      <c r="K21" s="54">
        <v>0.27842596969621097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215"/>
      <c r="C22" s="215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20" t="s">
        <v>7</v>
      </c>
      <c r="C23" s="221"/>
      <c r="D23" s="47">
        <v>825067.93980657402</v>
      </c>
      <c r="E23" s="48">
        <v>0</v>
      </c>
      <c r="F23" s="49"/>
      <c r="G23" s="47">
        <v>507314.51612556499</v>
      </c>
      <c r="H23" s="48">
        <v>0</v>
      </c>
      <c r="I23" s="50"/>
      <c r="J23" s="47">
        <v>488140.64953318198</v>
      </c>
      <c r="K23" s="48">
        <v>0</v>
      </c>
      <c r="L23" s="5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21"/>
      <c r="C24" s="221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7" t="s">
        <v>44</v>
      </c>
      <c r="C25" s="118"/>
      <c r="D25" s="53">
        <v>277300.74284798698</v>
      </c>
      <c r="E25" s="54">
        <v>1.34140747239729</v>
      </c>
      <c r="F25" s="56"/>
      <c r="G25" s="53">
        <v>186696.60122426</v>
      </c>
      <c r="H25" s="54">
        <v>1.52242183748389</v>
      </c>
      <c r="I25" s="30"/>
      <c r="J25" s="53">
        <v>162203.72273569001</v>
      </c>
      <c r="K25" s="54">
        <v>1.8262528668363101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45</v>
      </c>
      <c r="C26" s="134"/>
      <c r="D26" s="53">
        <v>49236.671032750601</v>
      </c>
      <c r="E26" s="54">
        <v>0.26296332831448299</v>
      </c>
      <c r="F26" s="56"/>
      <c r="G26" s="53">
        <v>31714.823667245</v>
      </c>
      <c r="H26" s="54">
        <v>0.30746607183712998</v>
      </c>
      <c r="I26" s="30"/>
      <c r="J26" s="53">
        <v>25320.7553955248</v>
      </c>
      <c r="K26" s="54">
        <v>0.29881600909810602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1" t="s">
        <v>95</v>
      </c>
      <c r="C27" s="134"/>
      <c r="D27" s="53">
        <v>114535.26279709701</v>
      </c>
      <c r="E27" s="54">
        <v>0.60106485824248002</v>
      </c>
      <c r="F27" s="56"/>
      <c r="G27" s="53">
        <v>81130.055848618795</v>
      </c>
      <c r="H27" s="54">
        <v>0.78480543009946901</v>
      </c>
      <c r="I27" s="30"/>
      <c r="J27" s="53">
        <v>54356.041577730801</v>
      </c>
      <c r="K27" s="54">
        <v>0.62740500171160396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30" customHeight="1">
      <c r="A28" s="30"/>
      <c r="B28" s="101" t="s">
        <v>113</v>
      </c>
      <c r="C28" s="134"/>
      <c r="D28" s="53">
        <v>87688.087608935806</v>
      </c>
      <c r="E28" s="54">
        <v>0.46468804753121701</v>
      </c>
      <c r="F28" s="56"/>
      <c r="G28" s="53">
        <v>55127.672671695604</v>
      </c>
      <c r="H28" s="54">
        <v>0.55432757008404698</v>
      </c>
      <c r="I28" s="30"/>
      <c r="J28" s="53">
        <v>67258.710545991897</v>
      </c>
      <c r="K28" s="54">
        <v>0.77784411960414002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1" t="s">
        <v>46</v>
      </c>
      <c r="C29" s="134"/>
      <c r="D29" s="53">
        <v>168171.71404455099</v>
      </c>
      <c r="E29" s="54">
        <v>0.82522900498638896</v>
      </c>
      <c r="F29" s="56"/>
      <c r="G29" s="53">
        <v>125462.610098138</v>
      </c>
      <c r="H29" s="54">
        <v>1.1465879904254701</v>
      </c>
      <c r="I29" s="30"/>
      <c r="J29" s="53">
        <v>100592.71514641101</v>
      </c>
      <c r="K29" s="54">
        <v>1.0697393018746999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47</v>
      </c>
      <c r="C30" s="134"/>
      <c r="D30" s="53">
        <v>281921.72867847502</v>
      </c>
      <c r="E30" s="54">
        <v>1.1706487692426999</v>
      </c>
      <c r="F30" s="56"/>
      <c r="G30" s="53">
        <v>177845.39611366499</v>
      </c>
      <c r="H30" s="54">
        <v>1.4952856291930801</v>
      </c>
      <c r="I30" s="30"/>
      <c r="J30" s="53">
        <v>196142.46369402501</v>
      </c>
      <c r="K30" s="54">
        <v>1.69578362231445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48</v>
      </c>
      <c r="C31" s="134"/>
      <c r="D31" s="53">
        <v>481855.87222896999</v>
      </c>
      <c r="E31" s="54">
        <v>1.52863017995377</v>
      </c>
      <c r="F31" s="56"/>
      <c r="G31" s="53">
        <v>307129.84970280802</v>
      </c>
      <c r="H31" s="54">
        <v>1.9071839192783699</v>
      </c>
      <c r="I31" s="30"/>
      <c r="J31" s="53">
        <v>289470.88272950402</v>
      </c>
      <c r="K31" s="54">
        <v>2.30178168138029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1" t="s">
        <v>85</v>
      </c>
      <c r="C32" s="134"/>
      <c r="D32" s="53">
        <v>60558.872967511903</v>
      </c>
      <c r="E32" s="54">
        <v>0.31325808627155999</v>
      </c>
      <c r="F32" s="56"/>
      <c r="G32" s="53">
        <v>45987.804992193298</v>
      </c>
      <c r="H32" s="54">
        <v>0.440786125956524</v>
      </c>
      <c r="I32" s="30"/>
      <c r="J32" s="53">
        <v>37791.8447963461</v>
      </c>
      <c r="K32" s="54">
        <v>0.44291523156846302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1" t="s">
        <v>43</v>
      </c>
      <c r="C33" s="134"/>
      <c r="D33" s="53">
        <v>51556.318321704202</v>
      </c>
      <c r="E33" s="54">
        <v>0.27351339392569002</v>
      </c>
      <c r="F33" s="56"/>
      <c r="G33" s="53">
        <v>33809.063843886601</v>
      </c>
      <c r="H33" s="54">
        <v>0.32919779940393201</v>
      </c>
      <c r="I33" s="30"/>
      <c r="J33" s="53">
        <v>29107.289686415101</v>
      </c>
      <c r="K33" s="54">
        <v>0.33508109236741201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22"/>
      <c r="C34" s="222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220" t="s">
        <v>8</v>
      </c>
      <c r="C35" s="221"/>
      <c r="D35" s="47">
        <v>797758.23140955204</v>
      </c>
      <c r="E35" s="48">
        <v>0</v>
      </c>
      <c r="F35" s="49"/>
      <c r="G35" s="47">
        <v>590585.910269627</v>
      </c>
      <c r="H35" s="48">
        <v>0</v>
      </c>
      <c r="I35" s="50"/>
      <c r="J35" s="47">
        <v>476402.85646764602</v>
      </c>
      <c r="K35" s="48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221"/>
      <c r="C36" s="221"/>
      <c r="D36" s="53"/>
      <c r="E36" s="54"/>
      <c r="F36" s="49"/>
      <c r="G36" s="53"/>
      <c r="H36" s="54"/>
      <c r="I36" s="50"/>
      <c r="J36" s="53"/>
      <c r="K36" s="54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17" t="s">
        <v>44</v>
      </c>
      <c r="C37" s="118"/>
      <c r="D37" s="53">
        <v>299778.18173600303</v>
      </c>
      <c r="E37" s="54">
        <v>1.0826033702029501</v>
      </c>
      <c r="F37" s="56"/>
      <c r="G37" s="53">
        <v>225051.14038833501</v>
      </c>
      <c r="H37" s="54">
        <v>1.4262588908317899</v>
      </c>
      <c r="I37" s="30"/>
      <c r="J37" s="53">
        <v>185627.16612161699</v>
      </c>
      <c r="K37" s="54">
        <v>1.5890846416126201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15" customHeight="1">
      <c r="A38" s="30"/>
      <c r="B38" s="101" t="s">
        <v>45</v>
      </c>
      <c r="C38" s="134"/>
      <c r="D38" s="53">
        <v>12266.117342772601</v>
      </c>
      <c r="E38" s="54">
        <v>5.03146488531988E-2</v>
      </c>
      <c r="F38" s="56"/>
      <c r="G38" s="53">
        <v>11281.745432334499</v>
      </c>
      <c r="H38" s="54">
        <v>8.1455085541259006E-2</v>
      </c>
      <c r="I38" s="30"/>
      <c r="J38" s="53">
        <v>4899.6050861268404</v>
      </c>
      <c r="K38" s="54">
        <v>4.64832679379268E-2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95</v>
      </c>
      <c r="C39" s="134"/>
      <c r="D39" s="53">
        <v>56430.503172115903</v>
      </c>
      <c r="E39" s="54">
        <v>0.230529752927532</v>
      </c>
      <c r="F39" s="56"/>
      <c r="G39" s="53">
        <v>37134.078533840802</v>
      </c>
      <c r="H39" s="54">
        <v>0.26963402067312903</v>
      </c>
      <c r="I39" s="30"/>
      <c r="J39" s="53">
        <v>42467.834449579903</v>
      </c>
      <c r="K39" s="54">
        <v>0.39819062956496798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113</v>
      </c>
      <c r="C40" s="134"/>
      <c r="D40" s="53">
        <v>110657.004742205</v>
      </c>
      <c r="E40" s="54">
        <v>0.44153532440232601</v>
      </c>
      <c r="F40" s="56"/>
      <c r="G40" s="53">
        <v>76151.143930818202</v>
      </c>
      <c r="H40" s="54">
        <v>0.53729376690151998</v>
      </c>
      <c r="I40" s="30"/>
      <c r="J40" s="53">
        <v>82141.922178861496</v>
      </c>
      <c r="K40" s="54">
        <v>0.75462083948959502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46</v>
      </c>
      <c r="C41" s="134"/>
      <c r="D41" s="53">
        <v>171514.29729741401</v>
      </c>
      <c r="E41" s="54">
        <v>0.67339672127607197</v>
      </c>
      <c r="F41" s="56"/>
      <c r="G41" s="53">
        <v>114702.298952745</v>
      </c>
      <c r="H41" s="54">
        <v>0.793657283962939</v>
      </c>
      <c r="I41" s="30"/>
      <c r="J41" s="53">
        <v>129119.786355736</v>
      </c>
      <c r="K41" s="54">
        <v>1.15438362269741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47</v>
      </c>
      <c r="C42" s="134"/>
      <c r="D42" s="53">
        <v>397814.92634166899</v>
      </c>
      <c r="E42" s="54">
        <v>1.2895933019930499</v>
      </c>
      <c r="F42" s="56"/>
      <c r="G42" s="53">
        <v>322681.20231614</v>
      </c>
      <c r="H42" s="54">
        <v>1.82104763797865</v>
      </c>
      <c r="I42" s="30"/>
      <c r="J42" s="53">
        <v>246658.00387169499</v>
      </c>
      <c r="K42" s="54">
        <v>1.8417798908709999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1" t="s">
        <v>48</v>
      </c>
      <c r="C43" s="134"/>
      <c r="D43" s="53">
        <v>452963.02068019903</v>
      </c>
      <c r="E43" s="54">
        <v>1.32113822948868</v>
      </c>
      <c r="F43" s="56"/>
      <c r="G43" s="53">
        <v>330903.359593614</v>
      </c>
      <c r="H43" s="54">
        <v>1.78514472212039</v>
      </c>
      <c r="I43" s="30"/>
      <c r="J43" s="53">
        <v>270498.18936616799</v>
      </c>
      <c r="K43" s="54">
        <v>2.0209035960627699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101" t="s">
        <v>85</v>
      </c>
      <c r="C44" s="134"/>
      <c r="D44" s="53">
        <v>64911.869935328097</v>
      </c>
      <c r="E44" s="54">
        <v>0.26333288877744498</v>
      </c>
      <c r="F44" s="56"/>
      <c r="G44" s="53">
        <v>58605.869860848099</v>
      </c>
      <c r="H44" s="54">
        <v>0.41595672329070099</v>
      </c>
      <c r="I44" s="30"/>
      <c r="J44" s="53">
        <v>28138.8856516083</v>
      </c>
      <c r="K44" s="54">
        <v>0.26729938256088298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01" t="s">
        <v>43</v>
      </c>
      <c r="C45" s="134"/>
      <c r="D45" s="53">
        <v>53218.414702575501</v>
      </c>
      <c r="E45" s="54">
        <v>0.21539598080605199</v>
      </c>
      <c r="F45" s="56"/>
      <c r="G45" s="53">
        <v>27751.805456166701</v>
      </c>
      <c r="H45" s="54">
        <v>0.20038363240422799</v>
      </c>
      <c r="I45" s="30"/>
      <c r="J45" s="53">
        <v>44984.4824689581</v>
      </c>
      <c r="K45" s="54">
        <v>0.42164988086355698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126"/>
      <c r="C46" s="126"/>
      <c r="D46" s="223"/>
      <c r="E46" s="223"/>
      <c r="F46" s="223"/>
      <c r="G46" s="223"/>
      <c r="H46" s="224"/>
      <c r="I46" s="224"/>
      <c r="J46" s="224"/>
      <c r="K46" s="22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28"/>
      <c r="C47" s="128"/>
      <c r="D47" s="225"/>
      <c r="E47" s="225"/>
      <c r="F47" s="225"/>
      <c r="G47" s="225"/>
      <c r="H47" s="226"/>
      <c r="I47" s="226"/>
      <c r="J47" s="226"/>
      <c r="K47" s="226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130" t="s">
        <v>167</v>
      </c>
      <c r="C48" s="130"/>
      <c r="D48" s="227"/>
      <c r="E48" s="227"/>
      <c r="F48" s="227"/>
      <c r="G48" s="227"/>
      <c r="H48" s="227"/>
      <c r="I48" s="227"/>
      <c r="J48" s="227"/>
      <c r="K48" s="227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F3982911-ED02-4020-ACCD-5D29AA505EC2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2025-03-11T17:31:21Z</dcterms:modified>
</cp:coreProperties>
</file>