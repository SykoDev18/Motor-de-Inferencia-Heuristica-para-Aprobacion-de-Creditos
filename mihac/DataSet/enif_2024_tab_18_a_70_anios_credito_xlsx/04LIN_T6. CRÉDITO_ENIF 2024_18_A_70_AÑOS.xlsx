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6\"/>
    </mc:Choice>
  </mc:AlternateContent>
  <xr:revisionPtr revIDLastSave="0" documentId="13_ncr:1_{93E5D737-8EC1-4B8F-BFE6-ECA46FCE0868}" xr6:coauthVersionLast="47" xr6:coauthVersionMax="47" xr10:uidLastSave="{00000000-0000-0000-0000-000000000000}"/>
  <bookViews>
    <workbookView xWindow="-120" yWindow="-120" windowWidth="29040" windowHeight="15840" tabRatio="921" xr2:uid="{00000000-000D-0000-FFFF-FFFF00000000}"/>
  </bookViews>
  <sheets>
    <sheet name="ÍNDICE" sheetId="39" r:id="rId1"/>
    <sheet name="Cuadro 6.1" sheetId="19" r:id="rId2"/>
    <sheet name="Cuadro 6.2" sheetId="41" r:id="rId3"/>
    <sheet name="Cuadro 6.3" sheetId="42" r:id="rId4"/>
    <sheet name="Cuadro 6.4" sheetId="43" r:id="rId5"/>
    <sheet name="Cuadro 6.5" sheetId="44" r:id="rId6"/>
    <sheet name="Cuadro 6.6" sheetId="45" r:id="rId7"/>
    <sheet name="Cuadro 6.7" sheetId="46" r:id="rId8"/>
    <sheet name="Cuadro 6.8" sheetId="47" r:id="rId9"/>
    <sheet name="Cuadro 6.9" sheetId="48" r:id="rId10"/>
    <sheet name="Cuadro 6.10" sheetId="49" r:id="rId11"/>
    <sheet name="Cuadro 6.11" sheetId="50" r:id="rId12"/>
    <sheet name="Cuadro 6.12" sheetId="51" r:id="rId13"/>
    <sheet name="Cuadro 6.13" sheetId="5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9" l="1"/>
</calcChain>
</file>

<file path=xl/sharedStrings.xml><?xml version="1.0" encoding="utf-8"?>
<sst xmlns="http://schemas.openxmlformats.org/spreadsheetml/2006/main" count="592" uniqueCount="169">
  <si>
    <t>Hombres</t>
  </si>
  <si>
    <t xml:space="preserve">Estados Unidos Mexicanos </t>
  </si>
  <si>
    <t>Con crédito</t>
  </si>
  <si>
    <t xml:space="preserve">Solo con crédito informal </t>
  </si>
  <si>
    <t xml:space="preserve">Solo con crédito formal </t>
  </si>
  <si>
    <t>Con crédito informal y formal</t>
  </si>
  <si>
    <t>Sin crédito</t>
  </si>
  <si>
    <t>1 a 14 999 habitantes</t>
  </si>
  <si>
    <t xml:space="preserve">15 000 y más habitantes </t>
  </si>
  <si>
    <r>
      <t>Sí tiene algún crédito informal</t>
    </r>
    <r>
      <rPr>
        <b/>
        <vertAlign val="superscript"/>
        <sz val="8"/>
        <color theme="1"/>
        <rFont val="Arial"/>
        <family val="2"/>
      </rPr>
      <t>1</t>
    </r>
  </si>
  <si>
    <t xml:space="preserve">Caja de ahorro del trabajo o de conocidos </t>
  </si>
  <si>
    <t xml:space="preserve">Casa de empeño </t>
  </si>
  <si>
    <t xml:space="preserve">De familiares </t>
  </si>
  <si>
    <t xml:space="preserve">Otro </t>
  </si>
  <si>
    <t>No tiene algún crédito informal</t>
  </si>
  <si>
    <t xml:space="preserve">Mujeres </t>
  </si>
  <si>
    <t>Estados Unidos Mexicanos</t>
  </si>
  <si>
    <r>
      <t xml:space="preserve">Sí tiene algún crédito formal </t>
    </r>
    <r>
      <rPr>
        <b/>
        <vertAlign val="superscript"/>
        <sz val="8"/>
        <rFont val="Arial"/>
        <family val="2"/>
      </rPr>
      <t>1</t>
    </r>
  </si>
  <si>
    <t xml:space="preserve">Tarjeta de crédito bancaria </t>
  </si>
  <si>
    <t xml:space="preserve">Crédito de nómina </t>
  </si>
  <si>
    <t xml:space="preserve">Crédito personal </t>
  </si>
  <si>
    <t xml:space="preserve">Crédito automotriz </t>
  </si>
  <si>
    <t xml:space="preserve">Crédito de vivienda (hipotecario) </t>
  </si>
  <si>
    <t xml:space="preserve">Crédito grupal </t>
  </si>
  <si>
    <t>Otro tipo</t>
  </si>
  <si>
    <t>No tiene algún crédito formal</t>
  </si>
  <si>
    <t>1 vez</t>
  </si>
  <si>
    <t>2 a 4 veces</t>
  </si>
  <si>
    <t>5 a 10 veces</t>
  </si>
  <si>
    <t>11 o más veces</t>
  </si>
  <si>
    <t>No la utiliza</t>
  </si>
  <si>
    <t>No tiene tarjeta de crédito</t>
  </si>
  <si>
    <t>Sí se atrasó</t>
  </si>
  <si>
    <t xml:space="preserve">No tiene deudas </t>
  </si>
  <si>
    <t>Tamaño de localidad, condición y medio de comparación utilizado en el último crédito adquirido</t>
  </si>
  <si>
    <t>Información proporcionada por el banco</t>
  </si>
  <si>
    <t>Recomendación de especialistas o analistas</t>
  </si>
  <si>
    <t>No comparó el último crédito adquirido</t>
  </si>
  <si>
    <r>
      <t>Sí comparó el último crédito adquirido</t>
    </r>
    <r>
      <rPr>
        <b/>
        <vertAlign val="superscript"/>
        <sz val="8"/>
        <rFont val="Arial"/>
        <family val="2"/>
      </rPr>
      <t>2</t>
    </r>
  </si>
  <si>
    <t xml:space="preserve">Le cobraban intereses muy altos </t>
  </si>
  <si>
    <t xml:space="preserve">No se quiere volver a endeudar </t>
  </si>
  <si>
    <t xml:space="preserve">Ya no lo necesita </t>
  </si>
  <si>
    <t xml:space="preserve">Ya no cumple con los requisitos </t>
  </si>
  <si>
    <t>Otra razón</t>
  </si>
  <si>
    <t xml:space="preserve">No cumple con los requisitos </t>
  </si>
  <si>
    <t xml:space="preserve">La sucursal le queda lejos o no hay </t>
  </si>
  <si>
    <t xml:space="preserve">Los intereses o comisiones son altas </t>
  </si>
  <si>
    <t xml:space="preserve">No le interesa o no lo necesita </t>
  </si>
  <si>
    <t>No le gusta endeudarse</t>
  </si>
  <si>
    <t xml:space="preserve">Personal promotor </t>
  </si>
  <si>
    <t>Otro sitio</t>
  </si>
  <si>
    <t xml:space="preserve">Cuadro 6.1  </t>
  </si>
  <si>
    <t xml:space="preserve">Cuadro 6.2  </t>
  </si>
  <si>
    <t>Cuadro 6.3</t>
  </si>
  <si>
    <t>Cuadro 6.4</t>
  </si>
  <si>
    <t>Cuadro 6.5</t>
  </si>
  <si>
    <t>Cuadro 6.6</t>
  </si>
  <si>
    <t>Cuadro 6.7</t>
  </si>
  <si>
    <t>Cuadro 6.8</t>
  </si>
  <si>
    <t>Cuadro 6.9</t>
  </si>
  <si>
    <t>Cuadro 6.10</t>
  </si>
  <si>
    <t>Cuadro 6.11</t>
  </si>
  <si>
    <t>Cuadro 6.12</t>
  </si>
  <si>
    <t>Cuadro 6.13</t>
  </si>
  <si>
    <t xml:space="preserve">De amistades o personas conocidas </t>
  </si>
  <si>
    <t>Recomendación de amistades o personas conocidas</t>
  </si>
  <si>
    <t>Tamaño de localidad y percepción de la capacidad de pago de sus deudas</t>
  </si>
  <si>
    <t>No puede pagar las deudas en el plazo requerido</t>
  </si>
  <si>
    <t>Puede pagar solo algunas deudas en el plazo requerido</t>
  </si>
  <si>
    <t>Mediante una aplicación de celular o página de internet de la institución financiera</t>
  </si>
  <si>
    <t>Relativos</t>
  </si>
  <si>
    <t>Población de 18 a 70 años por tamaño de localidad, condición y tipo de crédito informal  según sexo</t>
  </si>
  <si>
    <t>ÍNDICE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</si>
  <si>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crédito informal puede ser mayor al total porque una persona puede emplear más de un tipo. 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</si>
  <si>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crédito puede ser mayor al total porque una persona puede tener más de un tipo. 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</si>
  <si>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crédito de instituciones </t>
    </r>
    <r>
      <rPr>
        <sz val="8"/>
        <rFont val="Arial"/>
        <family val="2"/>
      </rPr>
      <t xml:space="preserve">reguladas </t>
    </r>
    <r>
      <rPr>
        <sz val="8"/>
        <color indexed="8"/>
        <rFont val="Arial"/>
        <family val="2"/>
      </rPr>
      <t>no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</si>
  <si>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Considera tarjetas de crédito de instituciones reguladas no bancarias y bancarias.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</si>
  <si>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En los casos en los que el informante declaró tener más de una tarjeta, se refiere a la que utiliza con mayor regularidad.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</si>
  <si>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créditos de instituciones</t>
    </r>
    <r>
      <rPr>
        <sz val="8"/>
        <rFont val="Arial"/>
        <family val="2"/>
      </rPr>
      <t xml:space="preserve"> reguladas n</t>
    </r>
    <r>
      <rPr>
        <sz val="8"/>
        <color indexed="8"/>
        <rFont val="Arial"/>
        <family val="2"/>
      </rPr>
      <t>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</si>
  <si>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Población que en el momento de la entrevista no tiene un crédito en instituciones reguladas no bancarias y bancarias, pero alguna vez lo tuvo.</t>
    </r>
  </si>
  <si>
    <t>Tamaño de localidad y razón de no tenencia</t>
  </si>
  <si>
    <t>No sabe</t>
  </si>
  <si>
    <t>Sí tiene tarjeta de crédito</t>
  </si>
  <si>
    <r>
      <t>Menos de una vez al mes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</si>
  <si>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La utiliza pocas veces al año.</t>
    </r>
  </si>
  <si>
    <t>No quería que le cobraran impuestos</t>
  </si>
  <si>
    <t>Crédito contratado por Internet o aplicación 
como Prestadero, Doopla o YoTePresto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</si>
  <si>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al atraso en el pago de tarjeta de crédito departamental, de tienda de autoservicio o bancaria, así como en crédito de nómina, personal, automotriz, de vivienda, grupal, comunal o solidario, crédito contratado por Internet o aplicación como Prestadero, Doopla o YoTePresto, correspondiente al último año.</t>
    </r>
  </si>
  <si>
    <t xml:space="preserve">Sí conoce el proceso de traspaso del saldo de su crédito a otro banco o institución financiera </t>
  </si>
  <si>
    <t xml:space="preserve">No conoce el proceso de traspaso del saldo de su crédito a otro banco o institución financiera </t>
  </si>
  <si>
    <t>Costo Anual Total (CAT)</t>
  </si>
  <si>
    <t>Tasa de interés</t>
  </si>
  <si>
    <t xml:space="preserve">Penalización por pagos tardíos 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</si>
  <si>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mayor que el total porque una persona pudo usar más de un medio para comparar. </t>
    </r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</si>
  <si>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de conocimiento del proceso de traspaso del crédito</t>
    </r>
    <r>
      <rPr>
        <b/>
        <vertAlign val="superscript"/>
        <sz val="9"/>
        <rFont val="Arial"/>
        <family val="2"/>
      </rPr>
      <t xml:space="preserve"> </t>
    </r>
    <r>
      <rPr>
        <b/>
        <sz val="9"/>
        <rFont val="Arial"/>
        <family val="2"/>
      </rPr>
      <t xml:space="preserve">según sexo </t>
    </r>
  </si>
  <si>
    <t xml:space="preserve">Cree que le van a rechazar </t>
  </si>
  <si>
    <t>No sabe o no responde si se atrasó</t>
  </si>
  <si>
    <t>No se atrasó</t>
  </si>
  <si>
    <t>Sí utilizó la información</t>
  </si>
  <si>
    <t>No utilizó la información</t>
  </si>
  <si>
    <t>No sabe si utilizó la información</t>
  </si>
  <si>
    <t>Tamaño de localidad, condición 
y tipo de crédito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</si>
  <si>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</si>
  <si>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Tamaño de localidad, condición y tipo 
de crédito informal</t>
  </si>
  <si>
    <t>Tamaño de localidad, condición de tenencia 
y tipo de crédito formal</t>
  </si>
  <si>
    <t>Tarjeta de crédito departamental 
o de tienda de autoservicio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</si>
  <si>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
de atraso en el pago de tarjeta o crédito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según sexo </t>
    </r>
  </si>
  <si>
    <r>
      <t xml:space="preserve">Comisiones </t>
    </r>
    <r>
      <rPr>
        <sz val="8"/>
        <rFont val="Arial"/>
        <family val="2"/>
      </rPr>
      <t>(por apertura, por disposición 
de efectivo, anualidad, entre otros)</t>
    </r>
  </si>
  <si>
    <t>Sí puede pagar las deudas en el plazo requerido</t>
  </si>
  <si>
    <t>Sucursal de la institución financiera</t>
  </si>
  <si>
    <t>Establecimiento comercial (Elektra, Coppel, 
Liverpool, entre otros)</t>
  </si>
  <si>
    <t>Sitios o página de instituciones como Condusef 
o Banco de México</t>
  </si>
  <si>
    <t>Prefiere otro tipo de préstamo (familiares 
o amistades)</t>
  </si>
  <si>
    <t xml:space="preserve">No confía en las instituciones financieras 
o le dan mal servicio </t>
  </si>
  <si>
    <t>Encuesta Nacional de Inclusión Financiera (ENIF) 2024</t>
  </si>
  <si>
    <t>TABULADOS BÁSICOS</t>
  </si>
  <si>
    <t>Nivel de confianza del 90%</t>
  </si>
  <si>
    <t>Tema</t>
  </si>
  <si>
    <t>ID Cuadro</t>
  </si>
  <si>
    <t>Título</t>
  </si>
  <si>
    <r>
      <t xml:space="preserve">Tema 6. 
</t>
    </r>
    <r>
      <rPr>
        <sz val="11"/>
        <color theme="10"/>
        <rFont val="Arial"/>
        <family val="2"/>
      </rPr>
      <t>Crédito</t>
    </r>
  </si>
  <si>
    <t>Cuadro 6.1</t>
  </si>
  <si>
    <t>Cuadro 6.2</t>
  </si>
  <si>
    <t>Población de 18 a 70 años exusuaria de crédito formal por tamaño de localidad y razón de no tenencia según sexo</t>
  </si>
  <si>
    <r>
      <t>Otro medio</t>
    </r>
    <r>
      <rPr>
        <vertAlign val="superscript"/>
        <sz val="8"/>
        <rFont val="Arial"/>
        <family val="2"/>
      </rPr>
      <t>3</t>
    </r>
  </si>
  <si>
    <t>Anuncios comerciales de bancos 
o instituciones financieras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</si>
  <si>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"recomendación de influencers o youtubers" y "comparadores privados (como Kardmatch, Rankia, Rastreator)".</t>
    </r>
  </si>
  <si>
    <t>Población de 18 a 70 años por tamaño de localidad, condición y tipo de crédito según sexo</t>
  </si>
  <si>
    <t>Población de 18 a 70 años por tamaño de localidad, condición y tipo de crédito informal según sexo</t>
  </si>
  <si>
    <t>Población de 18 a 70 años por tamaño de localidad, condición de tenencia y tipo de crédito formal según sexo</t>
  </si>
  <si>
    <t>Población de 18 a 70 años por tamaño de localidad, condición de usuario de crédito formal y tipo de no usuarios según sexo</t>
  </si>
  <si>
    <t>Población de 18 a 70 años</t>
  </si>
  <si>
    <t xml:space="preserve">Sexo </t>
  </si>
  <si>
    <t xml:space="preserve">Absolutos </t>
  </si>
  <si>
    <t>Población de 18 a 70 años que tiene algún crédito formal</t>
  </si>
  <si>
    <t>Tamaño de localidad y condición de atraso en el pago de tarjeta o crédito</t>
  </si>
  <si>
    <t xml:space="preserve">Población de 18 a 70 años que tiene algún crédito formal por tamaño de localidad y condición de atraso en el pago de tarjeta o crédito según sexo 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</si>
  <si>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localidad, y condición de uso del CAT, tasa de interés, penalización por pagos tardíos o comisiones antes de adquirir el último crédito según sexo</t>
    </r>
  </si>
  <si>
    <t>Tamaño de localidad y condición de uso 
del CAT, tasa de interés, penalización
por pagos tardíos o comisiones antes
de adquirir el último crédito</t>
  </si>
  <si>
    <t>Población de 18 a 70 años que tiene algún crédito formal por tamaño de localidad, y condición de uso del CAT, tasa de interés, penalización por pagos tardíos o comisiones antes de adquirir el último crédito según sexo</t>
  </si>
  <si>
    <t>Población de 18 a 70 años que tiene algún crédito formal por tamaño de localidad y percepción de la capacidad de pago de sus deudas según sexo</t>
  </si>
  <si>
    <t>Tamaño de localidad y sitio de apertura 
del crédito contratado</t>
  </si>
  <si>
    <t>Población de 18 a 70 años que tiene algún crédito formal por tamaño de localidad y sitio de apertura del último crédito contratado según sexo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</si>
  <si>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percepción
de la capacidad de pago de sus deudas según sexo</t>
    </r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</si>
  <si>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sitio de apertura
del último crédito contratado según sexo</t>
    </r>
  </si>
  <si>
    <r>
      <t>Población de 18 a 70 años por tamaño de localidad, condición de tenencia de tarjeta de crédito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frecuencia mensual de uso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según sexo</t>
    </r>
  </si>
  <si>
    <t>Población de 18 a 70 años por tamaño de localidad, condición de tenencia de tarjeta de crédito y frecuencia mensual de uso según sexo</t>
  </si>
  <si>
    <t>Tamaño de localidad, condición de tenencia de tarjeta de crédito y frecuencia
mensual de uso</t>
  </si>
  <si>
    <r>
      <t>Población de 18 a 70 años que tiene algún crédito formal</t>
    </r>
    <r>
      <rPr>
        <b/>
        <vertAlign val="superscript"/>
        <sz val="9"/>
        <rFont val="INEGI Institucional"/>
      </rPr>
      <t>1</t>
    </r>
    <r>
      <rPr>
        <b/>
        <sz val="9"/>
        <rFont val="INEGI Institucional"/>
      </rPr>
      <t>, por tamaño de localidad, condición y medio de comparación utilizado en el último crédito adquirido según sexo</t>
    </r>
  </si>
  <si>
    <t>Población de 18 a 70 años que tiene algún crédito formal, por tamaño de localidad, condición y medio de comparación utilizado en el último crédito adquirido según sexo</t>
  </si>
  <si>
    <t xml:space="preserve">Población de 18 a 70 años que tiene algún crédito formal por tamaño de localidad y condición de conocimiento del proceso de traspaso del crédito según sexo  </t>
  </si>
  <si>
    <t>Tamaño de localidad y condición de conocimiento del proceso de traspaso del crédito</t>
  </si>
  <si>
    <t xml:space="preserve">Tuvo una mala experiencia
con la institución financiera </t>
  </si>
  <si>
    <r>
      <t>Población de 18 a 70 años nunca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
y razón de no tenencia según sexo</t>
    </r>
  </si>
  <si>
    <t>Población de 18 a 70 años nunca usuaria de crédito formal por tamaño de localidad y razón de no tenencia según sexo</t>
  </si>
  <si>
    <t>Población de 18 a 70 años nunca usuaria de crédito formal</t>
  </si>
  <si>
    <t>No especificado</t>
  </si>
  <si>
    <t>Límite inferior.</t>
  </si>
  <si>
    <r>
      <t>Población de 18 a 70 años por tamaño de localidad, condición de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no usuaria según sexo</t>
    </r>
  </si>
  <si>
    <t>Tamaño de localidad, condición de usuaria de crédito formal y tipo de no usuaria</t>
  </si>
  <si>
    <t xml:space="preserve">Usuaria </t>
  </si>
  <si>
    <t>No usuaria</t>
  </si>
  <si>
    <t>Nunca usuaria</t>
  </si>
  <si>
    <t>Alguna vez usuaria</t>
  </si>
  <si>
    <t>Población de 18 a 70 años alguna vez usuaria de crédito formal</t>
  </si>
  <si>
    <r>
      <t>Población de 18 a 70 años alguna vez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razón de no tenencia según sexo</t>
    </r>
  </si>
  <si>
    <t>Marzo 2025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</si>
  <si>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población que nunca ha tenido créditos en instituciones reguladas no bancarias y bancarias.</t>
    </r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</si>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</sst>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##,###,###,##0"/>
    <numFmt numFmtId="166" formatCode="#,##0.0"/>
    <numFmt numFmtId="167" formatCode="_-* #,##0_-;\-* #,##0_-;_-* &quot;-&quot;??_-;_-@_-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INEGI Institucional"/>
    </font>
    <font>
      <b/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7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7"/>
      <color theme="1"/>
      <name val="Arial"/>
      <family val="2"/>
    </font>
    <font>
      <b/>
      <vertAlign val="superscript"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indexed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vertAlign val="superscript"/>
      <sz val="8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name val="INEGI Institucional"/>
    </font>
    <font>
      <sz val="9"/>
      <color rgb="FF00339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9"/>
      <color theme="1"/>
      <name val="Arial"/>
      <family val="2"/>
    </font>
    <font>
      <u/>
      <sz val="9"/>
      <color rgb="FF003399"/>
      <name val="Arial"/>
      <family val="2"/>
    </font>
    <font>
      <sz val="11"/>
      <color indexed="8"/>
      <name val="Calibri"/>
      <family val="2"/>
      <scheme val="minor"/>
    </font>
    <font>
      <vertAlign val="superscript"/>
      <sz val="8"/>
      <color indexed="8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9"/>
      <name val="INEGI Institucional"/>
    </font>
    <font>
      <b/>
      <sz val="8"/>
      <color indexed="8"/>
      <name val="Arial"/>
      <family val="2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8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36" fillId="0" borderId="0"/>
    <xf numFmtId="0" fontId="7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6" fillId="0" borderId="0"/>
    <xf numFmtId="0" fontId="1" fillId="0" borderId="0"/>
    <xf numFmtId="0" fontId="2" fillId="0" borderId="0" applyNumberFormat="0" applyFill="0" applyBorder="0" applyAlignment="0" applyProtection="0"/>
    <xf numFmtId="0" fontId="36" fillId="0" borderId="0"/>
  </cellStyleXfs>
  <cellXfs count="275">
    <xf numFmtId="0" fontId="0" fillId="0" borderId="0" xfId="0"/>
    <xf numFmtId="0" fontId="1" fillId="0" borderId="0" xfId="3"/>
    <xf numFmtId="0" fontId="0" fillId="0" borderId="0" xfId="0" applyAlignment="1">
      <alignment horizontal="left" vertical="center"/>
    </xf>
    <xf numFmtId="165" fontId="0" fillId="0" borderId="0" xfId="0" applyNumberFormat="1"/>
    <xf numFmtId="0" fontId="29" fillId="0" borderId="0" xfId="0" applyFont="1"/>
    <xf numFmtId="0" fontId="0" fillId="0" borderId="0" xfId="0" applyAlignment="1">
      <alignment horizontal="left" vertical="center" indent="1"/>
    </xf>
    <xf numFmtId="0" fontId="42" fillId="0" borderId="0" xfId="8" applyFont="1"/>
    <xf numFmtId="166" fontId="42" fillId="0" borderId="0" xfId="3" applyNumberFormat="1" applyFont="1"/>
    <xf numFmtId="166" fontId="48" fillId="0" borderId="0" xfId="3" applyNumberFormat="1" applyFont="1"/>
    <xf numFmtId="166" fontId="1" fillId="0" borderId="0" xfId="3" applyNumberFormat="1"/>
    <xf numFmtId="166" fontId="42" fillId="0" borderId="0" xfId="8" applyNumberFormat="1" applyFont="1"/>
    <xf numFmtId="166" fontId="45" fillId="0" borderId="0" xfId="8" applyNumberFormat="1" applyFont="1" applyAlignment="1">
      <alignment horizontal="center" vertical="center"/>
    </xf>
    <xf numFmtId="166" fontId="46" fillId="0" borderId="0" xfId="8" applyNumberFormat="1" applyFont="1" applyAlignment="1">
      <alignment vertical="center"/>
    </xf>
    <xf numFmtId="166" fontId="46" fillId="0" borderId="0" xfId="8" applyNumberFormat="1" applyFont="1" applyAlignment="1">
      <alignment horizontal="center" vertical="center"/>
    </xf>
    <xf numFmtId="166" fontId="47" fillId="0" borderId="0" xfId="8" applyNumberFormat="1" applyFont="1" applyAlignment="1">
      <alignment vertical="center"/>
    </xf>
    <xf numFmtId="166" fontId="32" fillId="0" borderId="0" xfId="8" applyNumberFormat="1" applyFont="1"/>
    <xf numFmtId="166" fontId="13" fillId="0" borderId="0" xfId="8" applyNumberFormat="1" applyFont="1"/>
    <xf numFmtId="166" fontId="48" fillId="0" borderId="0" xfId="8" quotePrefix="1" applyNumberFormat="1" applyFont="1"/>
    <xf numFmtId="166" fontId="43" fillId="0" borderId="0" xfId="8" quotePrefix="1" applyNumberFormat="1" applyFont="1"/>
    <xf numFmtId="166" fontId="47" fillId="5" borderId="5" xfId="8" applyNumberFormat="1" applyFont="1" applyFill="1" applyBorder="1" applyAlignment="1">
      <alignment horizontal="center" vertical="center"/>
    </xf>
    <xf numFmtId="166" fontId="47" fillId="5" borderId="6" xfId="8" applyNumberFormat="1" applyFont="1" applyFill="1" applyBorder="1" applyAlignment="1">
      <alignment horizontal="center" vertical="center"/>
    </xf>
    <xf numFmtId="166" fontId="51" fillId="0" borderId="9" xfId="1" applyNumberFormat="1" applyFont="1" applyBorder="1" applyAlignment="1" applyProtection="1">
      <alignment horizontal="center" vertical="center"/>
    </xf>
    <xf numFmtId="166" fontId="15" fillId="0" borderId="0" xfId="0" applyNumberFormat="1" applyFont="1" applyAlignment="1">
      <alignment horizontal="right" vertical="center" wrapText="1"/>
    </xf>
    <xf numFmtId="166" fontId="51" fillId="0" borderId="14" xfId="1" applyNumberFormat="1" applyFont="1" applyBorder="1" applyAlignment="1" applyProtection="1">
      <alignment horizontal="center" vertical="center"/>
    </xf>
    <xf numFmtId="166" fontId="51" fillId="0" borderId="16" xfId="1" applyNumberFormat="1" applyFont="1" applyBorder="1" applyAlignment="1" applyProtection="1">
      <alignment horizontal="center" vertical="center"/>
    </xf>
    <xf numFmtId="166" fontId="18" fillId="0" borderId="0" xfId="8" applyNumberFormat="1" applyFont="1"/>
    <xf numFmtId="166" fontId="18" fillId="0" borderId="0" xfId="8" applyNumberFormat="1" applyFont="1" applyAlignment="1">
      <alignment horizontal="left" vertical="center"/>
    </xf>
    <xf numFmtId="166" fontId="29" fillId="0" borderId="0" xfId="0" applyNumberFormat="1" applyFont="1"/>
    <xf numFmtId="166" fontId="29" fillId="0" borderId="0" xfId="0" applyNumberFormat="1" applyFont="1" applyAlignment="1">
      <alignment horizontal="left" vertical="center"/>
    </xf>
    <xf numFmtId="166" fontId="35" fillId="0" borderId="0" xfId="1" applyNumberFormat="1" applyFont="1" applyFill="1" applyAlignment="1">
      <alignment horizontal="right" vertical="center"/>
    </xf>
    <xf numFmtId="166" fontId="0" fillId="0" borderId="0" xfId="0" applyNumberFormat="1"/>
    <xf numFmtId="166" fontId="29" fillId="2" borderId="0" xfId="0" applyNumberFormat="1" applyFont="1" applyFill="1" applyAlignment="1">
      <alignment horizontal="left" vertical="center"/>
    </xf>
    <xf numFmtId="166" fontId="3" fillId="0" borderId="0" xfId="2" applyNumberFormat="1" applyFont="1" applyAlignment="1">
      <alignment horizontal="left"/>
    </xf>
    <xf numFmtId="166" fontId="4" fillId="2" borderId="0" xfId="2" applyNumberFormat="1" applyFont="1" applyFill="1"/>
    <xf numFmtId="166" fontId="30" fillId="2" borderId="0" xfId="2" applyNumberFormat="1" applyFont="1" applyFill="1" applyAlignment="1">
      <alignment horizontal="left" vertical="center"/>
    </xf>
    <xf numFmtId="166" fontId="32" fillId="2" borderId="0" xfId="2" applyNumberFormat="1" applyFont="1" applyFill="1" applyAlignment="1">
      <alignment horizontal="right"/>
    </xf>
    <xf numFmtId="166" fontId="7" fillId="2" borderId="0" xfId="2" applyNumberFormat="1" applyFont="1" applyFill="1"/>
    <xf numFmtId="166" fontId="2" fillId="2" borderId="0" xfId="1" applyNumberFormat="1" applyFill="1" applyAlignment="1">
      <alignment horizontal="center" vertical="center"/>
    </xf>
    <xf numFmtId="166" fontId="8" fillId="2" borderId="20" xfId="3" applyNumberFormat="1" applyFont="1" applyFill="1" applyBorder="1" applyAlignment="1">
      <alignment horizontal="left" vertical="center" wrapText="1"/>
    </xf>
    <xf numFmtId="166" fontId="15" fillId="0" borderId="20" xfId="0" applyNumberFormat="1" applyFont="1" applyBorder="1" applyAlignment="1">
      <alignment horizontal="right" vertical="center" wrapText="1"/>
    </xf>
    <xf numFmtId="166" fontId="8" fillId="2" borderId="0" xfId="3" applyNumberFormat="1" applyFont="1" applyFill="1" applyAlignment="1">
      <alignment horizontal="left" vertical="center" wrapText="1"/>
    </xf>
    <xf numFmtId="166" fontId="8" fillId="2" borderId="1" xfId="3" applyNumberFormat="1" applyFont="1" applyFill="1" applyBorder="1" applyAlignment="1">
      <alignment horizontal="left"/>
    </xf>
    <xf numFmtId="166" fontId="15" fillId="0" borderId="4" xfId="0" applyNumberFormat="1" applyFont="1" applyBorder="1" applyAlignment="1">
      <alignment horizontal="right" vertical="center" wrapText="1"/>
    </xf>
    <xf numFmtId="166" fontId="38" fillId="0" borderId="1" xfId="0" applyNumberFormat="1" applyFont="1" applyBorder="1" applyAlignment="1">
      <alignment horizontal="right"/>
    </xf>
    <xf numFmtId="166" fontId="8" fillId="2" borderId="0" xfId="2" applyNumberFormat="1" applyFont="1" applyFill="1" applyAlignment="1">
      <alignment horizontal="left"/>
    </xf>
    <xf numFmtId="166" fontId="38" fillId="0" borderId="0" xfId="0" applyNumberFormat="1" applyFont="1" applyAlignment="1">
      <alignment horizontal="right"/>
    </xf>
    <xf numFmtId="166" fontId="8" fillId="2" borderId="0" xfId="2" applyNumberFormat="1" applyFont="1" applyFill="1" applyAlignment="1">
      <alignment horizontal="left" vertical="center"/>
    </xf>
    <xf numFmtId="166" fontId="16" fillId="0" borderId="0" xfId="50" applyNumberFormat="1" applyFont="1" applyFill="1" applyAlignment="1">
      <alignment horizontal="right" vertical="center" readingOrder="1"/>
    </xf>
    <xf numFmtId="166" fontId="41" fillId="0" borderId="0" xfId="50" applyNumberFormat="1" applyFont="1" applyFill="1" applyAlignment="1" applyProtection="1">
      <alignment horizontal="right" vertical="center"/>
    </xf>
    <xf numFmtId="166" fontId="16" fillId="2" borderId="0" xfId="1" applyNumberFormat="1" applyFont="1" applyFill="1" applyAlignment="1">
      <alignment horizontal="right" vertical="center" readingOrder="1"/>
    </xf>
    <xf numFmtId="166" fontId="39" fillId="0" borderId="0" xfId="0" applyNumberFormat="1" applyFont="1"/>
    <xf numFmtId="166" fontId="8" fillId="2" borderId="2" xfId="0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2" applyNumberFormat="1" applyFont="1" applyFill="1" applyAlignment="1">
      <alignment horizontal="left" vertical="center" wrapText="1" indent="2"/>
    </xf>
    <xf numFmtId="166" fontId="18" fillId="0" borderId="0" xfId="50" applyNumberFormat="1" applyFont="1" applyFill="1" applyAlignment="1">
      <alignment horizontal="right" vertical="center" readingOrder="1"/>
    </xf>
    <xf numFmtId="166" fontId="22" fillId="0" borderId="0" xfId="50" applyNumberFormat="1" applyFont="1" applyFill="1" applyAlignment="1" applyProtection="1">
      <alignment horizontal="right" vertical="center"/>
    </xf>
    <xf numFmtId="166" fontId="5" fillId="2" borderId="0" xfId="2" applyNumberFormat="1" applyFont="1" applyFill="1" applyAlignment="1">
      <alignment horizontal="left" vertical="center" wrapText="1" indent="3"/>
    </xf>
    <xf numFmtId="166" fontId="18" fillId="2" borderId="0" xfId="1" applyNumberFormat="1" applyFont="1" applyFill="1" applyAlignment="1">
      <alignment horizontal="right" vertical="center" readingOrder="1"/>
    </xf>
    <xf numFmtId="166" fontId="5" fillId="2" borderId="0" xfId="2" applyNumberFormat="1" applyFont="1" applyFill="1" applyAlignment="1">
      <alignment horizontal="left" wrapText="1" indent="1"/>
    </xf>
    <xf numFmtId="166" fontId="8" fillId="0" borderId="0" xfId="3" applyNumberFormat="1" applyFont="1" applyAlignment="1" applyProtection="1">
      <alignment horizontal="right" wrapText="1" readingOrder="1"/>
      <protection locked="0"/>
    </xf>
    <xf numFmtId="166" fontId="8" fillId="2" borderId="0" xfId="2" applyNumberFormat="1" applyFont="1" applyFill="1" applyAlignment="1">
      <alignment horizontal="left" vertical="center" indent="1"/>
    </xf>
    <xf numFmtId="166" fontId="5" fillId="2" borderId="0" xfId="2" applyNumberFormat="1" applyFont="1" applyFill="1" applyAlignment="1">
      <alignment horizontal="left" vertical="center" wrapText="1" indent="2"/>
    </xf>
    <xf numFmtId="166" fontId="10" fillId="0" borderId="1" xfId="2" applyNumberFormat="1" applyFont="1" applyBorder="1"/>
    <xf numFmtId="166" fontId="11" fillId="0" borderId="1" xfId="2" applyNumberFormat="1" applyFont="1" applyBorder="1"/>
    <xf numFmtId="166" fontId="10" fillId="0" borderId="0" xfId="2" applyNumberFormat="1" applyFont="1"/>
    <xf numFmtId="166" fontId="11" fillId="0" borderId="0" xfId="2" applyNumberFormat="1" applyFont="1"/>
    <xf numFmtId="166" fontId="4" fillId="2" borderId="0" xfId="3" applyNumberFormat="1" applyFont="1" applyFill="1"/>
    <xf numFmtId="166" fontId="12" fillId="2" borderId="0" xfId="3" applyNumberFormat="1" applyFont="1" applyFill="1"/>
    <xf numFmtId="166" fontId="30" fillId="2" borderId="0" xfId="3" applyNumberFormat="1" applyFont="1" applyFill="1"/>
    <xf numFmtId="166" fontId="13" fillId="2" borderId="0" xfId="4" applyNumberFormat="1" applyFont="1" applyFill="1" applyAlignment="1">
      <alignment horizontal="left"/>
    </xf>
    <xf numFmtId="166" fontId="14" fillId="2" borderId="0" xfId="4" applyNumberFormat="1" applyFont="1" applyFill="1" applyAlignment="1">
      <alignment horizontal="right"/>
    </xf>
    <xf numFmtId="166" fontId="8" fillId="2" borderId="22" xfId="3" applyNumberFormat="1" applyFont="1" applyFill="1" applyBorder="1" applyAlignment="1">
      <alignment horizontal="left" vertical="center" wrapText="1"/>
    </xf>
    <xf numFmtId="166" fontId="15" fillId="0" borderId="22" xfId="0" applyNumberFormat="1" applyFont="1" applyBorder="1" applyAlignment="1">
      <alignment horizontal="right" vertical="center" wrapText="1"/>
    </xf>
    <xf numFmtId="166" fontId="15" fillId="2" borderId="0" xfId="3" applyNumberFormat="1" applyFont="1" applyFill="1" applyAlignment="1">
      <alignment horizontal="left"/>
    </xf>
    <xf numFmtId="166" fontId="15" fillId="2" borderId="0" xfId="3" applyNumberFormat="1" applyFont="1" applyFill="1" applyAlignment="1">
      <alignment horizontal="left" vertical="center"/>
    </xf>
    <xf numFmtId="166" fontId="15" fillId="0" borderId="0" xfId="3" applyNumberFormat="1" applyFont="1" applyAlignment="1">
      <alignment horizontal="left" vertical="center" indent="2"/>
    </xf>
    <xf numFmtId="166" fontId="15" fillId="0" borderId="0" xfId="3" applyNumberFormat="1" applyFont="1" applyAlignment="1">
      <alignment horizontal="left" vertical="center" indent="1"/>
    </xf>
    <xf numFmtId="166" fontId="17" fillId="2" borderId="0" xfId="3" applyNumberFormat="1" applyFont="1" applyFill="1" applyAlignment="1">
      <alignment horizontal="left" vertical="center" wrapText="1" indent="3"/>
    </xf>
    <xf numFmtId="166" fontId="17" fillId="2" borderId="0" xfId="3" applyNumberFormat="1" applyFont="1" applyFill="1" applyAlignment="1">
      <alignment horizontal="left" vertical="center" wrapText="1" indent="2"/>
    </xf>
    <xf numFmtId="166" fontId="5" fillId="0" borderId="0" xfId="0" applyNumberFormat="1" applyFont="1" applyAlignment="1">
      <alignment horizontal="right" vertical="center" wrapText="1"/>
    </xf>
    <xf numFmtId="166" fontId="17" fillId="0" borderId="0" xfId="0" applyNumberFormat="1" applyFont="1" applyAlignment="1">
      <alignment horizontal="right" vertical="center" wrapText="1"/>
    </xf>
    <xf numFmtId="166" fontId="15" fillId="2" borderId="0" xfId="3" applyNumberFormat="1" applyFont="1" applyFill="1" applyAlignment="1">
      <alignment horizontal="left" vertical="center" indent="1"/>
    </xf>
    <xf numFmtId="166" fontId="15" fillId="2" borderId="0" xfId="3" applyNumberFormat="1" applyFont="1" applyFill="1" applyAlignment="1">
      <alignment horizontal="left" indent="1"/>
    </xf>
    <xf numFmtId="166" fontId="18" fillId="0" borderId="0" xfId="1" applyNumberFormat="1" applyFont="1" applyFill="1" applyAlignment="1">
      <alignment horizontal="right"/>
    </xf>
    <xf numFmtId="166" fontId="8" fillId="2" borderId="0" xfId="12" applyNumberFormat="1" applyFont="1" applyFill="1" applyBorder="1" applyAlignment="1">
      <alignment horizontal="left" vertical="center" indent="1"/>
    </xf>
    <xf numFmtId="166" fontId="8" fillId="2" borderId="0" xfId="12" applyNumberFormat="1" applyFont="1" applyFill="1" applyBorder="1" applyAlignment="1">
      <alignment horizontal="left" vertical="center"/>
    </xf>
    <xf numFmtId="166" fontId="15" fillId="0" borderId="0" xfId="3" applyNumberFormat="1" applyFont="1"/>
    <xf numFmtId="166" fontId="8" fillId="2" borderId="0" xfId="12" applyNumberFormat="1" applyFont="1" applyFill="1" applyAlignment="1">
      <alignment horizontal="left" wrapText="1" indent="1"/>
    </xf>
    <xf numFmtId="166" fontId="8" fillId="2" borderId="1" xfId="12" applyNumberFormat="1" applyFont="1" applyFill="1" applyBorder="1" applyAlignment="1">
      <alignment horizontal="left" wrapText="1" indent="1"/>
    </xf>
    <xf numFmtId="166" fontId="15" fillId="0" borderId="1" xfId="0" applyNumberFormat="1" applyFont="1" applyBorder="1" applyAlignment="1">
      <alignment horizontal="right" vertical="center" wrapText="1"/>
    </xf>
    <xf numFmtId="166" fontId="8" fillId="0" borderId="1" xfId="0" applyNumberFormat="1" applyFont="1" applyBorder="1" applyAlignment="1">
      <alignment horizontal="right" vertical="center" wrapText="1"/>
    </xf>
    <xf numFmtId="166" fontId="8" fillId="2" borderId="21" xfId="12" applyNumberFormat="1" applyFont="1" applyFill="1" applyBorder="1" applyAlignment="1">
      <alignment horizontal="left" wrapText="1" indent="1"/>
    </xf>
    <xf numFmtId="166" fontId="8" fillId="2" borderId="0" xfId="12" applyNumberFormat="1" applyFont="1" applyFill="1" applyBorder="1" applyAlignment="1">
      <alignment horizontal="left" wrapText="1" indent="1"/>
    </xf>
    <xf numFmtId="166" fontId="22" fillId="0" borderId="0" xfId="3" applyNumberFormat="1" applyFont="1" applyAlignment="1">
      <alignment horizontal="left" vertical="center"/>
    </xf>
    <xf numFmtId="166" fontId="19" fillId="0" borderId="0" xfId="3" applyNumberFormat="1" applyFont="1" applyAlignment="1">
      <alignment vertical="center"/>
    </xf>
    <xf numFmtId="166" fontId="7" fillId="2" borderId="1" xfId="3" applyNumberFormat="1" applyFont="1" applyFill="1" applyBorder="1"/>
    <xf numFmtId="166" fontId="7" fillId="2" borderId="0" xfId="3" applyNumberFormat="1" applyFont="1" applyFill="1"/>
    <xf numFmtId="166" fontId="23" fillId="2" borderId="0" xfId="3" applyNumberFormat="1" applyFont="1" applyFill="1"/>
    <xf numFmtId="166" fontId="8" fillId="2" borderId="0" xfId="3" applyNumberFormat="1" applyFont="1" applyFill="1" applyAlignment="1">
      <alignment horizontal="left"/>
    </xf>
    <xf numFmtId="166" fontId="8" fillId="2" borderId="0" xfId="3" applyNumberFormat="1" applyFont="1" applyFill="1" applyAlignment="1">
      <alignment horizontal="left" vertical="center"/>
    </xf>
    <xf numFmtId="166" fontId="15" fillId="2" borderId="0" xfId="3" applyNumberFormat="1" applyFont="1" applyFill="1" applyAlignment="1">
      <alignment horizontal="left" vertical="center" indent="2"/>
    </xf>
    <xf numFmtId="166" fontId="5" fillId="2" borderId="0" xfId="3" applyNumberFormat="1" applyFont="1" applyFill="1" applyAlignment="1">
      <alignment horizontal="left" vertical="center" wrapText="1" indent="3"/>
    </xf>
    <xf numFmtId="166" fontId="5" fillId="2" borderId="0" xfId="3" applyNumberFormat="1" applyFont="1" applyFill="1" applyAlignment="1">
      <alignment horizontal="left" vertical="center" wrapText="1" indent="2"/>
    </xf>
    <xf numFmtId="166" fontId="16" fillId="0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14" applyNumberFormat="1" applyFont="1" applyFill="1" applyBorder="1" applyAlignment="1">
      <alignment horizontal="left" vertical="center" indent="1"/>
    </xf>
    <xf numFmtId="166" fontId="8" fillId="2" borderId="0" xfId="14" applyNumberFormat="1" applyFont="1" applyFill="1" applyBorder="1" applyAlignment="1">
      <alignment horizontal="left" vertical="center"/>
    </xf>
    <xf numFmtId="166" fontId="0" fillId="0" borderId="0" xfId="0" applyNumberFormat="1" applyAlignment="1">
      <alignment horizontal="left" vertical="center" indent="1"/>
    </xf>
    <xf numFmtId="166" fontId="1" fillId="0" borderId="1" xfId="3" applyNumberFormat="1" applyBorder="1"/>
    <xf numFmtId="166" fontId="0" fillId="0" borderId="1" xfId="0" applyNumberFormat="1" applyBorder="1"/>
    <xf numFmtId="166" fontId="22" fillId="0" borderId="0" xfId="3" applyNumberFormat="1" applyFont="1" applyAlignment="1">
      <alignment vertical="center"/>
    </xf>
    <xf numFmtId="166" fontId="33" fillId="0" borderId="0" xfId="0" applyNumberFormat="1" applyFont="1"/>
    <xf numFmtId="166" fontId="5" fillId="2" borderId="0" xfId="3" applyNumberFormat="1" applyFont="1" applyFill="1" applyAlignment="1">
      <alignment horizontal="right"/>
    </xf>
    <xf numFmtId="166" fontId="30" fillId="0" borderId="0" xfId="3" applyNumberFormat="1" applyFont="1" applyAlignment="1">
      <alignment vertical="center" wrapText="1"/>
    </xf>
    <xf numFmtId="166" fontId="32" fillId="2" borderId="0" xfId="3" applyNumberFormat="1" applyFont="1" applyFill="1" applyAlignment="1">
      <alignment horizontal="right"/>
    </xf>
    <xf numFmtId="166" fontId="6" fillId="0" borderId="0" xfId="0" applyNumberFormat="1" applyFont="1"/>
    <xf numFmtId="166" fontId="24" fillId="2" borderId="0" xfId="1" applyNumberFormat="1" applyFont="1" applyFill="1" applyAlignment="1">
      <alignment horizontal="right" vertical="center"/>
    </xf>
    <xf numFmtId="166" fontId="5" fillId="0" borderId="0" xfId="3" applyNumberFormat="1" applyFont="1" applyAlignment="1">
      <alignment horizontal="left" vertical="center" indent="2"/>
    </xf>
    <xf numFmtId="166" fontId="5" fillId="0" borderId="0" xfId="3" applyNumberFormat="1" applyFont="1" applyAlignment="1">
      <alignment horizontal="left" vertical="center" indent="1"/>
    </xf>
    <xf numFmtId="166" fontId="5" fillId="2" borderId="0" xfId="3" applyNumberFormat="1" applyFont="1" applyFill="1" applyAlignment="1">
      <alignment horizontal="left" vertical="center" indent="2"/>
    </xf>
    <xf numFmtId="166" fontId="5" fillId="2" borderId="0" xfId="3" applyNumberFormat="1" applyFont="1" applyFill="1" applyAlignment="1">
      <alignment horizontal="left" vertical="center" indent="1"/>
    </xf>
    <xf numFmtId="166" fontId="5" fillId="2" borderId="0" xfId="3" applyNumberFormat="1" applyFont="1" applyFill="1" applyAlignment="1">
      <alignment horizontal="left" wrapText="1"/>
    </xf>
    <xf numFmtId="166" fontId="8" fillId="2" borderId="0" xfId="3" applyNumberFormat="1" applyFont="1" applyFill="1" applyAlignment="1">
      <alignment horizontal="right"/>
    </xf>
    <xf numFmtId="166" fontId="8" fillId="2" borderId="0" xfId="26" applyNumberFormat="1" applyFont="1" applyFill="1" applyBorder="1" applyAlignment="1">
      <alignment horizontal="left" vertical="center" indent="1"/>
    </xf>
    <xf numFmtId="166" fontId="8" fillId="2" borderId="0" xfId="26" applyNumberFormat="1" applyFont="1" applyFill="1" applyBorder="1" applyAlignment="1">
      <alignment horizontal="left" vertical="center"/>
    </xf>
    <xf numFmtId="166" fontId="8" fillId="2" borderId="0" xfId="26" applyNumberFormat="1" applyFont="1" applyFill="1" applyBorder="1" applyAlignment="1">
      <alignment horizontal="left"/>
    </xf>
    <xf numFmtId="166" fontId="18" fillId="3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16" fillId="3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11" fillId="0" borderId="1" xfId="3" applyNumberFormat="1" applyFont="1" applyBorder="1"/>
    <xf numFmtId="166" fontId="5" fillId="2" borderId="1" xfId="3" applyNumberFormat="1" applyFont="1" applyFill="1" applyBorder="1" applyAlignment="1">
      <alignment horizontal="right"/>
    </xf>
    <xf numFmtId="166" fontId="11" fillId="0" borderId="0" xfId="3" applyNumberFormat="1" applyFont="1"/>
    <xf numFmtId="166" fontId="5" fillId="0" borderId="0" xfId="3" applyNumberFormat="1" applyFont="1" applyAlignment="1">
      <alignment horizontal="left" vertical="center"/>
    </xf>
    <xf numFmtId="166" fontId="5" fillId="2" borderId="0" xfId="3" applyNumberFormat="1" applyFont="1" applyFill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6" fontId="30" fillId="2" borderId="0" xfId="3" applyNumberFormat="1" applyFont="1" applyFill="1" applyAlignment="1">
      <alignment horizontal="left" vertical="center"/>
    </xf>
    <xf numFmtId="166" fontId="8" fillId="2" borderId="0" xfId="3" applyNumberFormat="1" applyFont="1" applyFill="1" applyAlignment="1">
      <alignment horizontal="left" vertical="center" wrapText="1" indent="2"/>
    </xf>
    <xf numFmtId="166" fontId="5" fillId="2" borderId="0" xfId="3" applyNumberFormat="1" applyFont="1" applyFill="1" applyAlignment="1">
      <alignment horizontal="left" vertical="center" wrapText="1" indent="1"/>
    </xf>
    <xf numFmtId="166" fontId="26" fillId="0" borderId="0" xfId="3" applyNumberFormat="1" applyFont="1"/>
    <xf numFmtId="166" fontId="8" fillId="2" borderId="0" xfId="17" applyNumberFormat="1" applyFont="1" applyFill="1" applyBorder="1" applyAlignment="1">
      <alignment horizontal="left" vertical="center" indent="1"/>
    </xf>
    <xf numFmtId="166" fontId="8" fillId="2" borderId="0" xfId="17" applyNumberFormat="1" applyFont="1" applyFill="1" applyBorder="1" applyAlignment="1">
      <alignment horizontal="left" vertical="center"/>
    </xf>
    <xf numFmtId="166" fontId="5" fillId="2" borderId="1" xfId="3" applyNumberFormat="1" applyFont="1" applyFill="1" applyBorder="1" applyAlignment="1">
      <alignment horizontal="left"/>
    </xf>
    <xf numFmtId="166" fontId="5" fillId="2" borderId="0" xfId="3" applyNumberFormat="1" applyFont="1" applyFill="1" applyAlignment="1">
      <alignment horizontal="left"/>
    </xf>
    <xf numFmtId="166" fontId="5" fillId="0" borderId="0" xfId="3" applyNumberFormat="1" applyFont="1"/>
    <xf numFmtId="166" fontId="10" fillId="0" borderId="0" xfId="3" applyNumberFormat="1" applyFont="1"/>
    <xf numFmtId="166" fontId="38" fillId="0" borderId="0" xfId="0" applyNumberFormat="1" applyFont="1"/>
    <xf numFmtId="166" fontId="21" fillId="2" borderId="0" xfId="3" applyNumberFormat="1" applyFont="1" applyFill="1"/>
    <xf numFmtId="166" fontId="34" fillId="2" borderId="0" xfId="3" applyNumberFormat="1" applyFont="1" applyFill="1" applyAlignment="1">
      <alignment vertical="center" wrapText="1"/>
    </xf>
    <xf numFmtId="166" fontId="34" fillId="2" borderId="0" xfId="3" applyNumberFormat="1" applyFont="1" applyFill="1" applyAlignment="1">
      <alignment horizontal="left" vertical="center" wrapText="1"/>
    </xf>
    <xf numFmtId="166" fontId="15" fillId="2" borderId="0" xfId="3" applyNumberFormat="1" applyFont="1" applyFill="1" applyAlignment="1">
      <alignment horizontal="center" vertical="center" wrapText="1"/>
    </xf>
    <xf numFmtId="166" fontId="17" fillId="2" borderId="0" xfId="3" applyNumberFormat="1" applyFont="1" applyFill="1" applyAlignment="1">
      <alignment horizontal="left" vertical="center" wrapText="1"/>
    </xf>
    <xf numFmtId="166" fontId="17" fillId="2" borderId="0" xfId="3" applyNumberFormat="1" applyFont="1" applyFill="1" applyAlignment="1">
      <alignment horizontal="left" vertical="center" wrapText="1" indent="1"/>
    </xf>
    <xf numFmtId="166" fontId="5" fillId="2" borderId="0" xfId="3" applyNumberFormat="1" applyFont="1" applyFill="1" applyAlignment="1">
      <alignment horizontal="left" wrapText="1" indent="2"/>
    </xf>
    <xf numFmtId="166" fontId="17" fillId="2" borderId="0" xfId="3" applyNumberFormat="1" applyFont="1" applyFill="1" applyAlignment="1">
      <alignment horizontal="left" wrapText="1" indent="1"/>
    </xf>
    <xf numFmtId="166" fontId="18" fillId="0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18" applyNumberFormat="1" applyFont="1" applyFill="1" applyBorder="1" applyAlignment="1">
      <alignment horizontal="left" vertical="center" indent="1"/>
    </xf>
    <xf numFmtId="166" fontId="8" fillId="2" borderId="0" xfId="18" applyNumberFormat="1" applyFont="1" applyFill="1" applyBorder="1" applyAlignment="1">
      <alignment horizontal="left" vertical="center"/>
    </xf>
    <xf numFmtId="166" fontId="8" fillId="2" borderId="0" xfId="18" applyNumberFormat="1" applyFont="1" applyFill="1" applyBorder="1" applyAlignment="1">
      <alignment horizontal="left"/>
    </xf>
    <xf numFmtId="166" fontId="15" fillId="2" borderId="1" xfId="3" applyNumberFormat="1" applyFont="1" applyFill="1" applyBorder="1" applyAlignment="1">
      <alignment horizontal="left"/>
    </xf>
    <xf numFmtId="166" fontId="17" fillId="2" borderId="1" xfId="3" applyNumberFormat="1" applyFont="1" applyFill="1" applyBorder="1" applyAlignment="1">
      <alignment horizontal="left"/>
    </xf>
    <xf numFmtId="166" fontId="1" fillId="2" borderId="1" xfId="3" applyNumberFormat="1" applyFill="1" applyBorder="1"/>
    <xf numFmtId="166" fontId="1" fillId="2" borderId="0" xfId="3" applyNumberFormat="1" applyFill="1"/>
    <xf numFmtId="166" fontId="17" fillId="0" borderId="0" xfId="3" applyNumberFormat="1" applyFont="1" applyAlignment="1">
      <alignment horizontal="left" vertical="center"/>
    </xf>
    <xf numFmtId="166" fontId="19" fillId="2" borderId="0" xfId="3" applyNumberFormat="1" applyFont="1" applyFill="1"/>
    <xf numFmtId="166" fontId="30" fillId="2" borderId="0" xfId="3" applyNumberFormat="1" applyFont="1" applyFill="1" applyAlignment="1">
      <alignment vertical="center" wrapText="1"/>
    </xf>
    <xf numFmtId="166" fontId="17" fillId="2" borderId="0" xfId="3" applyNumberFormat="1" applyFont="1" applyFill="1" applyAlignment="1">
      <alignment horizontal="left" wrapText="1"/>
    </xf>
    <xf numFmtId="166" fontId="8" fillId="2" borderId="0" xfId="19" applyNumberFormat="1" applyFont="1" applyFill="1" applyBorder="1" applyAlignment="1">
      <alignment horizontal="left" vertical="center" indent="1"/>
    </xf>
    <xf numFmtId="166" fontId="8" fillId="2" borderId="0" xfId="19" applyNumberFormat="1" applyFont="1" applyFill="1" applyBorder="1" applyAlignment="1">
      <alignment horizontal="left" vertical="center"/>
    </xf>
    <xf numFmtId="166" fontId="8" fillId="2" borderId="1" xfId="19" applyNumberFormat="1" applyFont="1" applyFill="1" applyBorder="1" applyAlignment="1">
      <alignment horizontal="left" vertical="center"/>
    </xf>
    <xf numFmtId="166" fontId="16" fillId="0" borderId="1" xfId="1" applyNumberFormat="1" applyFont="1" applyBorder="1" applyAlignment="1" applyProtection="1">
      <alignment horizontal="right" vertical="center" wrapText="1" readingOrder="1"/>
      <protection locked="0"/>
    </xf>
    <xf numFmtId="166" fontId="18" fillId="0" borderId="1" xfId="1" applyNumberFormat="1" applyFont="1" applyBorder="1" applyAlignment="1" applyProtection="1">
      <alignment horizontal="right" vertical="center" wrapText="1" readingOrder="1"/>
      <protection locked="0"/>
    </xf>
    <xf numFmtId="166" fontId="30" fillId="0" borderId="0" xfId="2" applyNumberFormat="1" applyFont="1" applyAlignment="1">
      <alignment vertical="center" wrapText="1"/>
    </xf>
    <xf numFmtId="166" fontId="16" fillId="0" borderId="0" xfId="1" applyNumberFormat="1" applyFont="1" applyFill="1" applyAlignment="1">
      <alignment horizontal="right" vertical="center" readingOrder="1"/>
    </xf>
    <xf numFmtId="166" fontId="8" fillId="0" borderId="2" xfId="0" applyNumberFormat="1" applyFont="1" applyBorder="1" applyAlignment="1" applyProtection="1">
      <alignment horizontal="right" vertical="center" wrapText="1" readingOrder="1"/>
      <protection locked="0"/>
    </xf>
    <xf numFmtId="166" fontId="8" fillId="2" borderId="0" xfId="2" applyNumberFormat="1" applyFont="1" applyFill="1" applyAlignment="1">
      <alignment horizontal="left" vertical="center" wrapText="1" indent="1"/>
    </xf>
    <xf numFmtId="166" fontId="5" fillId="2" borderId="0" xfId="2" applyNumberFormat="1" applyFont="1" applyFill="1" applyAlignment="1">
      <alignment horizontal="left" vertical="center" indent="3"/>
    </xf>
    <xf numFmtId="166" fontId="18" fillId="0" borderId="0" xfId="1" applyNumberFormat="1" applyFont="1" applyFill="1" applyAlignment="1">
      <alignment horizontal="right" vertical="center" readingOrder="1"/>
    </xf>
    <xf numFmtId="166" fontId="5" fillId="2" borderId="0" xfId="2" applyNumberFormat="1" applyFont="1" applyFill="1" applyAlignment="1">
      <alignment horizontal="left" vertical="center" wrapText="1" indent="1"/>
    </xf>
    <xf numFmtId="166" fontId="8" fillId="2" borderId="0" xfId="20" applyNumberFormat="1" applyFont="1" applyFill="1" applyBorder="1" applyAlignment="1">
      <alignment horizontal="left" vertical="center" indent="1"/>
    </xf>
    <xf numFmtId="166" fontId="8" fillId="2" borderId="0" xfId="20" applyNumberFormat="1" applyFont="1" applyFill="1" applyBorder="1" applyAlignment="1">
      <alignment horizontal="left" vertical="center"/>
    </xf>
    <xf numFmtId="166" fontId="10" fillId="2" borderId="1" xfId="2" applyNumberFormat="1" applyFont="1" applyFill="1" applyBorder="1"/>
    <xf numFmtId="166" fontId="11" fillId="2" borderId="1" xfId="2" applyNumberFormat="1" applyFont="1" applyFill="1" applyBorder="1"/>
    <xf numFmtId="166" fontId="10" fillId="2" borderId="0" xfId="2" applyNumberFormat="1" applyFont="1" applyFill="1"/>
    <xf numFmtId="166" fontId="11" fillId="2" borderId="0" xfId="2" applyNumberFormat="1" applyFont="1" applyFill="1"/>
    <xf numFmtId="166" fontId="5" fillId="2" borderId="0" xfId="2" applyNumberFormat="1" applyFont="1" applyFill="1" applyAlignment="1">
      <alignment horizontal="left" vertical="center"/>
    </xf>
    <xf numFmtId="166" fontId="11" fillId="2" borderId="0" xfId="2" applyNumberFormat="1" applyFont="1" applyFill="1" applyAlignment="1">
      <alignment horizontal="right"/>
    </xf>
    <xf numFmtId="166" fontId="28" fillId="2" borderId="0" xfId="3" applyNumberFormat="1" applyFont="1" applyFill="1" applyAlignment="1">
      <alignment horizontal="left"/>
    </xf>
    <xf numFmtId="166" fontId="3" fillId="2" borderId="0" xfId="3" applyNumberFormat="1" applyFont="1" applyFill="1" applyAlignment="1">
      <alignment vertical="center" wrapText="1"/>
    </xf>
    <xf numFmtId="166" fontId="8" fillId="2" borderId="0" xfId="3" applyNumberFormat="1" applyFont="1" applyFill="1" applyAlignment="1">
      <alignment horizontal="left" vertical="center" wrapText="1" indent="1"/>
    </xf>
    <xf numFmtId="166" fontId="5" fillId="0" borderId="0" xfId="3" applyNumberFormat="1" applyFont="1" applyAlignment="1">
      <alignment horizontal="left" vertical="center" indent="3"/>
    </xf>
    <xf numFmtId="166" fontId="5" fillId="0" borderId="0" xfId="3" applyNumberFormat="1" applyFont="1" applyAlignment="1">
      <alignment horizontal="left" vertical="center" wrapText="1" indent="3"/>
    </xf>
    <xf numFmtId="166" fontId="8" fillId="0" borderId="0" xfId="0" applyNumberFormat="1" applyFont="1" applyAlignment="1">
      <alignment horizontal="right" vertical="center" wrapText="1"/>
    </xf>
    <xf numFmtId="166" fontId="8" fillId="2" borderId="0" xfId="21" applyNumberFormat="1" applyFont="1" applyFill="1" applyBorder="1" applyAlignment="1">
      <alignment horizontal="left" vertical="center" indent="1"/>
    </xf>
    <xf numFmtId="166" fontId="8" fillId="2" borderId="0" xfId="21" applyNumberFormat="1" applyFont="1" applyFill="1" applyBorder="1" applyAlignment="1">
      <alignment horizontal="left" vertical="center"/>
    </xf>
    <xf numFmtId="166" fontId="16" fillId="0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0" fillId="0" borderId="1" xfId="3" applyNumberFormat="1" applyFont="1" applyBorder="1"/>
    <xf numFmtId="166" fontId="5" fillId="0" borderId="0" xfId="6" applyNumberFormat="1" applyFont="1" applyAlignment="1">
      <alignment horizontal="left" vertical="center"/>
    </xf>
    <xf numFmtId="166" fontId="5" fillId="0" borderId="0" xfId="3" applyNumberFormat="1" applyFont="1" applyAlignment="1">
      <alignment horizontal="left" vertical="center" wrapText="1" indent="2"/>
    </xf>
    <xf numFmtId="166" fontId="18" fillId="0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22" applyNumberFormat="1" applyFont="1" applyFill="1" applyBorder="1" applyAlignment="1">
      <alignment horizontal="left" vertical="center" indent="1"/>
    </xf>
    <xf numFmtId="166" fontId="8" fillId="2" borderId="0" xfId="22" applyNumberFormat="1" applyFont="1" applyFill="1" applyBorder="1" applyAlignment="1">
      <alignment horizontal="left" vertical="center"/>
    </xf>
    <xf numFmtId="166" fontId="8" fillId="2" borderId="0" xfId="22" applyNumberFormat="1" applyFont="1" applyFill="1" applyBorder="1" applyAlignment="1">
      <alignment horizontal="left"/>
    </xf>
    <xf numFmtId="166" fontId="17" fillId="2" borderId="0" xfId="3" applyNumberFormat="1" applyFont="1" applyFill="1" applyAlignment="1">
      <alignment horizontal="right"/>
    </xf>
    <xf numFmtId="166" fontId="27" fillId="2" borderId="0" xfId="3" applyNumberFormat="1" applyFont="1" applyFill="1" applyAlignment="1">
      <alignment vertical="center"/>
    </xf>
    <xf numFmtId="166" fontId="17" fillId="2" borderId="0" xfId="3" applyNumberFormat="1" applyFont="1" applyFill="1" applyAlignment="1">
      <alignment horizontal="left" wrapText="1" indent="2"/>
    </xf>
    <xf numFmtId="166" fontId="17" fillId="0" borderId="0" xfId="3" applyNumberFormat="1" applyFont="1" applyAlignment="1">
      <alignment horizontal="left" wrapText="1" indent="2"/>
    </xf>
    <xf numFmtId="166" fontId="17" fillId="0" borderId="0" xfId="5" applyNumberFormat="1" applyFont="1"/>
    <xf numFmtId="166" fontId="8" fillId="2" borderId="0" xfId="23" applyNumberFormat="1" applyFont="1" applyFill="1" applyBorder="1" applyAlignment="1">
      <alignment horizontal="left" vertical="center"/>
    </xf>
    <xf numFmtId="166" fontId="8" fillId="2" borderId="0" xfId="23" applyNumberFormat="1" applyFont="1" applyFill="1" applyBorder="1" applyAlignment="1">
      <alignment horizontal="left"/>
    </xf>
    <xf numFmtId="166" fontId="18" fillId="3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6" fillId="3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7" fillId="2" borderId="1" xfId="3" applyNumberFormat="1" applyFont="1" applyFill="1" applyBorder="1" applyAlignment="1">
      <alignment horizontal="left" wrapText="1"/>
    </xf>
    <xf numFmtId="166" fontId="22" fillId="2" borderId="3" xfId="5" applyNumberFormat="1" applyFont="1" applyFill="1" applyBorder="1" applyAlignment="1" applyProtection="1">
      <alignment horizontal="right" wrapText="1" readingOrder="1"/>
      <protection locked="0"/>
    </xf>
    <xf numFmtId="166" fontId="22" fillId="2" borderId="0" xfId="5" applyNumberFormat="1" applyFont="1" applyFill="1" applyAlignment="1" applyProtection="1">
      <alignment horizontal="right" wrapText="1" readingOrder="1"/>
      <protection locked="0"/>
    </xf>
    <xf numFmtId="166" fontId="19" fillId="2" borderId="0" xfId="3" applyNumberFormat="1" applyFont="1" applyFill="1" applyAlignment="1">
      <alignment horizontal="left"/>
    </xf>
    <xf numFmtId="166" fontId="4" fillId="0" borderId="0" xfId="3" applyNumberFormat="1" applyFont="1"/>
    <xf numFmtId="166" fontId="30" fillId="0" borderId="0" xfId="3" applyNumberFormat="1" applyFont="1" applyAlignment="1">
      <alignment wrapText="1"/>
    </xf>
    <xf numFmtId="166" fontId="4" fillId="0" borderId="0" xfId="3" applyNumberFormat="1" applyFont="1" applyAlignment="1">
      <alignment wrapText="1"/>
    </xf>
    <xf numFmtId="166" fontId="5" fillId="2" borderId="0" xfId="3" applyNumberFormat="1" applyFont="1" applyFill="1" applyAlignment="1">
      <alignment horizontal="left" wrapText="1" indent="1"/>
    </xf>
    <xf numFmtId="166" fontId="8" fillId="2" borderId="0" xfId="24" applyNumberFormat="1" applyFont="1" applyFill="1" applyBorder="1" applyAlignment="1">
      <alignment horizontal="left" vertical="center" indent="1"/>
    </xf>
    <xf numFmtId="166" fontId="8" fillId="2" borderId="0" xfId="24" applyNumberFormat="1" applyFont="1" applyFill="1" applyBorder="1" applyAlignment="1">
      <alignment horizontal="left" vertical="center"/>
    </xf>
    <xf numFmtId="166" fontId="8" fillId="2" borderId="0" xfId="24" applyNumberFormat="1" applyFont="1" applyFill="1" applyBorder="1" applyAlignment="1">
      <alignment horizontal="left"/>
    </xf>
    <xf numFmtId="166" fontId="11" fillId="2" borderId="0" xfId="3" applyNumberFormat="1" applyFont="1" applyFill="1"/>
    <xf numFmtId="166" fontId="8" fillId="2" borderId="0" xfId="25" applyNumberFormat="1" applyFont="1" applyFill="1" applyBorder="1" applyAlignment="1">
      <alignment horizontal="left" vertical="center" indent="1"/>
    </xf>
    <xf numFmtId="166" fontId="8" fillId="2" borderId="0" xfId="25" applyNumberFormat="1" applyFont="1" applyFill="1" applyBorder="1" applyAlignment="1">
      <alignment horizontal="left" vertical="center"/>
    </xf>
    <xf numFmtId="166" fontId="8" fillId="2" borderId="0" xfId="25" applyNumberFormat="1" applyFont="1" applyFill="1" applyBorder="1" applyAlignment="1">
      <alignment horizontal="left"/>
    </xf>
    <xf numFmtId="166" fontId="15" fillId="2" borderId="1" xfId="3" applyNumberFormat="1" applyFont="1" applyFill="1" applyBorder="1" applyAlignment="1">
      <alignment horizontal="right" wrapText="1"/>
    </xf>
    <xf numFmtId="166" fontId="17" fillId="2" borderId="1" xfId="3" applyNumberFormat="1" applyFont="1" applyFill="1" applyBorder="1" applyAlignment="1">
      <alignment horizontal="right" wrapText="1"/>
    </xf>
    <xf numFmtId="166" fontId="15" fillId="2" borderId="0" xfId="3" applyNumberFormat="1" applyFont="1" applyFill="1" applyAlignment="1">
      <alignment horizontal="right" wrapText="1"/>
    </xf>
    <xf numFmtId="166" fontId="17" fillId="2" borderId="0" xfId="3" applyNumberFormat="1" applyFont="1" applyFill="1" applyAlignment="1">
      <alignment horizontal="right" wrapText="1"/>
    </xf>
    <xf numFmtId="166" fontId="10" fillId="2" borderId="0" xfId="3" applyNumberFormat="1" applyFont="1" applyFill="1"/>
    <xf numFmtId="0" fontId="30" fillId="2" borderId="0" xfId="3" applyFont="1" applyFill="1"/>
    <xf numFmtId="167" fontId="8" fillId="2" borderId="0" xfId="23" applyNumberFormat="1" applyFont="1" applyFill="1" applyBorder="1" applyAlignment="1">
      <alignment horizontal="left" vertical="center" indent="1"/>
    </xf>
    <xf numFmtId="167" fontId="8" fillId="2" borderId="0" xfId="23" applyNumberFormat="1" applyFont="1" applyFill="1" applyBorder="1" applyAlignment="1">
      <alignment horizontal="left" vertical="center"/>
    </xf>
    <xf numFmtId="167" fontId="8" fillId="2" borderId="0" xfId="23" applyNumberFormat="1" applyFont="1" applyFill="1" applyBorder="1" applyAlignment="1">
      <alignment horizontal="left"/>
    </xf>
    <xf numFmtId="0" fontId="5" fillId="2" borderId="0" xfId="5" applyFont="1" applyFill="1" applyAlignment="1">
      <alignment horizontal="left" vertical="center" wrapText="1" indent="2"/>
    </xf>
    <xf numFmtId="0" fontId="5" fillId="2" borderId="0" xfId="5" applyFont="1" applyFill="1" applyAlignment="1">
      <alignment horizontal="left" vertical="center" wrapText="1" indent="3"/>
    </xf>
    <xf numFmtId="0" fontId="5" fillId="2" borderId="0" xfId="3" applyFont="1" applyFill="1" applyAlignment="1">
      <alignment horizontal="left" wrapText="1"/>
    </xf>
    <xf numFmtId="166" fontId="5" fillId="2" borderId="1" xfId="3" applyNumberFormat="1" applyFont="1" applyFill="1" applyBorder="1" applyAlignment="1">
      <alignment horizontal="left" wrapText="1"/>
    </xf>
    <xf numFmtId="166" fontId="47" fillId="5" borderId="6" xfId="8" applyNumberFormat="1" applyFont="1" applyFill="1" applyBorder="1" applyAlignment="1">
      <alignment horizontal="center" vertical="center"/>
    </xf>
    <xf numFmtId="166" fontId="47" fillId="5" borderId="7" xfId="8" applyNumberFormat="1" applyFont="1" applyFill="1" applyBorder="1" applyAlignment="1">
      <alignment horizontal="center" vertical="center"/>
    </xf>
    <xf numFmtId="166" fontId="44" fillId="0" borderId="0" xfId="3" applyNumberFormat="1" applyFont="1" applyAlignment="1">
      <alignment horizontal="center" vertical="center"/>
    </xf>
    <xf numFmtId="166" fontId="45" fillId="0" borderId="0" xfId="3" applyNumberFormat="1" applyFont="1" applyAlignment="1">
      <alignment horizontal="center" vertical="center"/>
    </xf>
    <xf numFmtId="166" fontId="53" fillId="4" borderId="0" xfId="51" applyNumberFormat="1" applyFont="1" applyFill="1" applyAlignment="1">
      <alignment horizontal="center" vertical="center"/>
    </xf>
    <xf numFmtId="166" fontId="48" fillId="0" borderId="0" xfId="51" applyNumberFormat="1" applyFont="1" applyAlignment="1">
      <alignment horizontal="center" vertical="center"/>
    </xf>
    <xf numFmtId="166" fontId="48" fillId="0" borderId="0" xfId="8" applyNumberFormat="1" applyFont="1" applyAlignment="1">
      <alignment horizontal="right"/>
    </xf>
    <xf numFmtId="166" fontId="42" fillId="0" borderId="10" xfId="8" applyNumberFormat="1" applyFont="1" applyBorder="1" applyAlignment="1">
      <alignment horizontal="left" vertical="center" wrapText="1" indent="1"/>
    </xf>
    <xf numFmtId="166" fontId="42" fillId="0" borderId="11" xfId="8" applyNumberFormat="1" applyFont="1" applyBorder="1" applyAlignment="1">
      <alignment horizontal="left" vertical="center" wrapText="1" indent="1"/>
    </xf>
    <xf numFmtId="166" fontId="42" fillId="0" borderId="12" xfId="8" applyNumberFormat="1" applyFont="1" applyBorder="1" applyAlignment="1">
      <alignment horizontal="left" vertical="center" wrapText="1" indent="1"/>
    </xf>
    <xf numFmtId="166" fontId="42" fillId="0" borderId="17" xfId="8" applyNumberFormat="1" applyFont="1" applyBorder="1" applyAlignment="1">
      <alignment horizontal="left" vertical="center" wrapText="1" indent="1"/>
    </xf>
    <xf numFmtId="166" fontId="42" fillId="0" borderId="18" xfId="8" applyNumberFormat="1" applyFont="1" applyBorder="1" applyAlignment="1">
      <alignment horizontal="left" vertical="center" wrapText="1" indent="1"/>
    </xf>
    <xf numFmtId="166" fontId="42" fillId="0" borderId="19" xfId="8" applyNumberFormat="1" applyFont="1" applyBorder="1" applyAlignment="1">
      <alignment horizontal="left" vertical="center" wrapText="1" indent="1"/>
    </xf>
    <xf numFmtId="166" fontId="49" fillId="0" borderId="8" xfId="7" applyNumberFormat="1" applyFont="1" applyFill="1" applyBorder="1" applyAlignment="1">
      <alignment horizontal="center" vertical="center" wrapText="1"/>
    </xf>
    <xf numFmtId="166" fontId="49" fillId="0" borderId="13" xfId="7" applyNumberFormat="1" applyFont="1" applyFill="1" applyBorder="1" applyAlignment="1">
      <alignment horizontal="center" vertical="center" wrapText="1"/>
    </xf>
    <xf numFmtId="166" fontId="49" fillId="0" borderId="15" xfId="7" applyNumberFormat="1" applyFont="1" applyFill="1" applyBorder="1" applyAlignment="1">
      <alignment horizontal="left" vertical="center" wrapText="1" readingOrder="1"/>
    </xf>
    <xf numFmtId="166" fontId="52" fillId="0" borderId="10" xfId="8" applyNumberFormat="1" applyFont="1" applyBorder="1" applyAlignment="1">
      <alignment horizontal="left" vertical="center" wrapText="1" indent="1"/>
    </xf>
    <xf numFmtId="166" fontId="52" fillId="0" borderId="11" xfId="8" applyNumberFormat="1" applyFont="1" applyBorder="1" applyAlignment="1">
      <alignment horizontal="left" vertical="center" wrapText="1" indent="1"/>
    </xf>
    <xf numFmtId="166" fontId="52" fillId="0" borderId="12" xfId="8" applyNumberFormat="1" applyFont="1" applyBorder="1" applyAlignment="1">
      <alignment horizontal="left" vertical="center" wrapText="1" indent="1"/>
    </xf>
    <xf numFmtId="166" fontId="22" fillId="0" borderId="0" xfId="0" applyNumberFormat="1" applyFont="1" applyAlignment="1">
      <alignment horizontal="left" vertical="center" wrapText="1"/>
    </xf>
    <xf numFmtId="166" fontId="15" fillId="0" borderId="20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6" fontId="15" fillId="0" borderId="4" xfId="0" applyNumberFormat="1" applyFont="1" applyBorder="1" applyAlignment="1">
      <alignment horizontal="center" vertical="center"/>
    </xf>
    <xf numFmtId="166" fontId="8" fillId="2" borderId="20" xfId="3" applyNumberFormat="1" applyFont="1" applyFill="1" applyBorder="1" applyAlignment="1">
      <alignment horizontal="left" vertical="center" wrapText="1"/>
    </xf>
    <xf numFmtId="166" fontId="8" fillId="2" borderId="0" xfId="3" applyNumberFormat="1" applyFont="1" applyFill="1" applyAlignment="1">
      <alignment horizontal="left" vertical="center" wrapText="1"/>
    </xf>
    <xf numFmtId="166" fontId="8" fillId="2" borderId="1" xfId="3" applyNumberFormat="1" applyFont="1" applyFill="1" applyBorder="1" applyAlignment="1">
      <alignment horizontal="left" vertical="center" wrapText="1"/>
    </xf>
    <xf numFmtId="166" fontId="8" fillId="2" borderId="22" xfId="3" applyNumberFormat="1" applyFont="1" applyFill="1" applyBorder="1" applyAlignment="1">
      <alignment horizontal="left" vertical="center" wrapText="1"/>
    </xf>
    <xf numFmtId="166" fontId="15" fillId="0" borderId="22" xfId="0" applyNumberFormat="1" applyFont="1" applyBorder="1" applyAlignment="1">
      <alignment horizontal="center" vertical="center" wrapText="1"/>
    </xf>
    <xf numFmtId="166" fontId="5" fillId="0" borderId="0" xfId="3" applyNumberFormat="1" applyFont="1" applyAlignment="1">
      <alignment horizontal="left" vertical="center" wrapText="1"/>
    </xf>
    <xf numFmtId="166" fontId="30" fillId="0" borderId="0" xfId="3" applyNumberFormat="1" applyFont="1" applyAlignment="1">
      <alignment horizontal="left" vertical="center" wrapText="1"/>
    </xf>
    <xf numFmtId="166" fontId="4" fillId="2" borderId="0" xfId="3" applyNumberFormat="1" applyFont="1" applyFill="1"/>
    <xf numFmtId="166" fontId="30" fillId="2" borderId="0" xfId="3" applyNumberFormat="1" applyFont="1" applyFill="1" applyAlignment="1">
      <alignment horizontal="left" vertical="center" wrapText="1"/>
    </xf>
    <xf numFmtId="166" fontId="3" fillId="2" borderId="0" xfId="3" applyNumberFormat="1" applyFont="1" applyFill="1" applyAlignment="1">
      <alignment horizontal="left" vertical="center" wrapText="1"/>
    </xf>
    <xf numFmtId="0" fontId="8" fillId="2" borderId="22" xfId="3" applyFont="1" applyFill="1" applyBorder="1" applyAlignment="1">
      <alignment horizontal="left" vertical="center" wrapText="1"/>
    </xf>
    <xf numFmtId="0" fontId="8" fillId="2" borderId="0" xfId="3" applyFont="1" applyFill="1" applyAlignment="1">
      <alignment horizontal="left" vertical="center" wrapText="1"/>
    </xf>
    <xf numFmtId="0" fontId="8" fillId="2" borderId="1" xfId="3" applyFont="1" applyFill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4" fillId="6" borderId="0" xfId="0" applyFont="1" applyFill="1" applyAlignment="1">
      <alignment vertical="center"/>
    </xf>
  </cellXfs>
  <cellStyles count="52">
    <cellStyle name="Hipervínculo" xfId="1" builtinId="8"/>
    <cellStyle name="Hipervínculo 2" xfId="7" xr:uid="{00000000-0005-0000-0000-000001000000}"/>
    <cellStyle name="Hipervínculo 2 4" xfId="50" xr:uid="{7E0434E9-1F2C-4524-B338-C18E7306CE3C}"/>
    <cellStyle name="Millares" xfId="26" builtinId="3"/>
    <cellStyle name="Millares 10" xfId="20" xr:uid="{30C082B7-DD97-42AC-83AE-3127BB04C7DA}"/>
    <cellStyle name="Millares 10 2" xfId="39" xr:uid="{BDD42D7C-7EA5-4269-9233-DC0BFA22AD3F}"/>
    <cellStyle name="Millares 11" xfId="21" xr:uid="{87024B6A-96BB-46CA-8347-93B09F029BCA}"/>
    <cellStyle name="Millares 11 2" xfId="40" xr:uid="{85200013-8E76-4A0E-AAD8-B3E368A8BFB9}"/>
    <cellStyle name="Millares 12" xfId="22" xr:uid="{CEEC1FCD-E499-4509-BB21-9BBA4678FB69}"/>
    <cellStyle name="Millares 12 2" xfId="41" xr:uid="{EA53E91E-864A-426D-9E16-2ACE003B83CD}"/>
    <cellStyle name="Millares 13" xfId="23" xr:uid="{49FD4A9E-D0A4-4819-834A-E154A7CFC154}"/>
    <cellStyle name="Millares 13 2" xfId="42" xr:uid="{6605ED8C-9E15-4C15-B181-CD454F6AF22F}"/>
    <cellStyle name="Millares 14" xfId="24" xr:uid="{F35065A6-B044-44AF-BC76-93EDECD09466}"/>
    <cellStyle name="Millares 14 2" xfId="43" xr:uid="{2CD02600-F4DA-46B6-AB46-64D836E20BBD}"/>
    <cellStyle name="Millares 15" xfId="25" xr:uid="{EE414736-59E9-4B45-A27F-88B99FF3C905}"/>
    <cellStyle name="Millares 15 2" xfId="44" xr:uid="{C5BC2147-B525-49D2-9937-42F0B60855D9}"/>
    <cellStyle name="Millares 16" xfId="45" xr:uid="{55E08483-C5B6-43FA-BF85-D3E74DF495B3}"/>
    <cellStyle name="Millares 17" xfId="46" xr:uid="{8D58C056-F61B-47B8-9943-6D2DD0AE569A}"/>
    <cellStyle name="Millares 18" xfId="47" xr:uid="{7CBB301F-4DD5-41FE-8A17-433126E3928D}"/>
    <cellStyle name="Millares 19" xfId="27" xr:uid="{00000000-0005-0000-0000-000049000000}"/>
    <cellStyle name="Millares 2" xfId="12" xr:uid="{658A6B07-071B-490F-97D4-F7E82F09E929}"/>
    <cellStyle name="Millares 2 2" xfId="31" xr:uid="{D75BA76C-65ED-49EC-865F-46102B65DB68}"/>
    <cellStyle name="Millares 3" xfId="13" xr:uid="{3D0C72A3-C50E-4A4D-986D-11CD4288FB1F}"/>
    <cellStyle name="Millares 3 2" xfId="32" xr:uid="{91DC82B8-276B-4C2D-826B-66127FC3BD10}"/>
    <cellStyle name="Millares 4" xfId="14" xr:uid="{783660D4-9043-4900-8196-357C72D0EECE}"/>
    <cellStyle name="Millares 4 2" xfId="33" xr:uid="{8AA23C57-8DAC-4261-9D91-E67B7B84F9F3}"/>
    <cellStyle name="Millares 5" xfId="15" xr:uid="{B57D5CC6-3E09-430F-A228-16DCADFFCC15}"/>
    <cellStyle name="Millares 5 2" xfId="34" xr:uid="{1C4CCF02-C474-4B34-A5FE-45EA9F227AFA}"/>
    <cellStyle name="Millares 6" xfId="16" xr:uid="{A45D0FD3-703F-4989-B64E-47E0756210C5}"/>
    <cellStyle name="Millares 6 2" xfId="35" xr:uid="{6A594710-EC3E-4A46-9BD3-44BD39E3566E}"/>
    <cellStyle name="Millares 7" xfId="17" xr:uid="{2CA3CCA7-2ACE-4C7B-B71C-AD3C0D227AEB}"/>
    <cellStyle name="Millares 7 2" xfId="36" xr:uid="{8BE98190-932E-4A71-9F27-D89A5B5FA111}"/>
    <cellStyle name="Millares 8" xfId="18" xr:uid="{94DAA2C0-6A35-4BAC-9F9E-7D698DD79A3F}"/>
    <cellStyle name="Millares 8 2" xfId="37" xr:uid="{C1D7ABC8-C95D-4FF1-80C0-39A34ABCA6D0}"/>
    <cellStyle name="Millares 9" xfId="19" xr:uid="{5CAE7653-68EB-4E84-A455-991A59C2DEB9}"/>
    <cellStyle name="Millares 9 2" xfId="38" xr:uid="{4F7698AD-390F-4379-A991-F842C867C3C4}"/>
    <cellStyle name="Normal" xfId="0" builtinId="0"/>
    <cellStyle name="Normal 10 3 3" xfId="11" xr:uid="{00000000-0005-0000-0000-000004000000}"/>
    <cellStyle name="Normal 2 2 2" xfId="10" xr:uid="{00000000-0005-0000-0000-000005000000}"/>
    <cellStyle name="Normal 3" xfId="48" xr:uid="{F9BFAA47-FAFB-4166-807B-58DA4256919E}"/>
    <cellStyle name="Normal 3 2 5" xfId="30" xr:uid="{00000000-0005-0000-0000-000005000000}"/>
    <cellStyle name="Normal 4 2" xfId="29" xr:uid="{00000000-0005-0000-0000-000006000000}"/>
    <cellStyle name="Normal 4 2 2" xfId="4" xr:uid="{00000000-0005-0000-0000-000006000000}"/>
    <cellStyle name="Normal 5 2" xfId="5" xr:uid="{00000000-0005-0000-0000-000007000000}"/>
    <cellStyle name="Normal 6" xfId="9" xr:uid="{00000000-0005-0000-0000-000008000000}"/>
    <cellStyle name="Normal 6 2" xfId="51" xr:uid="{372CDF21-ACD0-4C3F-85B7-3653F71E9F80}"/>
    <cellStyle name="Normal 6 2 2" xfId="3" xr:uid="{00000000-0005-0000-0000-000009000000}"/>
    <cellStyle name="Normal 7 2 2" xfId="8" xr:uid="{00000000-0005-0000-0000-00000A000000}"/>
    <cellStyle name="Normal 8" xfId="6" xr:uid="{00000000-0005-0000-0000-00000B000000}"/>
    <cellStyle name="Normal 9" xfId="28" xr:uid="{00000000-0005-0000-0000-00000C000000}"/>
    <cellStyle name="Normal 9 2" xfId="2" xr:uid="{00000000-0005-0000-0000-00000C000000}"/>
    <cellStyle name="Normal 9 3" xfId="49" xr:uid="{6AAE5B11-F429-4765-B61A-DFA329EE80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AD45574C-7E18-4556-9E00-2DA5C3DD7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46E0-A65A-4E16-AEDC-CDF3B492ED44}">
  <dimension ref="A1:T27"/>
  <sheetViews>
    <sheetView showGridLines="0" tabSelected="1" workbookViewId="0"/>
  </sheetViews>
  <sheetFormatPr baseColWidth="10" defaultColWidth="11.42578125" defaultRowHeight="14.25"/>
  <cols>
    <col min="1" max="1" width="1.7109375" style="6" customWidth="1"/>
    <col min="2" max="2" width="20.28515625" style="6" customWidth="1"/>
    <col min="3" max="3" width="17.42578125" style="6" customWidth="1"/>
    <col min="4" max="14" width="11.42578125" style="6"/>
    <col min="15" max="15" width="1.5703125" style="6" customWidth="1"/>
    <col min="16" max="16384" width="11.42578125" style="6"/>
  </cols>
  <sheetData>
    <row r="1" spans="1:20" s="1" customFormat="1" ht="20.100000000000001" customHeight="1">
      <c r="A1" s="7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s="1" customFormat="1" ht="20.100000000000001" customHeight="1">
      <c r="A2" s="9"/>
      <c r="B2" s="238" t="s">
        <v>114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9"/>
      <c r="P2" s="9"/>
      <c r="Q2" s="9"/>
      <c r="R2" s="9"/>
      <c r="S2" s="9"/>
      <c r="T2" s="9"/>
    </row>
    <row r="3" spans="1:20" s="1" customFormat="1" ht="20.100000000000001" customHeight="1">
      <c r="A3" s="9"/>
      <c r="B3" s="239" t="s">
        <v>115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9"/>
      <c r="P3" s="9"/>
      <c r="Q3" s="9"/>
      <c r="R3" s="9"/>
      <c r="S3" s="9"/>
      <c r="T3" s="9"/>
    </row>
    <row r="4" spans="1:20" ht="6.9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</row>
    <row r="5" spans="1:20" ht="20.100000000000001" customHeight="1">
      <c r="A5" s="240" t="s">
        <v>157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12"/>
      <c r="P5" s="10"/>
      <c r="Q5" s="10"/>
      <c r="R5" s="10"/>
      <c r="S5" s="10"/>
      <c r="T5" s="10"/>
    </row>
    <row r="6" spans="1:20" ht="6.95" customHeight="1">
      <c r="A6" s="13"/>
      <c r="B6" s="12" t="s">
        <v>116</v>
      </c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0"/>
      <c r="Q6" s="10"/>
      <c r="R6" s="10"/>
      <c r="S6" s="10"/>
      <c r="T6" s="15"/>
    </row>
    <row r="7" spans="1:20" ht="20.100000000000001" customHeight="1">
      <c r="A7" s="13"/>
      <c r="B7" s="241" t="s">
        <v>116</v>
      </c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13"/>
      <c r="P7" s="10"/>
      <c r="Q7" s="10"/>
      <c r="R7" s="10"/>
      <c r="S7" s="10"/>
      <c r="T7" s="10"/>
    </row>
    <row r="8" spans="1:20" ht="20.100000000000001" customHeight="1">
      <c r="A8" s="16"/>
      <c r="B8" s="17" t="s">
        <v>166</v>
      </c>
      <c r="C8" s="18"/>
      <c r="D8" s="16"/>
      <c r="E8" s="16"/>
      <c r="F8" s="16"/>
      <c r="G8" s="16"/>
      <c r="H8" s="16"/>
      <c r="I8" s="16"/>
      <c r="J8" s="16"/>
      <c r="K8" s="16"/>
      <c r="L8" s="16"/>
      <c r="M8" s="242" t="str">
        <f>CONCATENATE("Total de tabulados: ", COUNTIF(C11:C23,"&lt;&gt;"))</f>
        <v>Total de tabulados: 13</v>
      </c>
      <c r="N8" s="242"/>
      <c r="O8" s="16"/>
      <c r="P8" s="10"/>
      <c r="Q8" s="10"/>
      <c r="R8" s="10"/>
      <c r="S8" s="10"/>
      <c r="T8" s="10"/>
    </row>
    <row r="9" spans="1:20" ht="6.95" customHeight="1" thickBo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15.75" thickBot="1">
      <c r="A10" s="10"/>
      <c r="B10" s="19" t="s">
        <v>117</v>
      </c>
      <c r="C10" s="20" t="s">
        <v>118</v>
      </c>
      <c r="D10" s="236" t="s">
        <v>119</v>
      </c>
      <c r="E10" s="236"/>
      <c r="F10" s="236"/>
      <c r="G10" s="236"/>
      <c r="H10" s="236"/>
      <c r="I10" s="236"/>
      <c r="J10" s="236"/>
      <c r="K10" s="236"/>
      <c r="L10" s="236"/>
      <c r="M10" s="236"/>
      <c r="N10" s="237"/>
      <c r="O10" s="10"/>
      <c r="P10" s="10"/>
      <c r="Q10" s="10"/>
      <c r="R10" s="10"/>
      <c r="S10" s="10"/>
      <c r="T10" s="10"/>
    </row>
    <row r="11" spans="1:20" ht="39.950000000000003" customHeight="1">
      <c r="A11" s="10"/>
      <c r="B11" s="249" t="s">
        <v>120</v>
      </c>
      <c r="C11" s="21" t="s">
        <v>121</v>
      </c>
      <c r="D11" s="243" t="s">
        <v>127</v>
      </c>
      <c r="E11" s="244"/>
      <c r="F11" s="244"/>
      <c r="G11" s="244"/>
      <c r="H11" s="244"/>
      <c r="I11" s="244"/>
      <c r="J11" s="244"/>
      <c r="K11" s="244"/>
      <c r="L11" s="244"/>
      <c r="M11" s="244"/>
      <c r="N11" s="245"/>
      <c r="O11" s="22"/>
      <c r="P11" s="22"/>
      <c r="Q11" s="22"/>
      <c r="R11" s="22"/>
      <c r="S11" s="22"/>
      <c r="T11" s="22"/>
    </row>
    <row r="12" spans="1:20" ht="39.950000000000003" customHeight="1">
      <c r="A12" s="10"/>
      <c r="B12" s="250"/>
      <c r="C12" s="23" t="s">
        <v>122</v>
      </c>
      <c r="D12" s="243" t="s">
        <v>128</v>
      </c>
      <c r="E12" s="244"/>
      <c r="F12" s="244"/>
      <c r="G12" s="244"/>
      <c r="H12" s="244"/>
      <c r="I12" s="244"/>
      <c r="J12" s="244"/>
      <c r="K12" s="244"/>
      <c r="L12" s="244"/>
      <c r="M12" s="244"/>
      <c r="N12" s="245"/>
      <c r="O12" s="22"/>
      <c r="P12" s="22"/>
      <c r="Q12" s="22"/>
      <c r="R12" s="22"/>
      <c r="S12" s="22"/>
      <c r="T12" s="22"/>
    </row>
    <row r="13" spans="1:20" ht="39.950000000000003" customHeight="1">
      <c r="A13" s="10"/>
      <c r="B13" s="250"/>
      <c r="C13" s="23" t="s">
        <v>53</v>
      </c>
      <c r="D13" s="243" t="s">
        <v>129</v>
      </c>
      <c r="E13" s="244"/>
      <c r="F13" s="244"/>
      <c r="G13" s="244"/>
      <c r="H13" s="244"/>
      <c r="I13" s="244"/>
      <c r="J13" s="244"/>
      <c r="K13" s="244"/>
      <c r="L13" s="244"/>
      <c r="M13" s="244"/>
      <c r="N13" s="245"/>
      <c r="O13" s="22"/>
      <c r="P13" s="22"/>
      <c r="Q13" s="22"/>
      <c r="R13" s="22"/>
      <c r="S13" s="22"/>
      <c r="T13" s="22"/>
    </row>
    <row r="14" spans="1:20" ht="39.950000000000003" customHeight="1">
      <c r="A14" s="10"/>
      <c r="B14" s="250"/>
      <c r="C14" s="23" t="s">
        <v>54</v>
      </c>
      <c r="D14" s="243" t="s">
        <v>136</v>
      </c>
      <c r="E14" s="244"/>
      <c r="F14" s="244"/>
      <c r="G14" s="244"/>
      <c r="H14" s="244"/>
      <c r="I14" s="244"/>
      <c r="J14" s="244"/>
      <c r="K14" s="244"/>
      <c r="L14" s="244"/>
      <c r="M14" s="244"/>
      <c r="N14" s="245"/>
      <c r="O14" s="22"/>
      <c r="P14" s="22"/>
      <c r="Q14" s="22"/>
      <c r="R14" s="22"/>
      <c r="S14" s="22"/>
      <c r="T14" s="22"/>
    </row>
    <row r="15" spans="1:20" ht="39.950000000000003" customHeight="1">
      <c r="A15" s="10"/>
      <c r="B15" s="250"/>
      <c r="C15" s="23" t="s">
        <v>55</v>
      </c>
      <c r="D15" s="243" t="s">
        <v>139</v>
      </c>
      <c r="E15" s="244"/>
      <c r="F15" s="244"/>
      <c r="G15" s="244"/>
      <c r="H15" s="244"/>
      <c r="I15" s="244"/>
      <c r="J15" s="244"/>
      <c r="K15" s="244"/>
      <c r="L15" s="244"/>
      <c r="M15" s="244"/>
      <c r="N15" s="245"/>
      <c r="O15" s="22"/>
      <c r="P15" s="22"/>
      <c r="Q15" s="22"/>
      <c r="R15" s="22"/>
      <c r="S15" s="22"/>
      <c r="T15" s="22"/>
    </row>
    <row r="16" spans="1:20" ht="39.950000000000003" customHeight="1">
      <c r="A16" s="10"/>
      <c r="B16" s="250"/>
      <c r="C16" s="23" t="s">
        <v>56</v>
      </c>
      <c r="D16" s="252" t="s">
        <v>140</v>
      </c>
      <c r="E16" s="253"/>
      <c r="F16" s="253"/>
      <c r="G16" s="253"/>
      <c r="H16" s="253"/>
      <c r="I16" s="253"/>
      <c r="J16" s="253"/>
      <c r="K16" s="253"/>
      <c r="L16" s="253"/>
      <c r="M16" s="253"/>
      <c r="N16" s="254"/>
      <c r="O16" s="22"/>
      <c r="P16" s="22"/>
      <c r="Q16" s="22"/>
      <c r="R16" s="22"/>
      <c r="S16" s="22"/>
      <c r="T16" s="22"/>
    </row>
    <row r="17" spans="1:20" ht="39.950000000000003" customHeight="1">
      <c r="A17" s="10"/>
      <c r="B17" s="250"/>
      <c r="C17" s="23" t="s">
        <v>57</v>
      </c>
      <c r="D17" s="252" t="s">
        <v>142</v>
      </c>
      <c r="E17" s="253"/>
      <c r="F17" s="253"/>
      <c r="G17" s="253"/>
      <c r="H17" s="253"/>
      <c r="I17" s="253"/>
      <c r="J17" s="253"/>
      <c r="K17" s="253"/>
      <c r="L17" s="253"/>
      <c r="M17" s="253"/>
      <c r="N17" s="254"/>
      <c r="O17" s="22"/>
      <c r="P17" s="22"/>
      <c r="Q17" s="22"/>
      <c r="R17" s="22"/>
      <c r="S17" s="22"/>
      <c r="T17" s="22"/>
    </row>
    <row r="18" spans="1:20" ht="39.950000000000003" customHeight="1">
      <c r="A18" s="10"/>
      <c r="B18" s="250"/>
      <c r="C18" s="23" t="s">
        <v>58</v>
      </c>
      <c r="D18" s="243" t="s">
        <v>146</v>
      </c>
      <c r="E18" s="244"/>
      <c r="F18" s="244"/>
      <c r="G18" s="244"/>
      <c r="H18" s="244"/>
      <c r="I18" s="244"/>
      <c r="J18" s="244"/>
      <c r="K18" s="244"/>
      <c r="L18" s="244"/>
      <c r="M18" s="244"/>
      <c r="N18" s="245"/>
      <c r="O18" s="22"/>
      <c r="P18" s="22"/>
      <c r="Q18" s="22"/>
      <c r="R18" s="22"/>
      <c r="S18" s="22"/>
      <c r="T18" s="22"/>
    </row>
    <row r="19" spans="1:20" ht="39.950000000000003" customHeight="1">
      <c r="A19" s="10"/>
      <c r="B19" s="250"/>
      <c r="C19" s="23" t="s">
        <v>59</v>
      </c>
      <c r="D19" s="243" t="s">
        <v>149</v>
      </c>
      <c r="E19" s="244"/>
      <c r="F19" s="244"/>
      <c r="G19" s="244"/>
      <c r="H19" s="244"/>
      <c r="I19" s="244"/>
      <c r="J19" s="244"/>
      <c r="K19" s="244"/>
      <c r="L19" s="244"/>
      <c r="M19" s="244"/>
      <c r="N19" s="245"/>
      <c r="O19" s="22"/>
      <c r="P19" s="22"/>
      <c r="Q19" s="22"/>
      <c r="R19" s="22"/>
      <c r="S19" s="22"/>
      <c r="T19" s="22"/>
    </row>
    <row r="20" spans="1:20" ht="39.950000000000003" customHeight="1">
      <c r="A20" s="10"/>
      <c r="B20" s="250"/>
      <c r="C20" s="23" t="s">
        <v>60</v>
      </c>
      <c r="D20" s="243" t="s">
        <v>150</v>
      </c>
      <c r="E20" s="244"/>
      <c r="F20" s="244"/>
      <c r="G20" s="244"/>
      <c r="H20" s="244"/>
      <c r="I20" s="244"/>
      <c r="J20" s="244"/>
      <c r="K20" s="244"/>
      <c r="L20" s="244"/>
      <c r="M20" s="244"/>
      <c r="N20" s="245"/>
      <c r="O20" s="22"/>
      <c r="P20" s="22"/>
      <c r="Q20" s="22"/>
      <c r="R20" s="22"/>
      <c r="S20" s="22"/>
      <c r="T20" s="22"/>
    </row>
    <row r="21" spans="1:20" ht="39.950000000000003" customHeight="1">
      <c r="A21" s="10"/>
      <c r="B21" s="250"/>
      <c r="C21" s="23" t="s">
        <v>61</v>
      </c>
      <c r="D21" s="243" t="s">
        <v>130</v>
      </c>
      <c r="E21" s="244"/>
      <c r="F21" s="244"/>
      <c r="G21" s="244"/>
      <c r="H21" s="244"/>
      <c r="I21" s="244"/>
      <c r="J21" s="244"/>
      <c r="K21" s="244"/>
      <c r="L21" s="244"/>
      <c r="M21" s="244"/>
      <c r="N21" s="245"/>
      <c r="O21" s="22"/>
      <c r="P21" s="22"/>
      <c r="Q21" s="22"/>
      <c r="R21" s="22"/>
      <c r="S21" s="22"/>
      <c r="T21" s="22"/>
    </row>
    <row r="22" spans="1:20" ht="39.950000000000003" customHeight="1">
      <c r="A22" s="10"/>
      <c r="B22" s="250"/>
      <c r="C22" s="23" t="s">
        <v>62</v>
      </c>
      <c r="D22" s="243" t="s">
        <v>123</v>
      </c>
      <c r="E22" s="244"/>
      <c r="F22" s="244"/>
      <c r="G22" s="244"/>
      <c r="H22" s="244"/>
      <c r="I22" s="244"/>
      <c r="J22" s="244"/>
      <c r="K22" s="244"/>
      <c r="L22" s="244"/>
      <c r="M22" s="244"/>
      <c r="N22" s="245"/>
      <c r="O22" s="22"/>
      <c r="P22" s="22"/>
      <c r="Q22" s="22"/>
      <c r="R22" s="22"/>
      <c r="S22" s="22"/>
      <c r="T22" s="22"/>
    </row>
    <row r="23" spans="1:20" ht="39.950000000000003" customHeight="1" thickBot="1">
      <c r="A23" s="10"/>
      <c r="B23" s="251"/>
      <c r="C23" s="24" t="s">
        <v>63</v>
      </c>
      <c r="D23" s="246" t="s">
        <v>154</v>
      </c>
      <c r="E23" s="247"/>
      <c r="F23" s="247"/>
      <c r="G23" s="247"/>
      <c r="H23" s="247"/>
      <c r="I23" s="247"/>
      <c r="J23" s="247"/>
      <c r="K23" s="247"/>
      <c r="L23" s="247"/>
      <c r="M23" s="247"/>
      <c r="N23" s="248"/>
      <c r="O23" s="10"/>
      <c r="P23" s="10"/>
      <c r="Q23" s="10"/>
      <c r="R23" s="10"/>
      <c r="S23" s="10"/>
      <c r="T23" s="10"/>
    </row>
    <row r="24" spans="1:20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>
      <c r="A25" s="10"/>
      <c r="B25" s="2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>
      <c r="A26" s="10"/>
      <c r="B26" s="2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>
      <c r="A27" s="10"/>
      <c r="B27" s="26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</sheetData>
  <mergeCells count="20">
    <mergeCell ref="D20:N20"/>
    <mergeCell ref="D21:N21"/>
    <mergeCell ref="D22:N22"/>
    <mergeCell ref="D23:N23"/>
    <mergeCell ref="B11:B23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10:N10"/>
    <mergeCell ref="B2:N2"/>
    <mergeCell ref="B3:N3"/>
    <mergeCell ref="A5:N5"/>
    <mergeCell ref="B7:N7"/>
    <mergeCell ref="M8:N8"/>
  </mergeCells>
  <hyperlinks>
    <hyperlink ref="C11" location="'Cuadro 6.1'!A1" tooltip="Ir a Cuadro 6.1" display="Cuadro 6.1" xr:uid="{07491854-1FB7-4901-8018-4530F899151D}"/>
    <hyperlink ref="C23" location="'Cuadro 6.13'!A1" tooltip="Ir a Cuadro 6.13" display="Cuadro 6.13" xr:uid="{8EC1AB7A-DA20-461C-BD7D-28667FD15716}"/>
    <hyperlink ref="C12" location="'Cuadro 6.2'!A1" tooltip="Ir a Cuadro 6.2" display="Cuadro 6.2" xr:uid="{C93663A3-61CB-41A7-B3EC-AC326FEB81C1}"/>
    <hyperlink ref="C13" location="'Cuadro 6.3'!A1" tooltip="Ir a Cuadro 6.3" display="Cuadro 6.3" xr:uid="{88DA6A03-8617-4E73-9462-89FBA52D29A4}"/>
    <hyperlink ref="C14" location="'Cuadro 6.4'!A1" tooltip="Ir a Cuadro 6.4" display="Cuadro 6.4" xr:uid="{184F9A69-9C92-41A2-A5FA-63BA559946B0}"/>
    <hyperlink ref="C15" location="'Cuadro 6.5'!A1" tooltip="Ir a Cuadro 6.5" display="Cuadro 6.5" xr:uid="{FC0B092A-D180-413A-91EA-3E5E34BCFFC0}"/>
    <hyperlink ref="C16" location="'Cuadro 6.6'!A1" tooltip="Ir a Cuadro 6.6" display="Cuadro 6.6" xr:uid="{35F5CC27-B1AF-4125-AB2E-CBFBCE80D14D}"/>
    <hyperlink ref="C17" location="'Cuadro 6.7'!A1" tooltip="Ir a Cuadro 6.7" display="Cuadro 6.7" xr:uid="{F1DCBCBC-EC15-4E79-85F3-7B925DADDBF0}"/>
    <hyperlink ref="C18" location="'Cuadro 6.8'!A1" tooltip="Ir a Cuadro 6.8" display="Cuadro 6.8" xr:uid="{3C3BC9EB-AA8F-4016-BC32-A6FE31FC0833}"/>
    <hyperlink ref="C19" location="'Cuadro 6.9'!A1" tooltip="Ir a Cuadro 6.9" display="Cuadro 6.9" xr:uid="{9F58FF4D-2EFF-46C8-B874-665992364BB7}"/>
    <hyperlink ref="C20" location="'Cuadro 6.10'!A1" tooltip="Ir a Cuadro 6.10" display="Cuadro 6.10" xr:uid="{10B945F1-16C2-466B-B081-7DD7CBFD8543}"/>
    <hyperlink ref="C21" location="'Cuadro 6.11'!A1" tooltip="Ir a Cuadro 6.11" display="Cuadro 6.11" xr:uid="{55A051A9-1F60-47EA-9A68-0FBADB3FE2AC}"/>
    <hyperlink ref="C22" location="'Cuadro 6.12'!A1" tooltip="Ir a Cuadro 6.12" display="Cuadro 6.12" xr:uid="{DC16CBAD-3C1A-4544-B1BB-D4684997980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3B8B-2A49-48F3-A236-6366C3995495}">
  <dimension ref="A1:W4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32"/>
      <c r="C4" s="32"/>
      <c r="D4" s="32"/>
      <c r="E4" s="32"/>
      <c r="F4" s="32"/>
      <c r="G4" s="33"/>
      <c r="H4" s="33"/>
      <c r="I4" s="33"/>
      <c r="J4" s="33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>
      <c r="A5" s="30"/>
      <c r="B5" s="34" t="s">
        <v>127</v>
      </c>
      <c r="C5" s="34"/>
      <c r="D5" s="34"/>
      <c r="E5" s="34"/>
      <c r="F5" s="34"/>
      <c r="G5" s="33"/>
      <c r="H5" s="33"/>
      <c r="I5" s="33"/>
      <c r="J5" s="33"/>
      <c r="K5" s="35" t="s">
        <v>51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30"/>
      <c r="C6" s="30"/>
      <c r="D6" s="30"/>
      <c r="E6" s="30"/>
      <c r="F6" s="30"/>
      <c r="G6" s="36"/>
      <c r="H6" s="36"/>
      <c r="I6" s="36"/>
      <c r="J6" s="36"/>
      <c r="K6" s="37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59" t="s">
        <v>101</v>
      </c>
      <c r="C7" s="38"/>
      <c r="D7" s="256" t="s">
        <v>131</v>
      </c>
      <c r="E7" s="256"/>
      <c r="F7" s="39"/>
      <c r="G7" s="258" t="s">
        <v>132</v>
      </c>
      <c r="H7" s="258"/>
      <c r="I7" s="258"/>
      <c r="J7" s="258"/>
      <c r="K7" s="25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0"/>
      <c r="C8" s="40"/>
      <c r="D8" s="257"/>
      <c r="E8" s="257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44"/>
      <c r="C10" s="44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46" t="s">
        <v>1</v>
      </c>
      <c r="C11" s="46"/>
      <c r="D11" s="47">
        <v>85074250.450445905</v>
      </c>
      <c r="E11" s="48">
        <v>100</v>
      </c>
      <c r="F11" s="49"/>
      <c r="G11" s="47">
        <v>45189093.536525302</v>
      </c>
      <c r="H11" s="48">
        <v>100</v>
      </c>
      <c r="I11" s="50"/>
      <c r="J11" s="47">
        <v>38949471.211108603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46"/>
      <c r="C12" s="46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52" t="s">
        <v>2</v>
      </c>
      <c r="C13" s="52"/>
      <c r="D13" s="47">
        <v>45915781.8749061</v>
      </c>
      <c r="E13" s="48">
        <v>53.187597338653802</v>
      </c>
      <c r="F13" s="49"/>
      <c r="G13" s="47">
        <v>23789402.804321598</v>
      </c>
      <c r="H13" s="48">
        <v>51.670660488528</v>
      </c>
      <c r="I13" s="50"/>
      <c r="J13" s="47">
        <v>21454152.5155738</v>
      </c>
      <c r="K13" s="48">
        <v>54.041107502067398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52"/>
      <c r="C14" s="52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55" t="s">
        <v>3</v>
      </c>
      <c r="C15" s="55"/>
      <c r="D15" s="53">
        <v>13933013.183428399</v>
      </c>
      <c r="E15" s="54">
        <v>29.8511813512226</v>
      </c>
      <c r="F15" s="56"/>
      <c r="G15" s="53">
        <v>7330489.2459495803</v>
      </c>
      <c r="H15" s="54">
        <v>30.112208749533899</v>
      </c>
      <c r="I15" s="30"/>
      <c r="J15" s="53">
        <v>6234104.6130418004</v>
      </c>
      <c r="K15" s="54">
        <v>28.3281839506888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55" t="s">
        <v>4</v>
      </c>
      <c r="C16" s="55"/>
      <c r="D16" s="53">
        <v>21247588.927528098</v>
      </c>
      <c r="E16" s="54">
        <v>45.400335582288697</v>
      </c>
      <c r="F16" s="56"/>
      <c r="G16" s="53">
        <v>10851900.5571141</v>
      </c>
      <c r="H16" s="54">
        <v>44.311265582817001</v>
      </c>
      <c r="I16" s="30"/>
      <c r="J16" s="53">
        <v>9991552.5939221792</v>
      </c>
      <c r="K16" s="54">
        <v>45.328140914220199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55" t="s">
        <v>5</v>
      </c>
      <c r="C17" s="55"/>
      <c r="D17" s="53">
        <v>9638548.7809449304</v>
      </c>
      <c r="E17" s="54">
        <v>20.587167112846799</v>
      </c>
      <c r="F17" s="56"/>
      <c r="G17" s="53">
        <v>4845517.6596568199</v>
      </c>
      <c r="H17" s="54">
        <v>19.769663961851201</v>
      </c>
      <c r="I17" s="30"/>
      <c r="J17" s="53">
        <v>4531610.3914751299</v>
      </c>
      <c r="K17" s="54">
        <v>20.4673898542855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55"/>
      <c r="C18" s="55"/>
      <c r="D18" s="53"/>
      <c r="E18" s="54"/>
      <c r="F18" s="56"/>
      <c r="G18" s="53"/>
      <c r="H18" s="54"/>
      <c r="I18" s="30"/>
      <c r="J18" s="53"/>
      <c r="K18" s="54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52" t="s">
        <v>6</v>
      </c>
      <c r="C19" s="52"/>
      <c r="D19" s="47">
        <v>38137025.6036008</v>
      </c>
      <c r="E19" s="48">
        <v>44.409483610560201</v>
      </c>
      <c r="F19" s="49"/>
      <c r="G19" s="47">
        <v>20739024.987579599</v>
      </c>
      <c r="H19" s="48">
        <v>45.162038445196401</v>
      </c>
      <c r="I19" s="50"/>
      <c r="J19" s="47">
        <v>16897894.3311381</v>
      </c>
      <c r="K19" s="48">
        <v>42.634051522051102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57"/>
      <c r="C20" s="57"/>
      <c r="D20" s="22"/>
      <c r="E20" s="58"/>
      <c r="F20" s="57"/>
      <c r="G20" s="22"/>
      <c r="H20" s="58"/>
      <c r="I20" s="58"/>
      <c r="J20" s="22"/>
      <c r="K20" s="58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59" t="s">
        <v>7</v>
      </c>
      <c r="C21" s="46"/>
      <c r="D21" s="47">
        <v>27919808.370060898</v>
      </c>
      <c r="E21" s="48">
        <v>100</v>
      </c>
      <c r="F21" s="49"/>
      <c r="G21" s="47">
        <v>15147712.0036007</v>
      </c>
      <c r="H21" s="48">
        <v>100</v>
      </c>
      <c r="I21" s="50"/>
      <c r="J21" s="47">
        <v>12466861.324348001</v>
      </c>
      <c r="K21" s="48">
        <v>100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46"/>
      <c r="C22" s="46"/>
      <c r="D22" s="30"/>
      <c r="E22" s="30"/>
      <c r="F22" s="51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52" t="s">
        <v>2</v>
      </c>
      <c r="C23" s="52"/>
      <c r="D23" s="47">
        <v>12708278.957934599</v>
      </c>
      <c r="E23" s="48">
        <v>43.894928511250399</v>
      </c>
      <c r="F23" s="49"/>
      <c r="G23" s="47">
        <v>6737927.1214233302</v>
      </c>
      <c r="H23" s="48">
        <v>42.775848415931598</v>
      </c>
      <c r="I23" s="50"/>
      <c r="J23" s="47">
        <v>5697798.80765751</v>
      </c>
      <c r="K23" s="48">
        <v>43.654066856208097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52"/>
      <c r="C24" s="52"/>
      <c r="D24" s="53"/>
      <c r="E24" s="54"/>
      <c r="F24" s="49"/>
      <c r="G24" s="53"/>
      <c r="H24" s="54"/>
      <c r="I24" s="50"/>
      <c r="J24" s="53"/>
      <c r="K24" s="54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55" t="s">
        <v>3</v>
      </c>
      <c r="C25" s="55"/>
      <c r="D25" s="53">
        <v>5484420.8533730796</v>
      </c>
      <c r="E25" s="54">
        <v>40.897625634738702</v>
      </c>
      <c r="F25" s="56"/>
      <c r="G25" s="53">
        <v>2756226.5521244202</v>
      </c>
      <c r="H25" s="54">
        <v>38.469952907556603</v>
      </c>
      <c r="I25" s="30"/>
      <c r="J25" s="53">
        <v>2557747.6309354301</v>
      </c>
      <c r="K25" s="54">
        <v>42.080828095049803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55" t="s">
        <v>4</v>
      </c>
      <c r="C26" s="55"/>
      <c r="D26" s="53">
        <v>4251133.6303686099</v>
      </c>
      <c r="E26" s="54">
        <v>31.705725660906602</v>
      </c>
      <c r="F26" s="56"/>
      <c r="G26" s="53">
        <v>2288086.4540646202</v>
      </c>
      <c r="H26" s="54">
        <v>31.4123049445971</v>
      </c>
      <c r="I26" s="30"/>
      <c r="J26" s="53">
        <v>1787551.0512212601</v>
      </c>
      <c r="K26" s="54">
        <v>29.746735238938498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55" t="s">
        <v>5</v>
      </c>
      <c r="C27" s="55"/>
      <c r="D27" s="53">
        <v>2508552.1722110799</v>
      </c>
      <c r="E27" s="54">
        <v>19.078159279244399</v>
      </c>
      <c r="F27" s="56"/>
      <c r="G27" s="53">
        <v>1367274.53399943</v>
      </c>
      <c r="H27" s="54">
        <v>19.597962004863401</v>
      </c>
      <c r="I27" s="30"/>
      <c r="J27" s="53">
        <v>1011933.33566849</v>
      </c>
      <c r="K27" s="54">
        <v>16.481030631762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55"/>
      <c r="C28" s="55"/>
      <c r="D28" s="53"/>
      <c r="E28" s="54"/>
      <c r="F28" s="56"/>
      <c r="G28" s="53"/>
      <c r="H28" s="54"/>
      <c r="I28" s="30"/>
      <c r="J28" s="53"/>
      <c r="K28" s="54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52" t="s">
        <v>6</v>
      </c>
      <c r="C29" s="52"/>
      <c r="D29" s="47">
        <v>14734013.187417099</v>
      </c>
      <c r="E29" s="48">
        <v>51.2513235799886</v>
      </c>
      <c r="F29" s="49"/>
      <c r="G29" s="47">
        <v>8053760.55996441</v>
      </c>
      <c r="H29" s="48">
        <v>51.159688714649903</v>
      </c>
      <c r="I29" s="50"/>
      <c r="J29" s="47">
        <v>6447784.3286635801</v>
      </c>
      <c r="K29" s="48">
        <v>49.770103000361303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57"/>
      <c r="C30" s="57"/>
      <c r="D30" s="22"/>
      <c r="E30" s="58"/>
      <c r="F30" s="57"/>
      <c r="G30" s="22"/>
      <c r="H30" s="58"/>
      <c r="I30" s="58"/>
      <c r="J30" s="22"/>
      <c r="K30" s="58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59" t="s">
        <v>8</v>
      </c>
      <c r="C31" s="46"/>
      <c r="D31" s="47">
        <v>54724471.783623897</v>
      </c>
      <c r="E31" s="48">
        <v>100</v>
      </c>
      <c r="F31" s="49"/>
      <c r="G31" s="47">
        <v>28733115.775626201</v>
      </c>
      <c r="H31" s="48">
        <v>100</v>
      </c>
      <c r="I31" s="50"/>
      <c r="J31" s="47">
        <v>25428611.494824</v>
      </c>
      <c r="K31" s="48">
        <v>100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46"/>
      <c r="C32" s="46"/>
      <c r="D32" s="30"/>
      <c r="E32" s="30"/>
      <c r="F32" s="5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52" t="s">
        <v>2</v>
      </c>
      <c r="C33" s="52"/>
      <c r="D33" s="47">
        <v>31928795.531347301</v>
      </c>
      <c r="E33" s="48">
        <v>57.301899907082102</v>
      </c>
      <c r="F33" s="49"/>
      <c r="G33" s="47">
        <v>16291119.920968199</v>
      </c>
      <c r="H33" s="48">
        <v>55.464303756426801</v>
      </c>
      <c r="I33" s="50"/>
      <c r="J33" s="47">
        <v>15185156.2594398</v>
      </c>
      <c r="K33" s="48">
        <v>58.266889754289501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52"/>
      <c r="C34" s="60"/>
      <c r="D34" s="53"/>
      <c r="E34" s="54"/>
      <c r="F34" s="49"/>
      <c r="G34" s="53"/>
      <c r="H34" s="54"/>
      <c r="I34" s="5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.75" customHeight="1">
      <c r="A35" s="30"/>
      <c r="B35" s="55" t="s">
        <v>3</v>
      </c>
      <c r="C35" s="55"/>
      <c r="D35" s="53">
        <v>7935677.8190495502</v>
      </c>
      <c r="E35" s="54">
        <v>24.3467882073924</v>
      </c>
      <c r="F35" s="56"/>
      <c r="G35" s="53">
        <v>4243189.3128900304</v>
      </c>
      <c r="H35" s="54">
        <v>25.337190167392801</v>
      </c>
      <c r="I35" s="30"/>
      <c r="J35" s="53">
        <v>3404492.2846744899</v>
      </c>
      <c r="K35" s="54">
        <v>21.727347158767198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55" t="s">
        <v>4</v>
      </c>
      <c r="C36" s="55"/>
      <c r="D36" s="53">
        <v>16485274.0246411</v>
      </c>
      <c r="E36" s="54">
        <v>50.259660161870499</v>
      </c>
      <c r="F36" s="56"/>
      <c r="G36" s="53">
        <v>8236312.9004482301</v>
      </c>
      <c r="H36" s="54">
        <v>48.690219815780402</v>
      </c>
      <c r="I36" s="30"/>
      <c r="J36" s="53">
        <v>7924844.8912653597</v>
      </c>
      <c r="K36" s="54">
        <v>50.439291541424701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55" t="s">
        <v>5</v>
      </c>
      <c r="C37" s="55"/>
      <c r="D37" s="53">
        <v>6749110.0593526503</v>
      </c>
      <c r="E37" s="54">
        <v>20.502237670564998</v>
      </c>
      <c r="F37" s="56"/>
      <c r="G37" s="53">
        <v>3238811.9831454498</v>
      </c>
      <c r="H37" s="54">
        <v>18.953584500605299</v>
      </c>
      <c r="I37" s="30"/>
      <c r="J37" s="53">
        <v>3309482.7609367599</v>
      </c>
      <c r="K37" s="54">
        <v>21.025381716819901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55"/>
      <c r="C38" s="55"/>
      <c r="D38" s="53"/>
      <c r="E38" s="54"/>
      <c r="F38" s="56"/>
      <c r="G38" s="53"/>
      <c r="H38" s="54"/>
      <c r="I38" s="30"/>
      <c r="J38" s="53"/>
      <c r="K38" s="54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52" t="s">
        <v>6</v>
      </c>
      <c r="C39" s="52"/>
      <c r="D39" s="47">
        <v>22285101.764103901</v>
      </c>
      <c r="E39" s="48">
        <v>40.0195449650763</v>
      </c>
      <c r="F39" s="49"/>
      <c r="G39" s="47">
        <v>12055680.3402829</v>
      </c>
      <c r="H39" s="48">
        <v>40.874788402096797</v>
      </c>
      <c r="I39" s="50"/>
      <c r="J39" s="47">
        <v>9867266.9383810293</v>
      </c>
      <c r="K39" s="48">
        <v>37.932202467938801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61"/>
      <c r="C40" s="61"/>
      <c r="D40" s="61"/>
      <c r="E40" s="61"/>
      <c r="F40" s="61"/>
      <c r="G40" s="62"/>
      <c r="H40" s="62"/>
      <c r="I40" s="62"/>
      <c r="J40" s="62"/>
      <c r="K40" s="62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6.95" customHeight="1">
      <c r="A41" s="30"/>
      <c r="B41" s="63"/>
      <c r="C41" s="63"/>
      <c r="D41" s="63"/>
      <c r="E41" s="63"/>
      <c r="F41" s="63"/>
      <c r="G41" s="64"/>
      <c r="H41" s="64"/>
      <c r="I41" s="64"/>
      <c r="J41" s="64"/>
      <c r="K41" s="64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2" customHeight="1">
      <c r="A42" s="30"/>
      <c r="B42" s="255" t="s">
        <v>102</v>
      </c>
      <c r="C42" s="255"/>
      <c r="D42" s="255"/>
      <c r="E42" s="255"/>
      <c r="F42" s="255"/>
      <c r="G42" s="25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</sheetData>
  <mergeCells count="6">
    <mergeCell ref="B42:G42"/>
    <mergeCell ref="D7:E8"/>
    <mergeCell ref="G7:K7"/>
    <mergeCell ref="G8:H8"/>
    <mergeCell ref="J8:K8"/>
    <mergeCell ref="B7:B9"/>
  </mergeCells>
  <hyperlinks>
    <hyperlink ref="K1" location="Índice!A1" tooltip="Ir a ÍNDICE" display="INDICE" xr:uid="{FCDD443C-56B9-4702-B4B9-5FDE28D26B96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F17F-F924-41CB-B45B-DACC0A6EAA4B}">
  <dimension ref="A1:W49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65"/>
      <c r="F4" s="66"/>
      <c r="G4" s="66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67" t="s">
        <v>71</v>
      </c>
      <c r="C5" s="67"/>
      <c r="D5" s="67"/>
      <c r="E5" s="67"/>
      <c r="F5" s="66"/>
      <c r="G5" s="66"/>
      <c r="H5" s="30"/>
      <c r="I5" s="30"/>
      <c r="J5" s="30"/>
      <c r="K5" s="35" t="s">
        <v>52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68"/>
      <c r="C6" s="68"/>
      <c r="D6" s="68"/>
      <c r="E6" s="68"/>
      <c r="F6" s="69"/>
      <c r="G6" s="6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2" t="s">
        <v>103</v>
      </c>
      <c r="C7" s="70"/>
      <c r="D7" s="263" t="s">
        <v>131</v>
      </c>
      <c r="E7" s="263"/>
      <c r="F7" s="71"/>
      <c r="G7" s="258" t="s">
        <v>132</v>
      </c>
      <c r="H7" s="258"/>
      <c r="I7" s="258"/>
      <c r="J7" s="258"/>
      <c r="K7" s="25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0"/>
      <c r="C8" s="40"/>
      <c r="D8" s="257"/>
      <c r="E8" s="257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85074250.450445905</v>
      </c>
      <c r="E11" s="48">
        <v>100</v>
      </c>
      <c r="F11" s="49"/>
      <c r="G11" s="47">
        <v>45189093.536525302</v>
      </c>
      <c r="H11" s="48">
        <v>100</v>
      </c>
      <c r="I11" s="50"/>
      <c r="J11" s="47">
        <v>38949471.211108603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2"/>
      <c r="C12" s="72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74" t="s">
        <v>9</v>
      </c>
      <c r="C13" s="75"/>
      <c r="D13" s="47">
        <v>24033116.495335799</v>
      </c>
      <c r="E13" s="48">
        <v>27.833050461701198</v>
      </c>
      <c r="F13" s="49"/>
      <c r="G13" s="47">
        <v>12476369.6474168</v>
      </c>
      <c r="H13" s="48">
        <v>27.0469603357704</v>
      </c>
      <c r="I13" s="50"/>
      <c r="J13" s="47">
        <v>11084380.6534911</v>
      </c>
      <c r="K13" s="48">
        <v>27.8702754447947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75"/>
      <c r="C14" s="75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76" t="s">
        <v>10</v>
      </c>
      <c r="C15" s="77"/>
      <c r="D15" s="53">
        <v>4454936.2518496402</v>
      </c>
      <c r="E15" s="54">
        <v>18.0550360114296</v>
      </c>
      <c r="F15" s="56"/>
      <c r="G15" s="53">
        <v>1907363.76461598</v>
      </c>
      <c r="H15" s="54">
        <v>14.6654452520447</v>
      </c>
      <c r="I15" s="30"/>
      <c r="J15" s="53">
        <v>2353045.9546290501</v>
      </c>
      <c r="K15" s="54">
        <v>20.4639274303706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76" t="s">
        <v>11</v>
      </c>
      <c r="C16" s="77"/>
      <c r="D16" s="53">
        <v>1919370.25280503</v>
      </c>
      <c r="E16" s="54">
        <v>7.6773254081479401</v>
      </c>
      <c r="F16" s="56"/>
      <c r="G16" s="53">
        <v>919866.48235026596</v>
      </c>
      <c r="H16" s="54">
        <v>6.9501553524862496</v>
      </c>
      <c r="I16" s="30"/>
      <c r="J16" s="53">
        <v>872727.28756281699</v>
      </c>
      <c r="K16" s="54">
        <v>7.4718180687780604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76" t="s">
        <v>64</v>
      </c>
      <c r="C17" s="77"/>
      <c r="D17" s="53">
        <v>9074076.1916726995</v>
      </c>
      <c r="E17" s="54">
        <v>36.597455539980899</v>
      </c>
      <c r="F17" s="56"/>
      <c r="G17" s="53">
        <v>4250382.3225805601</v>
      </c>
      <c r="H17" s="54">
        <v>32.378148726964703</v>
      </c>
      <c r="I17" s="30"/>
      <c r="J17" s="53">
        <v>4583094.5929840002</v>
      </c>
      <c r="K17" s="54">
        <v>39.7023546530109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76" t="s">
        <v>12</v>
      </c>
      <c r="C18" s="77"/>
      <c r="D18" s="53">
        <v>16362635.9540623</v>
      </c>
      <c r="E18" s="54">
        <v>66.884225190755998</v>
      </c>
      <c r="F18" s="56"/>
      <c r="G18" s="53">
        <v>8841768.2184156496</v>
      </c>
      <c r="H18" s="54">
        <v>69.223390034175296</v>
      </c>
      <c r="I18" s="30"/>
      <c r="J18" s="53">
        <v>7155998.5838641897</v>
      </c>
      <c r="K18" s="54">
        <v>62.578184155228399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76" t="s">
        <v>13</v>
      </c>
      <c r="C19" s="77"/>
      <c r="D19" s="53">
        <v>53163.503670830003</v>
      </c>
      <c r="E19" s="54">
        <v>0.21362165512480499</v>
      </c>
      <c r="F19" s="56"/>
      <c r="G19" s="53">
        <v>34542.465300903401</v>
      </c>
      <c r="H19" s="54">
        <v>0.26063455721576301</v>
      </c>
      <c r="I19" s="30"/>
      <c r="J19" s="53">
        <v>3855.06081627919</v>
      </c>
      <c r="K19" s="54">
        <v>3.2589421962325199E-2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77"/>
      <c r="C20" s="77"/>
      <c r="D20" s="22"/>
      <c r="E20" s="78"/>
      <c r="F20" s="79"/>
      <c r="G20" s="22"/>
      <c r="H20" s="78"/>
      <c r="I20" s="79"/>
      <c r="J20" s="22"/>
      <c r="K20" s="78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74" t="s">
        <v>14</v>
      </c>
      <c r="C21" s="80"/>
      <c r="D21" s="47">
        <v>60110568.797985397</v>
      </c>
      <c r="E21" s="48">
        <v>70.039547328158505</v>
      </c>
      <c r="F21" s="49"/>
      <c r="G21" s="47">
        <v>32077056.100157298</v>
      </c>
      <c r="H21" s="48">
        <v>69.9911419461219</v>
      </c>
      <c r="I21" s="50"/>
      <c r="J21" s="47">
        <v>27353125.658330899</v>
      </c>
      <c r="K21" s="48">
        <v>69.222250303154894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81"/>
      <c r="C22" s="81"/>
      <c r="D22" s="22"/>
      <c r="E22" s="30"/>
      <c r="F22" s="82"/>
      <c r="G22" s="22"/>
      <c r="H22" s="30"/>
      <c r="I22" s="30"/>
      <c r="J22" s="22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83" t="s">
        <v>7</v>
      </c>
      <c r="C23" s="84"/>
      <c r="D23" s="47">
        <v>27919808.370060898</v>
      </c>
      <c r="E23" s="48">
        <v>100</v>
      </c>
      <c r="F23" s="49"/>
      <c r="G23" s="47">
        <v>15147712.0036007</v>
      </c>
      <c r="H23" s="48">
        <v>100</v>
      </c>
      <c r="I23" s="50"/>
      <c r="J23" s="47">
        <v>12466861.324348001</v>
      </c>
      <c r="K23" s="48">
        <v>100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84"/>
      <c r="C24" s="84"/>
      <c r="D24" s="30"/>
      <c r="E24" s="30"/>
      <c r="F24" s="51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74" t="s">
        <v>9</v>
      </c>
      <c r="C25" s="75"/>
      <c r="D25" s="47">
        <v>8202898.4569049804</v>
      </c>
      <c r="E25" s="48">
        <v>28.163950633062999</v>
      </c>
      <c r="F25" s="49"/>
      <c r="G25" s="47">
        <v>4230957.9151096102</v>
      </c>
      <c r="H25" s="48">
        <v>26.663742046100001</v>
      </c>
      <c r="I25" s="50"/>
      <c r="J25" s="47">
        <v>3753882.1156770801</v>
      </c>
      <c r="K25" s="48">
        <v>28.547795205773799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75"/>
      <c r="C26" s="75"/>
      <c r="D26" s="53"/>
      <c r="E26" s="54"/>
      <c r="F26" s="49"/>
      <c r="G26" s="53"/>
      <c r="H26" s="54"/>
      <c r="I26" s="50"/>
      <c r="J26" s="53"/>
      <c r="K26" s="54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76" t="s">
        <v>10</v>
      </c>
      <c r="C27" s="77"/>
      <c r="D27" s="53">
        <v>1023543.94403032</v>
      </c>
      <c r="E27" s="54">
        <v>11.895063207161799</v>
      </c>
      <c r="F27" s="56"/>
      <c r="G27" s="53">
        <v>403987.61440501298</v>
      </c>
      <c r="H27" s="54">
        <v>8.9084203662942301</v>
      </c>
      <c r="I27" s="30"/>
      <c r="J27" s="53">
        <v>526115.75893190398</v>
      </c>
      <c r="K27" s="54">
        <v>13.1065772525972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76" t="s">
        <v>11</v>
      </c>
      <c r="C28" s="77"/>
      <c r="D28" s="53">
        <v>316453.95433890098</v>
      </c>
      <c r="E28" s="54">
        <v>3.5041088365857398</v>
      </c>
      <c r="F28" s="56"/>
      <c r="G28" s="53">
        <v>173273.65429061101</v>
      </c>
      <c r="H28" s="54">
        <v>3.5827986337631201</v>
      </c>
      <c r="I28" s="30"/>
      <c r="J28" s="53">
        <v>110733.222430832</v>
      </c>
      <c r="K28" s="54">
        <v>2.6702694961043201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76" t="s">
        <v>64</v>
      </c>
      <c r="C29" s="77"/>
      <c r="D29" s="53">
        <v>3474574.97242539</v>
      </c>
      <c r="E29" s="54">
        <v>40.4514023822844</v>
      </c>
      <c r="F29" s="56"/>
      <c r="G29" s="53">
        <v>1629273.6511460301</v>
      </c>
      <c r="H29" s="54">
        <v>34.936197651198803</v>
      </c>
      <c r="I29" s="30"/>
      <c r="J29" s="53">
        <v>1743666.5869906701</v>
      </c>
      <c r="K29" s="54">
        <v>43.840713944604502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76" t="s">
        <v>12</v>
      </c>
      <c r="C30" s="77"/>
      <c r="D30" s="53">
        <v>6059564.1668740502</v>
      </c>
      <c r="E30" s="54">
        <v>71.746959714255198</v>
      </c>
      <c r="F30" s="56"/>
      <c r="G30" s="53">
        <v>3158902.9164567599</v>
      </c>
      <c r="H30" s="54">
        <v>71.933007075284806</v>
      </c>
      <c r="I30" s="30"/>
      <c r="J30" s="53">
        <v>2700158.2533713598</v>
      </c>
      <c r="K30" s="54">
        <v>68.888282212838106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76" t="s">
        <v>13</v>
      </c>
      <c r="C31" s="77"/>
      <c r="D31" s="53">
        <v>6859.5710807098803</v>
      </c>
      <c r="E31" s="54">
        <v>7.5175859504534703E-2</v>
      </c>
      <c r="F31" s="56"/>
      <c r="G31" s="53">
        <v>2857.9923772519501</v>
      </c>
      <c r="H31" s="54">
        <v>5.7864634290907199E-2</v>
      </c>
      <c r="I31" s="30"/>
      <c r="J31" s="53">
        <v>0</v>
      </c>
      <c r="K31" s="54">
        <v>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77"/>
      <c r="C32" s="77"/>
      <c r="D32" s="22"/>
      <c r="E32" s="78"/>
      <c r="F32" s="79"/>
      <c r="G32" s="22"/>
      <c r="H32" s="78"/>
      <c r="I32" s="79"/>
      <c r="J32" s="22"/>
      <c r="K32" s="78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74" t="s">
        <v>14</v>
      </c>
      <c r="C33" s="80"/>
      <c r="D33" s="47">
        <v>19277361.599662401</v>
      </c>
      <c r="E33" s="48">
        <v>67.46295149158</v>
      </c>
      <c r="F33" s="49"/>
      <c r="G33" s="47">
        <v>10550377.0136583</v>
      </c>
      <c r="H33" s="48">
        <v>67.423465465044899</v>
      </c>
      <c r="I33" s="50"/>
      <c r="J33" s="47">
        <v>8464580.1018743291</v>
      </c>
      <c r="K33" s="48">
        <v>66.083373342278904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80"/>
      <c r="C34" s="80"/>
      <c r="D34" s="22"/>
      <c r="E34" s="30"/>
      <c r="F34" s="85"/>
      <c r="G34" s="22"/>
      <c r="H34" s="30"/>
      <c r="I34" s="30"/>
      <c r="J34" s="22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83" t="s">
        <v>8</v>
      </c>
      <c r="C35" s="84"/>
      <c r="D35" s="47">
        <v>54724471.783623897</v>
      </c>
      <c r="E35" s="48">
        <v>100</v>
      </c>
      <c r="F35" s="49"/>
      <c r="G35" s="47">
        <v>28733115.775626201</v>
      </c>
      <c r="H35" s="48">
        <v>100</v>
      </c>
      <c r="I35" s="50"/>
      <c r="J35" s="47">
        <v>25428611.494824</v>
      </c>
      <c r="K35" s="48">
        <v>100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84"/>
      <c r="C36" s="84"/>
      <c r="D36" s="30"/>
      <c r="E36" s="30"/>
      <c r="F36" s="5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74" t="s">
        <v>9</v>
      </c>
      <c r="C37" s="75"/>
      <c r="D37" s="47">
        <v>15008836.5419802</v>
      </c>
      <c r="E37" s="48">
        <v>26.893157833474</v>
      </c>
      <c r="F37" s="49"/>
      <c r="G37" s="47">
        <v>7720713.9911956899</v>
      </c>
      <c r="H37" s="48">
        <v>26.203511784301899</v>
      </c>
      <c r="I37" s="50"/>
      <c r="J37" s="47">
        <v>6951247.8868454304</v>
      </c>
      <c r="K37" s="48">
        <v>26.585644720449501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75"/>
      <c r="C38" s="75"/>
      <c r="D38" s="53"/>
      <c r="E38" s="54"/>
      <c r="F38" s="49"/>
      <c r="G38" s="53"/>
      <c r="H38" s="54"/>
      <c r="I38" s="50"/>
      <c r="J38" s="53"/>
      <c r="K38" s="54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76" t="s">
        <v>10</v>
      </c>
      <c r="C39" s="77"/>
      <c r="D39" s="53">
        <v>3183354.2301094998</v>
      </c>
      <c r="E39" s="54">
        <v>20.306037223713499</v>
      </c>
      <c r="F39" s="56"/>
      <c r="G39" s="53">
        <v>1366190.6541929699</v>
      </c>
      <c r="H39" s="54">
        <v>16.6843850710809</v>
      </c>
      <c r="I39" s="30"/>
      <c r="J39" s="53">
        <v>1656642.1490398201</v>
      </c>
      <c r="K39" s="54">
        <v>22.689912044145299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15" customHeight="1">
      <c r="A40" s="30"/>
      <c r="B40" s="76" t="s">
        <v>11</v>
      </c>
      <c r="C40" s="77"/>
      <c r="D40" s="53">
        <v>1521540.6627005399</v>
      </c>
      <c r="E40" s="54">
        <v>9.63349801262558</v>
      </c>
      <c r="F40" s="56"/>
      <c r="G40" s="53">
        <v>687356.95403332799</v>
      </c>
      <c r="H40" s="54">
        <v>8.2599278551971995</v>
      </c>
      <c r="I40" s="30"/>
      <c r="J40" s="53">
        <v>712860.58109998901</v>
      </c>
      <c r="K40" s="54">
        <v>9.5875682045741701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76" t="s">
        <v>64</v>
      </c>
      <c r="C41" s="77"/>
      <c r="D41" s="53">
        <v>5185793.9734445997</v>
      </c>
      <c r="E41" s="54">
        <v>33.0773632559128</v>
      </c>
      <c r="F41" s="56"/>
      <c r="G41" s="53">
        <v>2369657.5687048999</v>
      </c>
      <c r="H41" s="54">
        <v>29.034284103823499</v>
      </c>
      <c r="I41" s="30"/>
      <c r="J41" s="53">
        <v>2610157.0006333599</v>
      </c>
      <c r="K41" s="54">
        <v>35.518037504531698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76" t="s">
        <v>12</v>
      </c>
      <c r="C42" s="77"/>
      <c r="D42" s="53">
        <v>9707003.9183390997</v>
      </c>
      <c r="E42" s="54">
        <v>62.964036872524197</v>
      </c>
      <c r="F42" s="56"/>
      <c r="G42" s="53">
        <v>5276642.3824918196</v>
      </c>
      <c r="H42" s="54">
        <v>66.130789397515599</v>
      </c>
      <c r="I42" s="30"/>
      <c r="J42" s="53">
        <v>4173643.2663617702</v>
      </c>
      <c r="K42" s="54">
        <v>57.413027153605299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76" t="s">
        <v>13</v>
      </c>
      <c r="C43" s="77"/>
      <c r="D43" s="53">
        <v>28726.714859713</v>
      </c>
      <c r="E43" s="54">
        <v>0.18334899994859899</v>
      </c>
      <c r="F43" s="56"/>
      <c r="G43" s="53">
        <v>16770.482409024</v>
      </c>
      <c r="H43" s="54">
        <v>0.20107776475720299</v>
      </c>
      <c r="I43" s="30"/>
      <c r="J43" s="53">
        <v>1913.1238699108001</v>
      </c>
      <c r="K43" s="54">
        <v>2.50731497066068E-2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6.95" customHeight="1">
      <c r="A44" s="30"/>
      <c r="B44" s="77"/>
      <c r="C44" s="77"/>
      <c r="D44" s="22"/>
      <c r="E44" s="78"/>
      <c r="F44" s="79"/>
      <c r="G44" s="22"/>
      <c r="H44" s="78"/>
      <c r="I44" s="79"/>
      <c r="J44" s="22"/>
      <c r="K44" s="78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74" t="s">
        <v>14</v>
      </c>
      <c r="C45" s="77"/>
      <c r="D45" s="47">
        <v>39241050.582086198</v>
      </c>
      <c r="E45" s="48">
        <v>70.632149285999304</v>
      </c>
      <c r="F45" s="49"/>
      <c r="G45" s="47">
        <v>20651259.428377502</v>
      </c>
      <c r="H45" s="48">
        <v>70.333016088889906</v>
      </c>
      <c r="I45" s="50"/>
      <c r="J45" s="47">
        <v>18116695.090554599</v>
      </c>
      <c r="K45" s="48">
        <v>69.881990047788307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86"/>
      <c r="C46" s="87"/>
      <c r="D46" s="87"/>
      <c r="E46" s="87"/>
      <c r="F46" s="88"/>
      <c r="G46" s="88"/>
      <c r="H46" s="89"/>
      <c r="I46" s="88"/>
      <c r="J46" s="88"/>
      <c r="K46" s="89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6.95" customHeight="1">
      <c r="A47" s="30"/>
      <c r="B47" s="90"/>
      <c r="C47" s="91"/>
      <c r="D47" s="91"/>
      <c r="E47" s="91"/>
      <c r="F47" s="9"/>
      <c r="G47" s="9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2" customHeight="1">
      <c r="A48" s="30"/>
      <c r="B48" s="92" t="s">
        <v>73</v>
      </c>
      <c r="C48" s="92"/>
      <c r="D48" s="92"/>
      <c r="E48" s="92"/>
      <c r="F48" s="93"/>
      <c r="G48" s="93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2" customHeight="1">
      <c r="A49" s="30"/>
      <c r="B49" s="255" t="s">
        <v>102</v>
      </c>
      <c r="C49" s="255"/>
      <c r="D49" s="255"/>
      <c r="E49" s="255"/>
      <c r="F49" s="255"/>
      <c r="G49" s="25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INDICE" xr:uid="{3EFE825F-790F-4A81-A4ED-CD7EAE60C63A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11B6-B5C3-461A-B4D0-B88C8770FAF3}">
  <dimension ref="A1:W61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66"/>
      <c r="F4" s="66"/>
      <c r="G4" s="66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>
      <c r="A5" s="30"/>
      <c r="B5" s="67" t="s">
        <v>129</v>
      </c>
      <c r="C5" s="67"/>
      <c r="D5" s="67"/>
      <c r="E5" s="66"/>
      <c r="F5" s="66"/>
      <c r="G5" s="66"/>
      <c r="H5" s="30"/>
      <c r="I5" s="30"/>
      <c r="J5" s="30"/>
      <c r="K5" s="35" t="s">
        <v>53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94"/>
      <c r="C6" s="95"/>
      <c r="D6" s="95"/>
      <c r="E6" s="96"/>
      <c r="F6" s="96"/>
      <c r="G6" s="96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2" t="s">
        <v>104</v>
      </c>
      <c r="C7" s="70"/>
      <c r="D7" s="263" t="s">
        <v>131</v>
      </c>
      <c r="E7" s="263"/>
      <c r="F7" s="71"/>
      <c r="G7" s="258" t="s">
        <v>132</v>
      </c>
      <c r="H7" s="258"/>
      <c r="I7" s="258"/>
      <c r="J7" s="258"/>
      <c r="K7" s="25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0"/>
      <c r="C8" s="40"/>
      <c r="D8" s="257"/>
      <c r="E8" s="257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16</v>
      </c>
      <c r="C11" s="98"/>
      <c r="D11" s="47">
        <v>85074250.450445905</v>
      </c>
      <c r="E11" s="48">
        <v>100</v>
      </c>
      <c r="F11" s="49"/>
      <c r="G11" s="47">
        <v>45189093.536525302</v>
      </c>
      <c r="H11" s="48">
        <v>100</v>
      </c>
      <c r="I11" s="50"/>
      <c r="J11" s="47">
        <v>38949471.211108603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99" t="s">
        <v>17</v>
      </c>
      <c r="C13" s="80"/>
      <c r="D13" s="47">
        <v>31332679.148446102</v>
      </c>
      <c r="E13" s="48">
        <v>36.1817535788811</v>
      </c>
      <c r="F13" s="49"/>
      <c r="G13" s="47">
        <v>16017501.3732698</v>
      </c>
      <c r="H13" s="48">
        <v>34.618984606988498</v>
      </c>
      <c r="I13" s="50"/>
      <c r="J13" s="47">
        <v>14819984.598719601</v>
      </c>
      <c r="K13" s="48">
        <v>37.125244264638503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80"/>
      <c r="C14" s="80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customHeight="1">
      <c r="A15" s="30"/>
      <c r="B15" s="100" t="s">
        <v>105</v>
      </c>
      <c r="C15" s="101"/>
      <c r="D15" s="53">
        <v>18742686.893992599</v>
      </c>
      <c r="E15" s="54">
        <v>58.748770645807902</v>
      </c>
      <c r="F15" s="56"/>
      <c r="G15" s="53">
        <v>10279761.511539601</v>
      </c>
      <c r="H15" s="54">
        <v>62.810555477214599</v>
      </c>
      <c r="I15" s="30"/>
      <c r="J15" s="53">
        <v>8099652.5130549697</v>
      </c>
      <c r="K15" s="54">
        <v>53.001531600546002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00" t="s">
        <v>18</v>
      </c>
      <c r="C16" s="101"/>
      <c r="D16" s="53">
        <v>12895226.409025799</v>
      </c>
      <c r="E16" s="54">
        <v>40.306732539255698</v>
      </c>
      <c r="F16" s="56"/>
      <c r="G16" s="53">
        <v>5927432.5146915298</v>
      </c>
      <c r="H16" s="54">
        <v>35.848808834305402</v>
      </c>
      <c r="I16" s="30"/>
      <c r="J16" s="53">
        <v>6677774.7000612104</v>
      </c>
      <c r="K16" s="54">
        <v>43.796092484559402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76" t="s">
        <v>19</v>
      </c>
      <c r="C17" s="77"/>
      <c r="D17" s="53">
        <v>2475304.5508250301</v>
      </c>
      <c r="E17" s="54">
        <v>7.68435272045833</v>
      </c>
      <c r="F17" s="56"/>
      <c r="G17" s="53">
        <v>988850.63712318998</v>
      </c>
      <c r="H17" s="54">
        <v>5.9169056906201902</v>
      </c>
      <c r="I17" s="30"/>
      <c r="J17" s="53">
        <v>1371759.8428660601</v>
      </c>
      <c r="K17" s="54">
        <v>8.8922619441155799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76" t="s">
        <v>20</v>
      </c>
      <c r="C18" s="77"/>
      <c r="D18" s="53">
        <v>3372156.1735411501</v>
      </c>
      <c r="E18" s="54">
        <v>10.4708472234746</v>
      </c>
      <c r="F18" s="56"/>
      <c r="G18" s="53">
        <v>1522947.85343208</v>
      </c>
      <c r="H18" s="54">
        <v>9.1734738315820099</v>
      </c>
      <c r="I18" s="30"/>
      <c r="J18" s="53">
        <v>1685225.08840274</v>
      </c>
      <c r="K18" s="54">
        <v>10.905954758324899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76" t="s">
        <v>21</v>
      </c>
      <c r="C19" s="77"/>
      <c r="D19" s="53">
        <v>1340041.19008751</v>
      </c>
      <c r="E19" s="54">
        <v>4.1489582497167197</v>
      </c>
      <c r="F19" s="56"/>
      <c r="G19" s="53">
        <v>451883.73089431803</v>
      </c>
      <c r="H19" s="54">
        <v>2.7007998391597798</v>
      </c>
      <c r="I19" s="30"/>
      <c r="J19" s="53">
        <v>797137.61027246097</v>
      </c>
      <c r="K19" s="54">
        <v>5.14063014880659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76" t="s">
        <v>22</v>
      </c>
      <c r="C20" s="77"/>
      <c r="D20" s="53">
        <v>4515135.6678082496</v>
      </c>
      <c r="E20" s="54">
        <v>14.011487857569101</v>
      </c>
      <c r="F20" s="56"/>
      <c r="G20" s="53">
        <v>1751098.1697975199</v>
      </c>
      <c r="H20" s="54">
        <v>10.4705198009143</v>
      </c>
      <c r="I20" s="30"/>
      <c r="J20" s="53">
        <v>2627832.2095619701</v>
      </c>
      <c r="K20" s="54">
        <v>16.9902372605202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76" t="s">
        <v>23</v>
      </c>
      <c r="C21" s="77"/>
      <c r="D21" s="53">
        <v>1784246.0481674201</v>
      </c>
      <c r="E21" s="54">
        <v>5.5429705191718002</v>
      </c>
      <c r="F21" s="56"/>
      <c r="G21" s="53">
        <v>1338170.40071637</v>
      </c>
      <c r="H21" s="54">
        <v>8.0516272116000795</v>
      </c>
      <c r="I21" s="30"/>
      <c r="J21" s="53">
        <v>262637.72803750599</v>
      </c>
      <c r="K21" s="54">
        <v>1.7112012689843601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30" customHeight="1">
      <c r="A22" s="30"/>
      <c r="B22" s="100" t="s">
        <v>86</v>
      </c>
      <c r="C22" s="101"/>
      <c r="D22" s="53">
        <v>982606.65386458102</v>
      </c>
      <c r="E22" s="54">
        <v>3.05136959436732</v>
      </c>
      <c r="F22" s="56"/>
      <c r="G22" s="53">
        <v>322953.79672055697</v>
      </c>
      <c r="H22" s="54">
        <v>1.9413017130450401</v>
      </c>
      <c r="I22" s="30"/>
      <c r="J22" s="53">
        <v>585741.47222403297</v>
      </c>
      <c r="K22" s="54">
        <v>3.79491948347657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76" t="s">
        <v>24</v>
      </c>
      <c r="C23" s="77"/>
      <c r="D23" s="53">
        <v>0</v>
      </c>
      <c r="E23" s="54">
        <v>0</v>
      </c>
      <c r="F23" s="56"/>
      <c r="G23" s="53">
        <v>0</v>
      </c>
      <c r="H23" s="54">
        <v>0</v>
      </c>
      <c r="I23" s="30"/>
      <c r="J23" s="53">
        <v>0</v>
      </c>
      <c r="K23" s="54">
        <v>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77"/>
      <c r="C24" s="77"/>
      <c r="D24" s="79"/>
      <c r="E24" s="78"/>
      <c r="F24" s="79"/>
      <c r="G24" s="79"/>
      <c r="H24" s="78"/>
      <c r="I24" s="79"/>
      <c r="J24" s="79"/>
      <c r="K24" s="78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99" t="s">
        <v>25</v>
      </c>
      <c r="C25" s="80"/>
      <c r="D25" s="47">
        <v>52694274.303302698</v>
      </c>
      <c r="E25" s="48">
        <v>61.489422491273103</v>
      </c>
      <c r="F25" s="49"/>
      <c r="G25" s="47">
        <v>28530821.461188201</v>
      </c>
      <c r="H25" s="48">
        <v>62.387453607598999</v>
      </c>
      <c r="I25" s="50"/>
      <c r="J25" s="47">
        <v>23515242.9742334</v>
      </c>
      <c r="K25" s="48">
        <v>59.582362382379401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81"/>
      <c r="C26" s="81"/>
      <c r="D26" s="22"/>
      <c r="E26" s="30"/>
      <c r="F26" s="102"/>
      <c r="G26" s="22"/>
      <c r="H26" s="30"/>
      <c r="I26" s="30"/>
      <c r="J26" s="22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03" t="s">
        <v>7</v>
      </c>
      <c r="C27" s="104"/>
      <c r="D27" s="47">
        <v>27919808.370060898</v>
      </c>
      <c r="E27" s="48">
        <v>100</v>
      </c>
      <c r="F27" s="49"/>
      <c r="G27" s="47">
        <v>15147712.0036007</v>
      </c>
      <c r="H27" s="48">
        <v>100</v>
      </c>
      <c r="I27" s="50"/>
      <c r="J27" s="47">
        <v>12466861.324348001</v>
      </c>
      <c r="K27" s="48">
        <v>100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98"/>
      <c r="C28" s="98"/>
      <c r="D28" s="30"/>
      <c r="E28" s="30"/>
      <c r="F28" s="51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99" t="s">
        <v>17</v>
      </c>
      <c r="C29" s="80"/>
      <c r="D29" s="47">
        <v>6957275.6377249202</v>
      </c>
      <c r="E29" s="48">
        <v>23.9079186682083</v>
      </c>
      <c r="F29" s="49"/>
      <c r="G29" s="47">
        <v>3824267.1748120901</v>
      </c>
      <c r="H29" s="48">
        <v>24.243048902268001</v>
      </c>
      <c r="I29" s="50"/>
      <c r="J29" s="47">
        <v>2954094.6925607198</v>
      </c>
      <c r="K29" s="48">
        <v>22.387622421275701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80"/>
      <c r="C30" s="80"/>
      <c r="D30" s="53"/>
      <c r="E30" s="54"/>
      <c r="F30" s="49"/>
      <c r="G30" s="53"/>
      <c r="H30" s="54"/>
      <c r="I30" s="50"/>
      <c r="J30" s="53"/>
      <c r="K30" s="54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100" t="s">
        <v>105</v>
      </c>
      <c r="C31" s="101"/>
      <c r="D31" s="53">
        <v>4501195.3926485898</v>
      </c>
      <c r="E31" s="54">
        <v>62.475469647148202</v>
      </c>
      <c r="F31" s="56"/>
      <c r="G31" s="53">
        <v>2541486.0134273502</v>
      </c>
      <c r="H31" s="54">
        <v>64.521404791055005</v>
      </c>
      <c r="I31" s="30"/>
      <c r="J31" s="53">
        <v>1794531.64583533</v>
      </c>
      <c r="K31" s="54">
        <v>57.279287800169897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100" t="s">
        <v>18</v>
      </c>
      <c r="C32" s="101"/>
      <c r="D32" s="53">
        <v>1877422.7157938001</v>
      </c>
      <c r="E32" s="54">
        <v>25.300748230731202</v>
      </c>
      <c r="F32" s="56"/>
      <c r="G32" s="53">
        <v>855102.62294134998</v>
      </c>
      <c r="H32" s="54">
        <v>20.995875735300999</v>
      </c>
      <c r="I32" s="30"/>
      <c r="J32" s="53">
        <v>893225.60951106797</v>
      </c>
      <c r="K32" s="54">
        <v>27.665601080978501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76" t="s">
        <v>19</v>
      </c>
      <c r="C33" s="77"/>
      <c r="D33" s="53">
        <v>415303.18282614899</v>
      </c>
      <c r="E33" s="54">
        <v>5.4864033242422696</v>
      </c>
      <c r="F33" s="56"/>
      <c r="G33" s="53">
        <v>181802.06564718499</v>
      </c>
      <c r="H33" s="54">
        <v>4.2395251353179697</v>
      </c>
      <c r="I33" s="30"/>
      <c r="J33" s="53">
        <v>184730.98962038799</v>
      </c>
      <c r="K33" s="54">
        <v>5.7086920360789799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76" t="s">
        <v>20</v>
      </c>
      <c r="C34" s="77"/>
      <c r="D34" s="53">
        <v>707242.41235304798</v>
      </c>
      <c r="E34" s="54">
        <v>9.5419820842732292</v>
      </c>
      <c r="F34" s="56"/>
      <c r="G34" s="53">
        <v>284401.21275032201</v>
      </c>
      <c r="H34" s="54">
        <v>6.9649160646172001</v>
      </c>
      <c r="I34" s="30"/>
      <c r="J34" s="53">
        <v>348095.100847569</v>
      </c>
      <c r="K34" s="54">
        <v>10.543324243232201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76" t="s">
        <v>21</v>
      </c>
      <c r="C35" s="77"/>
      <c r="D35" s="53">
        <v>90836.180598704101</v>
      </c>
      <c r="E35" s="54">
        <v>1.19141087622388</v>
      </c>
      <c r="F35" s="56"/>
      <c r="G35" s="53">
        <v>17901.651309143501</v>
      </c>
      <c r="H35" s="54">
        <v>0.41164574756435202</v>
      </c>
      <c r="I35" s="30"/>
      <c r="J35" s="53">
        <v>48060.445959792698</v>
      </c>
      <c r="K35" s="54">
        <v>1.4715663928548901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76" t="s">
        <v>22</v>
      </c>
      <c r="C36" s="77"/>
      <c r="D36" s="53">
        <v>224396.93110066099</v>
      </c>
      <c r="E36" s="54">
        <v>2.9259480983955402</v>
      </c>
      <c r="F36" s="56"/>
      <c r="G36" s="53">
        <v>98618.607379505804</v>
      </c>
      <c r="H36" s="54">
        <v>2.2901031017270301</v>
      </c>
      <c r="I36" s="30"/>
      <c r="J36" s="53">
        <v>89352.130669914201</v>
      </c>
      <c r="K36" s="54">
        <v>2.7096384648276701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76" t="s">
        <v>23</v>
      </c>
      <c r="C37" s="77"/>
      <c r="D37" s="53">
        <v>568638.77016243397</v>
      </c>
      <c r="E37" s="54">
        <v>7.6754713062680304</v>
      </c>
      <c r="F37" s="56"/>
      <c r="G37" s="53">
        <v>467427.386536228</v>
      </c>
      <c r="H37" s="54">
        <v>11.1713044956497</v>
      </c>
      <c r="I37" s="30"/>
      <c r="J37" s="53">
        <v>48603.9150884189</v>
      </c>
      <c r="K37" s="54">
        <v>1.42209315399179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30" customHeight="1">
      <c r="A38" s="30"/>
      <c r="B38" s="100" t="s">
        <v>86</v>
      </c>
      <c r="C38" s="101"/>
      <c r="D38" s="53">
        <v>61122.418485804803</v>
      </c>
      <c r="E38" s="54">
        <v>0.82857742526554201</v>
      </c>
      <c r="F38" s="56"/>
      <c r="G38" s="53">
        <v>8443.3146431515906</v>
      </c>
      <c r="H38" s="54">
        <v>0.239957379154983</v>
      </c>
      <c r="I38" s="30"/>
      <c r="J38" s="53">
        <v>21504.805712524299</v>
      </c>
      <c r="K38" s="54">
        <v>0.66827933006012497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76" t="s">
        <v>24</v>
      </c>
      <c r="C39" s="77"/>
      <c r="D39" s="53">
        <v>0</v>
      </c>
      <c r="E39" s="54">
        <v>0</v>
      </c>
      <c r="F39" s="56"/>
      <c r="G39" s="53">
        <v>0</v>
      </c>
      <c r="H39" s="54">
        <v>0</v>
      </c>
      <c r="I39" s="30"/>
      <c r="J39" s="53">
        <v>0</v>
      </c>
      <c r="K39" s="54">
        <v>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77"/>
      <c r="C40" s="77"/>
      <c r="D40" s="79"/>
      <c r="E40" s="78"/>
      <c r="F40" s="79"/>
      <c r="G40" s="79"/>
      <c r="H40" s="78"/>
      <c r="I40" s="79"/>
      <c r="J40" s="79"/>
      <c r="K40" s="78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99" t="s">
        <v>25</v>
      </c>
      <c r="C41" s="80"/>
      <c r="D41" s="47">
        <v>20540052.3086305</v>
      </c>
      <c r="E41" s="48">
        <v>71.895721759699001</v>
      </c>
      <c r="F41" s="49"/>
      <c r="G41" s="47">
        <v>11067399.456808301</v>
      </c>
      <c r="H41" s="48">
        <v>70.959000501194893</v>
      </c>
      <c r="I41" s="50"/>
      <c r="J41" s="47">
        <v>9220577.7935518995</v>
      </c>
      <c r="K41" s="48">
        <v>71.910838110456893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6.95" customHeight="1">
      <c r="A42" s="30"/>
      <c r="B42" s="81"/>
      <c r="C42" s="81"/>
      <c r="D42" s="22"/>
      <c r="E42" s="30"/>
      <c r="F42" s="102"/>
      <c r="G42" s="22"/>
      <c r="H42" s="30"/>
      <c r="I42" s="30"/>
      <c r="J42" s="22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s="5" customFormat="1" ht="15" customHeight="1">
      <c r="A43" s="105"/>
      <c r="B43" s="103" t="s">
        <v>8</v>
      </c>
      <c r="C43" s="103"/>
      <c r="D43" s="47">
        <v>54724471.783623897</v>
      </c>
      <c r="E43" s="48">
        <v>100</v>
      </c>
      <c r="F43" s="49"/>
      <c r="G43" s="47">
        <v>28733115.775626201</v>
      </c>
      <c r="H43" s="48">
        <v>100</v>
      </c>
      <c r="I43" s="50"/>
      <c r="J43" s="47">
        <v>25428611.494824</v>
      </c>
      <c r="K43" s="48">
        <v>100</v>
      </c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</row>
    <row r="44" spans="1:23" ht="6.95" customHeight="1">
      <c r="A44" s="30"/>
      <c r="B44" s="98"/>
      <c r="C44" s="98"/>
      <c r="D44" s="47"/>
      <c r="E44" s="48"/>
      <c r="F44" s="49"/>
      <c r="G44" s="47"/>
      <c r="H44" s="48"/>
      <c r="I44" s="50"/>
      <c r="J44" s="47"/>
      <c r="K44" s="48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99" t="s">
        <v>17</v>
      </c>
      <c r="C45" s="80"/>
      <c r="D45" s="47">
        <v>23552103.897339098</v>
      </c>
      <c r="E45" s="48">
        <v>41.916723871375503</v>
      </c>
      <c r="F45" s="49"/>
      <c r="G45" s="47">
        <v>11698220.878479401</v>
      </c>
      <c r="H45" s="48">
        <v>39.317662231238799</v>
      </c>
      <c r="I45" s="50"/>
      <c r="J45" s="47">
        <v>11464603.614946401</v>
      </c>
      <c r="K45" s="48">
        <v>43.665755218174702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80"/>
      <c r="C46" s="80"/>
      <c r="D46" s="53"/>
      <c r="E46" s="54"/>
      <c r="F46" s="56"/>
      <c r="G46" s="53"/>
      <c r="H46" s="54"/>
      <c r="I46" s="30"/>
      <c r="J46" s="53"/>
      <c r="K46" s="54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30" customHeight="1">
      <c r="A47" s="30"/>
      <c r="B47" s="100" t="s">
        <v>105</v>
      </c>
      <c r="C47" s="101"/>
      <c r="D47" s="53">
        <v>13685589.8193771</v>
      </c>
      <c r="E47" s="54">
        <v>56.788242191737602</v>
      </c>
      <c r="F47" s="56"/>
      <c r="G47" s="53">
        <v>7364274.3047642196</v>
      </c>
      <c r="H47" s="54">
        <v>61.157826678739902</v>
      </c>
      <c r="I47" s="30"/>
      <c r="J47" s="53">
        <v>6031718.9697734797</v>
      </c>
      <c r="K47" s="54">
        <v>50.704039666567503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100" t="s">
        <v>18</v>
      </c>
      <c r="C48" s="101"/>
      <c r="D48" s="53">
        <v>10715186.073174899</v>
      </c>
      <c r="E48" s="54">
        <v>44.334512884985799</v>
      </c>
      <c r="F48" s="56"/>
      <c r="G48" s="53">
        <v>4870846.8473567897</v>
      </c>
      <c r="H48" s="54">
        <v>39.998670212523002</v>
      </c>
      <c r="I48" s="30"/>
      <c r="J48" s="53">
        <v>5606846.9966372997</v>
      </c>
      <c r="K48" s="54">
        <v>47.331238888331299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5" customHeight="1">
      <c r="A49" s="30"/>
      <c r="B49" s="76" t="s">
        <v>19</v>
      </c>
      <c r="C49" s="77"/>
      <c r="D49" s="53">
        <v>1925665.5519679701</v>
      </c>
      <c r="E49" s="54">
        <v>7.8745436583937698</v>
      </c>
      <c r="F49" s="56"/>
      <c r="G49" s="53">
        <v>737695.11760108301</v>
      </c>
      <c r="H49" s="54">
        <v>5.9691358718407503</v>
      </c>
      <c r="I49" s="30"/>
      <c r="J49" s="53">
        <v>1087206.2331920301</v>
      </c>
      <c r="K49" s="54">
        <v>9.0312026017599791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15" customHeight="1">
      <c r="A50" s="30"/>
      <c r="B50" s="76" t="s">
        <v>20</v>
      </c>
      <c r="C50" s="77"/>
      <c r="D50" s="53">
        <v>2475673.4539948301</v>
      </c>
      <c r="E50" s="54">
        <v>10.141374906397299</v>
      </c>
      <c r="F50" s="56"/>
      <c r="G50" s="53">
        <v>1098713.0496681901</v>
      </c>
      <c r="H50" s="54">
        <v>8.95733211999171</v>
      </c>
      <c r="I50" s="30"/>
      <c r="J50" s="53">
        <v>1240788.3825219299</v>
      </c>
      <c r="K50" s="54">
        <v>10.327416184230101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5" customHeight="1">
      <c r="A51" s="30"/>
      <c r="B51" s="76" t="s">
        <v>21</v>
      </c>
      <c r="C51" s="77"/>
      <c r="D51" s="53">
        <v>1192350.1700156699</v>
      </c>
      <c r="E51" s="54">
        <v>4.8590052498938698</v>
      </c>
      <c r="F51" s="56"/>
      <c r="G51" s="53">
        <v>403884.70080779301</v>
      </c>
      <c r="H51" s="54">
        <v>3.2624467981977201</v>
      </c>
      <c r="I51" s="30"/>
      <c r="J51" s="53">
        <v>702019.653110769</v>
      </c>
      <c r="K51" s="54">
        <v>5.7966585260201198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15" customHeight="1">
      <c r="A52" s="30"/>
      <c r="B52" s="76" t="s">
        <v>22</v>
      </c>
      <c r="C52" s="77"/>
      <c r="D52" s="53">
        <v>4184693.3004178298</v>
      </c>
      <c r="E52" s="54">
        <v>17.107250922671501</v>
      </c>
      <c r="F52" s="56"/>
      <c r="G52" s="53">
        <v>1596892.1882178001</v>
      </c>
      <c r="H52" s="54">
        <v>12.8980454297651</v>
      </c>
      <c r="I52" s="30"/>
      <c r="J52" s="53">
        <v>2459916.13316702</v>
      </c>
      <c r="K52" s="54">
        <v>20.396967695499701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15" customHeight="1">
      <c r="A53" s="30"/>
      <c r="B53" s="76" t="s">
        <v>23</v>
      </c>
      <c r="C53" s="77"/>
      <c r="D53" s="53">
        <v>1032316.71052352</v>
      </c>
      <c r="E53" s="54">
        <v>4.2548883531746</v>
      </c>
      <c r="F53" s="56"/>
      <c r="G53" s="53">
        <v>733549.01310513099</v>
      </c>
      <c r="H53" s="54">
        <v>6.0225940789276304</v>
      </c>
      <c r="I53" s="30"/>
      <c r="J53" s="53">
        <v>158228.62191899301</v>
      </c>
      <c r="K53" s="54">
        <v>1.3501130332839899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30" customHeight="1">
      <c r="A54" s="30"/>
      <c r="B54" s="100" t="s">
        <v>86</v>
      </c>
      <c r="C54" s="101"/>
      <c r="D54" s="53">
        <v>858506.03344316105</v>
      </c>
      <c r="E54" s="54">
        <v>3.5220596058976299</v>
      </c>
      <c r="F54" s="56"/>
      <c r="G54" s="53">
        <v>267246.48969650798</v>
      </c>
      <c r="H54" s="54">
        <v>2.17739113283668</v>
      </c>
      <c r="I54" s="30"/>
      <c r="J54" s="53">
        <v>523805.67174808198</v>
      </c>
      <c r="K54" s="54">
        <v>4.355442638794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3" ht="15" customHeight="1">
      <c r="A55" s="30"/>
      <c r="B55" s="76" t="s">
        <v>24</v>
      </c>
      <c r="C55" s="77"/>
      <c r="D55" s="53">
        <v>0</v>
      </c>
      <c r="E55" s="54">
        <v>0</v>
      </c>
      <c r="F55" s="56"/>
      <c r="G55" s="53">
        <v>0</v>
      </c>
      <c r="H55" s="54">
        <v>0</v>
      </c>
      <c r="I55" s="30"/>
      <c r="J55" s="53">
        <v>0</v>
      </c>
      <c r="K55" s="54">
        <v>0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spans="1:23" ht="6.95" customHeight="1">
      <c r="A56" s="30"/>
      <c r="B56" s="77"/>
      <c r="C56" s="77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3" ht="15" customHeight="1">
      <c r="A57" s="30"/>
      <c r="B57" s="99" t="s">
        <v>25</v>
      </c>
      <c r="C57" s="80"/>
      <c r="D57" s="47">
        <v>30610557.507493101</v>
      </c>
      <c r="E57" s="48">
        <v>55.270057250427598</v>
      </c>
      <c r="F57" s="49"/>
      <c r="G57" s="47">
        <v>16600930.853029599</v>
      </c>
      <c r="H57" s="48">
        <v>56.804917697625903</v>
      </c>
      <c r="I57" s="50"/>
      <c r="J57" s="47">
        <v>13549222.762357</v>
      </c>
      <c r="K57" s="48">
        <v>52.333289950355002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spans="1:23" ht="6.95" customHeight="1">
      <c r="A58" s="30"/>
      <c r="B58" s="106"/>
      <c r="C58" s="106"/>
      <c r="D58" s="106"/>
      <c r="E58" s="106"/>
      <c r="F58" s="106"/>
      <c r="G58" s="106"/>
      <c r="H58" s="107"/>
      <c r="I58" s="107"/>
      <c r="J58" s="107"/>
      <c r="K58" s="107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spans="1:23" ht="6.95" customHeight="1">
      <c r="A59" s="30"/>
      <c r="B59" s="9"/>
      <c r="C59" s="9"/>
      <c r="D59" s="9"/>
      <c r="E59" s="9"/>
      <c r="F59" s="9"/>
      <c r="G59" s="9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spans="1:23" ht="12" customHeight="1">
      <c r="A60" s="30"/>
      <c r="B60" s="108" t="s">
        <v>74</v>
      </c>
      <c r="C60" s="108"/>
      <c r="D60" s="108"/>
      <c r="E60" s="93"/>
      <c r="F60" s="93"/>
      <c r="G60" s="93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spans="1:23" ht="12" customHeight="1">
      <c r="A61" s="30"/>
      <c r="B61" s="255" t="s">
        <v>102</v>
      </c>
      <c r="C61" s="255"/>
      <c r="D61" s="255"/>
      <c r="E61" s="255"/>
      <c r="F61" s="255"/>
      <c r="G61" s="25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</sheetData>
  <mergeCells count="6">
    <mergeCell ref="B61:G61"/>
    <mergeCell ref="B7:B9"/>
    <mergeCell ref="D7:E8"/>
    <mergeCell ref="G7:K7"/>
    <mergeCell ref="G8:H8"/>
    <mergeCell ref="J8:K8"/>
  </mergeCells>
  <hyperlinks>
    <hyperlink ref="K1" location="Índice!A1" tooltip="Ir a ÍNDICE" display="INDICE" xr:uid="{93C51040-DF6F-43AE-AE62-761E4B31CA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0C30-47FA-49BF-824F-987C11B508E7}">
  <dimension ref="A1:W3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  <col min="13" max="13" width="11.85546875" bestFit="1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109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110"/>
      <c r="F4" s="110"/>
      <c r="G4" s="110"/>
      <c r="H4" s="110"/>
      <c r="I4" s="110"/>
      <c r="J4" s="11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5" t="s">
        <v>106</v>
      </c>
      <c r="C5" s="265"/>
      <c r="D5" s="265"/>
      <c r="E5" s="265"/>
      <c r="F5" s="265"/>
      <c r="G5" s="265"/>
      <c r="H5" s="111"/>
      <c r="I5" s="111"/>
      <c r="J5" s="111"/>
      <c r="K5" s="112" t="s">
        <v>54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2" t="s">
        <v>135</v>
      </c>
      <c r="C7" s="70"/>
      <c r="D7" s="263" t="s">
        <v>134</v>
      </c>
      <c r="E7" s="263"/>
      <c r="F7" s="71"/>
      <c r="G7" s="258" t="s">
        <v>132</v>
      </c>
      <c r="H7" s="258"/>
      <c r="I7" s="258"/>
      <c r="J7" s="258"/>
      <c r="K7" s="25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0"/>
      <c r="C8" s="40"/>
      <c r="D8" s="257"/>
      <c r="E8" s="257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31332679.148446102</v>
      </c>
      <c r="E11" s="48">
        <v>100</v>
      </c>
      <c r="F11" s="49"/>
      <c r="G11" s="47">
        <v>16017501.3732698</v>
      </c>
      <c r="H11" s="48">
        <v>100</v>
      </c>
      <c r="I11" s="50"/>
      <c r="J11" s="47">
        <v>14819984.598719601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15" t="s">
        <v>32</v>
      </c>
      <c r="C13" s="116"/>
      <c r="D13" s="53">
        <v>6658517.7828102503</v>
      </c>
      <c r="E13" s="54">
        <v>20.758368571536401</v>
      </c>
      <c r="F13" s="56"/>
      <c r="G13" s="53">
        <v>3247863.66005034</v>
      </c>
      <c r="H13" s="54">
        <v>19.580781356588201</v>
      </c>
      <c r="I13" s="30"/>
      <c r="J13" s="53">
        <v>3214578.9153310298</v>
      </c>
      <c r="K13" s="54">
        <v>20.921349787133899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117" t="s">
        <v>97</v>
      </c>
      <c r="C14" s="118"/>
      <c r="D14" s="53">
        <v>24180492.129499201</v>
      </c>
      <c r="E14" s="54">
        <v>76.045007661807205</v>
      </c>
      <c r="F14" s="56"/>
      <c r="G14" s="53">
        <v>12435574.930103799</v>
      </c>
      <c r="H14" s="54">
        <v>76.133865099521103</v>
      </c>
      <c r="I14" s="30"/>
      <c r="J14" s="53">
        <v>11311472.94338</v>
      </c>
      <c r="K14" s="54">
        <v>74.838761704084504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17" t="s">
        <v>96</v>
      </c>
      <c r="C15" s="118"/>
      <c r="D15" s="53">
        <v>14847.0418458475</v>
      </c>
      <c r="E15" s="54">
        <v>4.5974141500258699E-2</v>
      </c>
      <c r="F15" s="56"/>
      <c r="G15" s="53">
        <v>6734.4686314102401</v>
      </c>
      <c r="H15" s="54">
        <v>4.0295422626256197E-2</v>
      </c>
      <c r="I15" s="30"/>
      <c r="J15" s="53">
        <v>0</v>
      </c>
      <c r="K15" s="54">
        <v>0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6.95" customHeight="1">
      <c r="A16" s="30"/>
      <c r="B16" s="119"/>
      <c r="C16" s="119"/>
      <c r="D16" s="22"/>
      <c r="E16" s="120"/>
      <c r="F16" s="58"/>
      <c r="G16" s="22"/>
      <c r="H16" s="120"/>
      <c r="I16" s="120"/>
      <c r="J16" s="22"/>
      <c r="K16" s="12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21" t="s">
        <v>7</v>
      </c>
      <c r="C17" s="122"/>
      <c r="D17" s="47">
        <v>6957275.6377249202</v>
      </c>
      <c r="E17" s="48">
        <v>100</v>
      </c>
      <c r="F17" s="49"/>
      <c r="G17" s="47">
        <v>3824267.1748120901</v>
      </c>
      <c r="H17" s="48">
        <v>100</v>
      </c>
      <c r="I17" s="50"/>
      <c r="J17" s="47">
        <v>2954094.6925607198</v>
      </c>
      <c r="K17" s="48">
        <v>100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122"/>
      <c r="C18" s="122"/>
      <c r="D18" s="53"/>
      <c r="E18" s="54"/>
      <c r="F18" s="49"/>
      <c r="G18" s="53"/>
      <c r="H18" s="54"/>
      <c r="I18" s="50"/>
      <c r="J18" s="53"/>
      <c r="K18" s="54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15" t="s">
        <v>32</v>
      </c>
      <c r="C19" s="116"/>
      <c r="D19" s="53">
        <v>1421528.8365364</v>
      </c>
      <c r="E19" s="54">
        <v>19.192179041617798</v>
      </c>
      <c r="F19" s="56"/>
      <c r="G19" s="53">
        <v>844251.34956477105</v>
      </c>
      <c r="H19" s="54">
        <v>20.614015749686999</v>
      </c>
      <c r="I19" s="30"/>
      <c r="J19" s="53">
        <v>495190.75390415703</v>
      </c>
      <c r="K19" s="54">
        <v>15.319782582218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17" t="s">
        <v>97</v>
      </c>
      <c r="C20" s="118"/>
      <c r="D20" s="53">
        <v>5299487.3627079995</v>
      </c>
      <c r="E20" s="54">
        <v>72.892521814685793</v>
      </c>
      <c r="F20" s="56"/>
      <c r="G20" s="53">
        <v>2820709.4438410802</v>
      </c>
      <c r="H20" s="54">
        <v>69.759227496161998</v>
      </c>
      <c r="I20" s="30"/>
      <c r="J20" s="53">
        <v>2323410.6290458199</v>
      </c>
      <c r="K20" s="54">
        <v>74.804862057347194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17" t="s">
        <v>96</v>
      </c>
      <c r="C21" s="118"/>
      <c r="D21" s="53">
        <v>1768.130429132</v>
      </c>
      <c r="E21" s="54">
        <v>2.3882091653837801E-2</v>
      </c>
      <c r="F21" s="56"/>
      <c r="G21" s="53">
        <v>0</v>
      </c>
      <c r="H21" s="54">
        <v>0</v>
      </c>
      <c r="I21" s="30"/>
      <c r="J21" s="53">
        <v>0</v>
      </c>
      <c r="K21" s="54"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123"/>
      <c r="C22" s="123"/>
      <c r="D22" s="22"/>
      <c r="E22" s="124"/>
      <c r="F22" s="125"/>
      <c r="G22" s="22"/>
      <c r="H22" s="124"/>
      <c r="I22" s="124"/>
      <c r="J22" s="22"/>
      <c r="K22" s="124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121" t="s">
        <v>8</v>
      </c>
      <c r="C23" s="122"/>
      <c r="D23" s="47">
        <v>23552103.897339098</v>
      </c>
      <c r="E23" s="48">
        <v>100</v>
      </c>
      <c r="F23" s="49"/>
      <c r="G23" s="47">
        <v>11698220.878479401</v>
      </c>
      <c r="H23" s="48">
        <v>100</v>
      </c>
      <c r="I23" s="50"/>
      <c r="J23" s="47">
        <v>11464603.614946401</v>
      </c>
      <c r="K23" s="48">
        <v>100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122"/>
      <c r="C24" s="122"/>
      <c r="D24" s="53"/>
      <c r="E24" s="54"/>
      <c r="F24" s="49"/>
      <c r="G24" s="53"/>
      <c r="H24" s="54"/>
      <c r="I24" s="50"/>
      <c r="J24" s="53"/>
      <c r="K24" s="54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15" t="s">
        <v>32</v>
      </c>
      <c r="C25" s="116"/>
      <c r="D25" s="53">
        <v>4965335.4496329101</v>
      </c>
      <c r="E25" s="54">
        <v>20.469323883878701</v>
      </c>
      <c r="F25" s="56"/>
      <c r="G25" s="53">
        <v>2229145.1881873198</v>
      </c>
      <c r="H25" s="54">
        <v>18.215049415276599</v>
      </c>
      <c r="I25" s="30"/>
      <c r="J25" s="53">
        <v>2568463.5074503799</v>
      </c>
      <c r="K25" s="54">
        <v>21.495337845347901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17" t="s">
        <v>97</v>
      </c>
      <c r="C26" s="118"/>
      <c r="D26" s="53">
        <v>18252877.646036599</v>
      </c>
      <c r="E26" s="54">
        <v>76.258987908989099</v>
      </c>
      <c r="F26" s="56"/>
      <c r="G26" s="53">
        <v>9235565.5353885498</v>
      </c>
      <c r="H26" s="54">
        <v>77.363283586823002</v>
      </c>
      <c r="I26" s="30"/>
      <c r="J26" s="53">
        <v>8657495.5986742899</v>
      </c>
      <c r="K26" s="54">
        <v>73.844605542653696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17" t="s">
        <v>96</v>
      </c>
      <c r="C27" s="118"/>
      <c r="D27" s="53">
        <v>3040.6461246717499</v>
      </c>
      <c r="E27" s="54">
        <v>1.2399454194873301E-2</v>
      </c>
      <c r="F27" s="56"/>
      <c r="G27" s="53">
        <v>1330.76403278059</v>
      </c>
      <c r="H27" s="54">
        <v>1.08610094760314E-2</v>
      </c>
      <c r="I27" s="30"/>
      <c r="J27" s="53">
        <v>0</v>
      </c>
      <c r="K27" s="54"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26"/>
      <c r="C28" s="126"/>
      <c r="D28" s="126"/>
      <c r="E28" s="126"/>
      <c r="F28" s="126"/>
      <c r="G28" s="126"/>
      <c r="H28" s="127"/>
      <c r="I28" s="127"/>
      <c r="J28" s="127"/>
      <c r="K28" s="127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6.95" customHeight="1">
      <c r="A29" s="30"/>
      <c r="B29" s="128"/>
      <c r="C29" s="128"/>
      <c r="D29" s="128"/>
      <c r="E29" s="128"/>
      <c r="F29" s="128"/>
      <c r="G29" s="128"/>
      <c r="H29" s="110"/>
      <c r="I29" s="110"/>
      <c r="J29" s="110"/>
      <c r="K29" s="11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2" customHeight="1">
      <c r="A30" s="30"/>
      <c r="B30" s="129" t="s">
        <v>76</v>
      </c>
      <c r="C30" s="129"/>
      <c r="D30" s="129"/>
      <c r="E30" s="129"/>
      <c r="F30" s="129"/>
      <c r="G30" s="129"/>
      <c r="H30" s="129"/>
      <c r="I30" s="129"/>
      <c r="J30" s="129"/>
      <c r="K30" s="1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24" customHeight="1">
      <c r="A31" s="30"/>
      <c r="B31" s="264" t="s">
        <v>87</v>
      </c>
      <c r="C31" s="264"/>
      <c r="D31" s="264"/>
      <c r="E31" s="264"/>
      <c r="F31" s="264"/>
      <c r="G31" s="264"/>
      <c r="H31" s="264"/>
      <c r="I31" s="264"/>
      <c r="J31" s="264"/>
      <c r="K31" s="264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2" customHeight="1">
      <c r="A32" s="30"/>
      <c r="B32" s="255" t="s">
        <v>102</v>
      </c>
      <c r="C32" s="255"/>
      <c r="D32" s="255"/>
      <c r="E32" s="255"/>
      <c r="F32" s="255"/>
      <c r="G32" s="25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</sheetData>
  <mergeCells count="8">
    <mergeCell ref="B31:K31"/>
    <mergeCell ref="B32:G32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3DA4D48D-CD61-4DFA-8289-54C15A3EC28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92BA-B887-4473-826E-75BD95E402E3}">
  <dimension ref="A1:W93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266"/>
      <c r="C4" s="266"/>
      <c r="D4" s="266"/>
      <c r="E4" s="266"/>
      <c r="F4" s="266"/>
      <c r="G4" s="266"/>
      <c r="H4" s="266"/>
      <c r="I4" s="65"/>
      <c r="J4" s="65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s="2" customFormat="1" ht="30" customHeight="1">
      <c r="A5" s="131"/>
      <c r="B5" s="267" t="s">
        <v>137</v>
      </c>
      <c r="C5" s="267"/>
      <c r="D5" s="267"/>
      <c r="E5" s="267"/>
      <c r="F5" s="267"/>
      <c r="G5" s="267"/>
      <c r="H5" s="267"/>
      <c r="I5" s="132"/>
      <c r="J5" s="132"/>
      <c r="K5" s="112" t="s">
        <v>55</v>
      </c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20.100000000000001" customHeight="1">
      <c r="A7" s="30"/>
      <c r="B7" s="262" t="s">
        <v>138</v>
      </c>
      <c r="C7" s="70"/>
      <c r="D7" s="263" t="s">
        <v>134</v>
      </c>
      <c r="E7" s="263"/>
      <c r="F7" s="71"/>
      <c r="G7" s="258" t="s">
        <v>132</v>
      </c>
      <c r="H7" s="258"/>
      <c r="I7" s="258"/>
      <c r="J7" s="258"/>
      <c r="K7" s="25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20.100000000000001" customHeight="1">
      <c r="A8" s="30"/>
      <c r="B8" s="260"/>
      <c r="C8" s="40"/>
      <c r="D8" s="257"/>
      <c r="E8" s="257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20.100000000000001" customHeight="1">
      <c r="A9" s="30"/>
      <c r="B9" s="26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31332679.148446102</v>
      </c>
      <c r="E11" s="48">
        <v>100</v>
      </c>
      <c r="F11" s="49"/>
      <c r="G11" s="47">
        <v>16017501.3732698</v>
      </c>
      <c r="H11" s="48">
        <v>100</v>
      </c>
      <c r="I11" s="50"/>
      <c r="J11" s="47">
        <v>14819984.598719601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33" t="s">
        <v>90</v>
      </c>
      <c r="C13" s="98"/>
      <c r="D13" s="47"/>
      <c r="E13" s="48"/>
      <c r="F13" s="49"/>
      <c r="G13" s="47"/>
      <c r="H13" s="48"/>
      <c r="I13" s="50"/>
      <c r="J13" s="47"/>
      <c r="K13" s="48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98"/>
      <c r="C14" s="98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00" t="s">
        <v>98</v>
      </c>
      <c r="C15" s="98"/>
      <c r="D15" s="53">
        <v>16828103.511660401</v>
      </c>
      <c r="E15" s="54">
        <v>52.668054518682801</v>
      </c>
      <c r="F15" s="56"/>
      <c r="G15" s="53">
        <v>8001961.88208347</v>
      </c>
      <c r="H15" s="54">
        <v>48.414921435857302</v>
      </c>
      <c r="I15" s="30"/>
      <c r="J15" s="53">
        <v>8464148.1071428601</v>
      </c>
      <c r="K15" s="54">
        <v>55.717919845299697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00" t="s">
        <v>99</v>
      </c>
      <c r="C16" s="98"/>
      <c r="D16" s="53">
        <v>13179377.142424</v>
      </c>
      <c r="E16" s="54">
        <v>41.2585981299951</v>
      </c>
      <c r="F16" s="56"/>
      <c r="G16" s="53">
        <v>7177601.1647239299</v>
      </c>
      <c r="H16" s="54">
        <v>43.694755610500501</v>
      </c>
      <c r="I16" s="30"/>
      <c r="J16" s="53">
        <v>5690816.0503011504</v>
      </c>
      <c r="K16" s="54">
        <v>37.135796375197401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00" t="s">
        <v>100</v>
      </c>
      <c r="C17" s="98"/>
      <c r="D17" s="53">
        <v>656387.62366206106</v>
      </c>
      <c r="E17" s="54">
        <v>2.0311812711541499</v>
      </c>
      <c r="F17" s="56"/>
      <c r="G17" s="53">
        <v>370335.49464850099</v>
      </c>
      <c r="H17" s="54">
        <v>2.2258142857658298</v>
      </c>
      <c r="I17" s="30"/>
      <c r="J17" s="53">
        <v>225377.30900128101</v>
      </c>
      <c r="K17" s="54">
        <v>1.4461288036594899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134"/>
      <c r="C18" s="98"/>
      <c r="D18" s="22"/>
      <c r="E18" s="22"/>
      <c r="F18" s="22"/>
      <c r="G18" s="22"/>
      <c r="H18" s="22"/>
      <c r="I18" s="30"/>
      <c r="J18" s="22"/>
      <c r="K18" s="22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33" t="s">
        <v>91</v>
      </c>
      <c r="C19" s="98"/>
      <c r="D19" s="47"/>
      <c r="E19" s="48"/>
      <c r="F19" s="49"/>
      <c r="G19" s="47"/>
      <c r="H19" s="48"/>
      <c r="I19" s="50"/>
      <c r="J19" s="47"/>
      <c r="K19" s="48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98"/>
      <c r="C20" s="98"/>
      <c r="D20" s="53"/>
      <c r="E20" s="54"/>
      <c r="F20" s="49"/>
      <c r="G20" s="53"/>
      <c r="H20" s="54"/>
      <c r="I20" s="50"/>
      <c r="J20" s="53"/>
      <c r="K20" s="54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00" t="s">
        <v>98</v>
      </c>
      <c r="C21" s="98"/>
      <c r="D21" s="53">
        <v>19669792.579098701</v>
      </c>
      <c r="E21" s="54">
        <v>61.706804838156998</v>
      </c>
      <c r="F21" s="56"/>
      <c r="G21" s="53">
        <v>9467092.4574050996</v>
      </c>
      <c r="H21" s="54">
        <v>57.483334655591001</v>
      </c>
      <c r="I21" s="30"/>
      <c r="J21" s="53">
        <v>9832748.7227978595</v>
      </c>
      <c r="K21" s="54">
        <v>64.965206047651506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100" t="s">
        <v>99</v>
      </c>
      <c r="C22" s="98"/>
      <c r="D22" s="53">
        <v>10774049.0859844</v>
      </c>
      <c r="E22" s="54">
        <v>33.656296138610202</v>
      </c>
      <c r="F22" s="56"/>
      <c r="G22" s="53">
        <v>6010943.2524281899</v>
      </c>
      <c r="H22" s="54">
        <v>36.561867717221297</v>
      </c>
      <c r="I22" s="30"/>
      <c r="J22" s="53">
        <v>4497000.5072366297</v>
      </c>
      <c r="K22" s="54">
        <v>29.246099085437201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100" t="s">
        <v>100</v>
      </c>
      <c r="C23" s="98"/>
      <c r="D23" s="53">
        <v>274367.493060334</v>
      </c>
      <c r="E23" s="54">
        <v>0.84846875417963896</v>
      </c>
      <c r="F23" s="56"/>
      <c r="G23" s="53">
        <v>129387.283323255</v>
      </c>
      <c r="H23" s="54">
        <v>0.77550799093753797</v>
      </c>
      <c r="I23" s="30"/>
      <c r="J23" s="53">
        <v>101312.426279657</v>
      </c>
      <c r="K23" s="54">
        <v>0.64947331869478397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134"/>
      <c r="C24" s="98"/>
      <c r="D24" s="22"/>
      <c r="E24" s="22"/>
      <c r="F24" s="22"/>
      <c r="G24" s="22"/>
      <c r="H24" s="22"/>
      <c r="I24" s="30"/>
      <c r="J24" s="22"/>
      <c r="K24" s="22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33" t="s">
        <v>92</v>
      </c>
      <c r="C25" s="98"/>
      <c r="D25" s="47"/>
      <c r="E25" s="48"/>
      <c r="F25" s="49"/>
      <c r="G25" s="47"/>
      <c r="H25" s="48"/>
      <c r="I25" s="50"/>
      <c r="J25" s="47"/>
      <c r="K25" s="48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98"/>
      <c r="C26" s="98"/>
      <c r="D26" s="53"/>
      <c r="E26" s="54"/>
      <c r="F26" s="49"/>
      <c r="G26" s="53"/>
      <c r="H26" s="54"/>
      <c r="I26" s="50"/>
      <c r="J26" s="53"/>
      <c r="K26" s="54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00" t="s">
        <v>98</v>
      </c>
      <c r="C27" s="98"/>
      <c r="D27" s="53">
        <v>18707083.572924599</v>
      </c>
      <c r="E27" s="54">
        <v>58.633873602592502</v>
      </c>
      <c r="F27" s="56"/>
      <c r="G27" s="53">
        <v>9157002.7996363491</v>
      </c>
      <c r="H27" s="54">
        <v>55.695674348619903</v>
      </c>
      <c r="I27" s="30"/>
      <c r="J27" s="53">
        <v>9171492.2532308996</v>
      </c>
      <c r="K27" s="54">
        <v>60.396376552972903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100" t="s">
        <v>99</v>
      </c>
      <c r="C28" s="98"/>
      <c r="D28" s="53">
        <v>11778893.9719483</v>
      </c>
      <c r="E28" s="54">
        <v>36.8330036874532</v>
      </c>
      <c r="F28" s="56"/>
      <c r="G28" s="53">
        <v>6353031.2347866399</v>
      </c>
      <c r="H28" s="54">
        <v>38.5248304580861</v>
      </c>
      <c r="I28" s="30"/>
      <c r="J28" s="53">
        <v>5147859.2030034699</v>
      </c>
      <c r="K28" s="54">
        <v>33.616952936231797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00" t="s">
        <v>100</v>
      </c>
      <c r="C29" s="98"/>
      <c r="D29" s="53">
        <v>248803.39725446099</v>
      </c>
      <c r="E29" s="54">
        <v>0.769853654554427</v>
      </c>
      <c r="F29" s="56"/>
      <c r="G29" s="53">
        <v>97491.639428222697</v>
      </c>
      <c r="H29" s="54">
        <v>0.58789144948779304</v>
      </c>
      <c r="I29" s="30"/>
      <c r="J29" s="53">
        <v>105380.403827278</v>
      </c>
      <c r="K29" s="54">
        <v>0.67521508270021702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134"/>
      <c r="C30" s="98"/>
      <c r="D30" s="22"/>
      <c r="E30" s="22"/>
      <c r="F30" s="22"/>
      <c r="G30" s="22"/>
      <c r="H30" s="22"/>
      <c r="I30" s="30"/>
      <c r="J30" s="22"/>
      <c r="K30" s="22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133" t="s">
        <v>107</v>
      </c>
      <c r="C31" s="98"/>
      <c r="D31" s="47"/>
      <c r="E31" s="48"/>
      <c r="F31" s="49"/>
      <c r="G31" s="47"/>
      <c r="H31" s="48"/>
      <c r="I31" s="50"/>
      <c r="J31" s="47"/>
      <c r="K31" s="48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98"/>
      <c r="C32" s="98"/>
      <c r="D32" s="53"/>
      <c r="E32" s="54"/>
      <c r="F32" s="49"/>
      <c r="G32" s="53"/>
      <c r="H32" s="54"/>
      <c r="I32" s="50"/>
      <c r="J32" s="53"/>
      <c r="K32" s="54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00" t="s">
        <v>98</v>
      </c>
      <c r="C33" s="98"/>
      <c r="D33" s="53">
        <v>18936115.6973937</v>
      </c>
      <c r="E33" s="54">
        <v>59.389697339189397</v>
      </c>
      <c r="F33" s="56"/>
      <c r="G33" s="53">
        <v>8976548.5866677705</v>
      </c>
      <c r="H33" s="54">
        <v>54.442839917614101</v>
      </c>
      <c r="I33" s="30"/>
      <c r="J33" s="53">
        <v>9590816.4367629103</v>
      </c>
      <c r="K33" s="54">
        <v>63.416263354744601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100" t="s">
        <v>99</v>
      </c>
      <c r="C34" s="98"/>
      <c r="D34" s="53">
        <v>11625308.132883299</v>
      </c>
      <c r="E34" s="54">
        <v>36.352625632516201</v>
      </c>
      <c r="F34" s="56"/>
      <c r="G34" s="53">
        <v>6576382.7821001597</v>
      </c>
      <c r="H34" s="54">
        <v>40.081197167453702</v>
      </c>
      <c r="I34" s="30"/>
      <c r="J34" s="53">
        <v>4773299.6394331297</v>
      </c>
      <c r="K34" s="54">
        <v>31.027031242197602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100" t="s">
        <v>100</v>
      </c>
      <c r="C35" s="98"/>
      <c r="D35" s="53">
        <v>217062.49873347001</v>
      </c>
      <c r="E35" s="54">
        <v>0.66908206103545098</v>
      </c>
      <c r="F35" s="56"/>
      <c r="G35" s="53">
        <v>100551.624028103</v>
      </c>
      <c r="H35" s="54">
        <v>0.59713268481734205</v>
      </c>
      <c r="I35" s="30"/>
      <c r="J35" s="53">
        <v>83788.729384927996</v>
      </c>
      <c r="K35" s="54">
        <v>0.53715934923116504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119"/>
      <c r="C36" s="119"/>
      <c r="D36" s="22"/>
      <c r="E36" s="135"/>
      <c r="F36" s="135"/>
      <c r="G36" s="22"/>
      <c r="H36" s="135"/>
      <c r="I36" s="135"/>
      <c r="J36" s="22"/>
      <c r="K36" s="135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36" t="s">
        <v>7</v>
      </c>
      <c r="C37" s="137"/>
      <c r="D37" s="47">
        <v>6957275.6377249202</v>
      </c>
      <c r="E37" s="48">
        <v>100</v>
      </c>
      <c r="F37" s="49"/>
      <c r="G37" s="47">
        <v>3824267.1748120901</v>
      </c>
      <c r="H37" s="48">
        <v>100</v>
      </c>
      <c r="I37" s="50"/>
      <c r="J37" s="47">
        <v>2954094.6925607198</v>
      </c>
      <c r="K37" s="48">
        <v>100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98"/>
      <c r="C38" s="98"/>
      <c r="D38" s="30"/>
      <c r="E38" s="30"/>
      <c r="F38" s="5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33" t="s">
        <v>90</v>
      </c>
      <c r="C39" s="98"/>
      <c r="D39" s="47"/>
      <c r="E39" s="48"/>
      <c r="F39" s="49"/>
      <c r="G39" s="47"/>
      <c r="H39" s="48"/>
      <c r="I39" s="50"/>
      <c r="J39" s="47"/>
      <c r="K39" s="48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98"/>
      <c r="C40" s="98"/>
      <c r="D40" s="53"/>
      <c r="E40" s="54"/>
      <c r="F40" s="49"/>
      <c r="G40" s="53"/>
      <c r="H40" s="54"/>
      <c r="I40" s="50"/>
      <c r="J40" s="53"/>
      <c r="K40" s="54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00" t="s">
        <v>98</v>
      </c>
      <c r="C41" s="98"/>
      <c r="D41" s="53">
        <v>3349801.0734262001</v>
      </c>
      <c r="E41" s="54">
        <v>45.567776834122199</v>
      </c>
      <c r="F41" s="56"/>
      <c r="G41" s="53">
        <v>1693910.4243999899</v>
      </c>
      <c r="H41" s="54">
        <v>41.550486696435001</v>
      </c>
      <c r="I41" s="30"/>
      <c r="J41" s="53">
        <v>1498289.31536444</v>
      </c>
      <c r="K41" s="54">
        <v>46.898830939469903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00" t="s">
        <v>99</v>
      </c>
      <c r="C42" s="98"/>
      <c r="D42" s="53">
        <v>3106720.6538970601</v>
      </c>
      <c r="E42" s="54">
        <v>42.527756356692798</v>
      </c>
      <c r="F42" s="56"/>
      <c r="G42" s="53">
        <v>1749859.42922079</v>
      </c>
      <c r="H42" s="54">
        <v>42.469682065042697</v>
      </c>
      <c r="I42" s="30"/>
      <c r="J42" s="53">
        <v>1224298.86930286</v>
      </c>
      <c r="K42" s="54">
        <v>38.8566846406788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100" t="s">
        <v>100</v>
      </c>
      <c r="C43" s="98"/>
      <c r="D43" s="53">
        <v>191625.36723382401</v>
      </c>
      <c r="E43" s="54">
        <v>2.48968201221426</v>
      </c>
      <c r="F43" s="56"/>
      <c r="G43" s="53">
        <v>109548.03396043299</v>
      </c>
      <c r="H43" s="54">
        <v>2.6130035599153398</v>
      </c>
      <c r="I43" s="30"/>
      <c r="J43" s="53">
        <v>48119.163497452297</v>
      </c>
      <c r="K43" s="54">
        <v>1.4144436465039301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6.95" customHeight="1">
      <c r="A44" s="30"/>
      <c r="B44" s="134"/>
      <c r="C44" s="98"/>
      <c r="D44" s="22"/>
      <c r="E44" s="22"/>
      <c r="F44" s="22"/>
      <c r="G44" s="22"/>
      <c r="H44" s="22"/>
      <c r="I44" s="30"/>
      <c r="J44" s="22"/>
      <c r="K44" s="22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133" t="s">
        <v>91</v>
      </c>
      <c r="C45" s="98"/>
      <c r="D45" s="47"/>
      <c r="E45" s="48"/>
      <c r="F45" s="49"/>
      <c r="G45" s="47"/>
      <c r="H45" s="48"/>
      <c r="I45" s="50"/>
      <c r="J45" s="47"/>
      <c r="K45" s="48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98"/>
      <c r="C46" s="98"/>
      <c r="D46" s="53"/>
      <c r="E46" s="54"/>
      <c r="F46" s="49"/>
      <c r="G46" s="53"/>
      <c r="H46" s="54"/>
      <c r="I46" s="50"/>
      <c r="J46" s="53"/>
      <c r="K46" s="54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15" customHeight="1">
      <c r="A47" s="30"/>
      <c r="B47" s="100" t="s">
        <v>98</v>
      </c>
      <c r="C47" s="98"/>
      <c r="D47" s="53">
        <v>3707967.6129932399</v>
      </c>
      <c r="E47" s="54">
        <v>50.596248876095501</v>
      </c>
      <c r="F47" s="56"/>
      <c r="G47" s="53">
        <v>1958340.3731975199</v>
      </c>
      <c r="H47" s="54">
        <v>47.817888941034397</v>
      </c>
      <c r="I47" s="30"/>
      <c r="J47" s="53">
        <v>1624254.3264225</v>
      </c>
      <c r="K47" s="54">
        <v>51.041550879036897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100" t="s">
        <v>99</v>
      </c>
      <c r="C48" s="98"/>
      <c r="D48" s="53">
        <v>2826342.9091417901</v>
      </c>
      <c r="E48" s="54">
        <v>38.400816547488503</v>
      </c>
      <c r="F48" s="56"/>
      <c r="G48" s="53">
        <v>1584463.7412461599</v>
      </c>
      <c r="H48" s="54">
        <v>38.8818943909232</v>
      </c>
      <c r="I48" s="30"/>
      <c r="J48" s="53">
        <v>1105498.8028120601</v>
      </c>
      <c r="K48" s="54">
        <v>34.903934731487396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5" customHeight="1">
      <c r="A49" s="30"/>
      <c r="B49" s="100" t="s">
        <v>100</v>
      </c>
      <c r="C49" s="98"/>
      <c r="D49" s="53">
        <v>114719.298297381</v>
      </c>
      <c r="E49" s="54">
        <v>1.50393064312684</v>
      </c>
      <c r="F49" s="56"/>
      <c r="G49" s="53">
        <v>45528.7606465637</v>
      </c>
      <c r="H49" s="54">
        <v>1.0987864808572501</v>
      </c>
      <c r="I49" s="30"/>
      <c r="J49" s="53">
        <v>36882.268277951604</v>
      </c>
      <c r="K49" s="54">
        <v>1.0865096955649001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6.95" customHeight="1">
      <c r="A50" s="30"/>
      <c r="B50" s="134"/>
      <c r="C50" s="98"/>
      <c r="D50" s="22"/>
      <c r="E50" s="22"/>
      <c r="F50" s="22"/>
      <c r="G50" s="22"/>
      <c r="H50" s="22"/>
      <c r="I50" s="30"/>
      <c r="J50" s="22"/>
      <c r="K50" s="22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5" customHeight="1">
      <c r="A51" s="30"/>
      <c r="B51" s="133" t="s">
        <v>92</v>
      </c>
      <c r="C51" s="98"/>
      <c r="D51" s="47"/>
      <c r="E51" s="48"/>
      <c r="F51" s="49"/>
      <c r="G51" s="47"/>
      <c r="H51" s="48"/>
      <c r="I51" s="50"/>
      <c r="J51" s="47"/>
      <c r="K51" s="48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6.95" customHeight="1">
      <c r="A52" s="30"/>
      <c r="B52" s="98"/>
      <c r="C52" s="98"/>
      <c r="D52" s="53"/>
      <c r="E52" s="54"/>
      <c r="F52" s="49"/>
      <c r="G52" s="53"/>
      <c r="H52" s="54"/>
      <c r="I52" s="50"/>
      <c r="J52" s="53"/>
      <c r="K52" s="54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15" customHeight="1">
      <c r="A53" s="30"/>
      <c r="B53" s="100" t="s">
        <v>98</v>
      </c>
      <c r="C53" s="98"/>
      <c r="D53" s="53">
        <v>3622229.7406587899</v>
      </c>
      <c r="E53" s="54">
        <v>49.602364706511601</v>
      </c>
      <c r="F53" s="56"/>
      <c r="G53" s="53">
        <v>1984721.0262985199</v>
      </c>
      <c r="H53" s="54">
        <v>49.369284111411403</v>
      </c>
      <c r="I53" s="30"/>
      <c r="J53" s="53">
        <v>1509321.1304130601</v>
      </c>
      <c r="K53" s="54">
        <v>46.850810482694001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15" customHeight="1">
      <c r="A54" s="30"/>
      <c r="B54" s="100" t="s">
        <v>99</v>
      </c>
      <c r="C54" s="98"/>
      <c r="D54" s="53">
        <v>2971511.4038010198</v>
      </c>
      <c r="E54" s="54">
        <v>40.055391365158499</v>
      </c>
      <c r="F54" s="56"/>
      <c r="G54" s="53">
        <v>1577090.99663343</v>
      </c>
      <c r="H54" s="54">
        <v>37.374625684946203</v>
      </c>
      <c r="I54" s="30"/>
      <c r="J54" s="53">
        <v>1269116.81255799</v>
      </c>
      <c r="K54" s="54">
        <v>40.705337338448999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3" ht="15" customHeight="1">
      <c r="A55" s="30"/>
      <c r="B55" s="100" t="s">
        <v>100</v>
      </c>
      <c r="C55" s="98"/>
      <c r="D55" s="53">
        <v>65614.560675460103</v>
      </c>
      <c r="E55" s="54">
        <v>0.88844936501149097</v>
      </c>
      <c r="F55" s="56"/>
      <c r="G55" s="53">
        <v>20460.6889162117</v>
      </c>
      <c r="H55" s="54">
        <v>0.55844121573113403</v>
      </c>
      <c r="I55" s="30"/>
      <c r="J55" s="53">
        <v>15927.6587717935</v>
      </c>
      <c r="K55" s="54">
        <v>0.47493129931202699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spans="1:23" ht="6.95" customHeight="1">
      <c r="A56" s="30"/>
      <c r="B56" s="134"/>
      <c r="C56" s="98"/>
      <c r="D56" s="22"/>
      <c r="E56" s="22"/>
      <c r="F56" s="22"/>
      <c r="G56" s="22"/>
      <c r="H56" s="22"/>
      <c r="I56" s="30"/>
      <c r="J56" s="22"/>
      <c r="K56" s="22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3" ht="30" customHeight="1">
      <c r="A57" s="30"/>
      <c r="B57" s="133" t="s">
        <v>107</v>
      </c>
      <c r="C57" s="98"/>
      <c r="D57" s="47"/>
      <c r="E57" s="48"/>
      <c r="F57" s="49"/>
      <c r="G57" s="47"/>
      <c r="H57" s="48"/>
      <c r="I57" s="50"/>
      <c r="J57" s="47"/>
      <c r="K57" s="48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spans="1:23" ht="6.95" customHeight="1">
      <c r="A58" s="30"/>
      <c r="B58" s="98"/>
      <c r="C58" s="98"/>
      <c r="D58" s="53"/>
      <c r="E58" s="54"/>
      <c r="F58" s="49"/>
      <c r="G58" s="53"/>
      <c r="H58" s="54"/>
      <c r="I58" s="50"/>
      <c r="J58" s="53"/>
      <c r="K58" s="54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spans="1:23" ht="15" customHeight="1">
      <c r="A59" s="30"/>
      <c r="B59" s="100" t="s">
        <v>98</v>
      </c>
      <c r="C59" s="98"/>
      <c r="D59" s="53">
        <v>3674560.6248959699</v>
      </c>
      <c r="E59" s="54">
        <v>50.425634254397202</v>
      </c>
      <c r="F59" s="56"/>
      <c r="G59" s="53">
        <v>1962228.5924925799</v>
      </c>
      <c r="H59" s="54">
        <v>48.367432035926598</v>
      </c>
      <c r="I59" s="30"/>
      <c r="J59" s="53">
        <v>1579884.57634842</v>
      </c>
      <c r="K59" s="54">
        <v>49.869451310977503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spans="1:23" ht="15" customHeight="1">
      <c r="A60" s="30"/>
      <c r="B60" s="100" t="s">
        <v>99</v>
      </c>
      <c r="C60" s="98"/>
      <c r="D60" s="53">
        <v>2979033.91567695</v>
      </c>
      <c r="E60" s="54">
        <v>40.391482461377798</v>
      </c>
      <c r="F60" s="56"/>
      <c r="G60" s="53">
        <v>1637279.6948182101</v>
      </c>
      <c r="H60" s="54">
        <v>39.926813652030603</v>
      </c>
      <c r="I60" s="30"/>
      <c r="J60" s="53">
        <v>1201871.6561253399</v>
      </c>
      <c r="K60" s="54">
        <v>37.865153299072503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spans="1:23" ht="15" customHeight="1">
      <c r="A61" s="30"/>
      <c r="B61" s="100" t="s">
        <v>100</v>
      </c>
      <c r="C61" s="98"/>
      <c r="D61" s="53">
        <v>49819.370339361303</v>
      </c>
      <c r="E61" s="54">
        <v>0.63849025769535594</v>
      </c>
      <c r="F61" s="56"/>
      <c r="G61" s="53">
        <v>21187.311657799699</v>
      </c>
      <c r="H61" s="54">
        <v>0.47489931349707298</v>
      </c>
      <c r="I61" s="30"/>
      <c r="J61" s="53">
        <v>8813.2689755373995</v>
      </c>
      <c r="K61" s="54">
        <v>0.26915640033039601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spans="1:23" ht="6.95" customHeight="1">
      <c r="A62" s="30"/>
      <c r="B62" s="119"/>
      <c r="C62" s="119"/>
      <c r="D62" s="22"/>
      <c r="E62" s="135"/>
      <c r="F62" s="135"/>
      <c r="G62" s="22"/>
      <c r="H62" s="135"/>
      <c r="I62" s="135"/>
      <c r="J62" s="22"/>
      <c r="K62" s="135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spans="1:23" ht="15" customHeight="1">
      <c r="A63" s="30"/>
      <c r="B63" s="136" t="s">
        <v>8</v>
      </c>
      <c r="C63" s="137"/>
      <c r="D63" s="47">
        <v>23552103.897339098</v>
      </c>
      <c r="E63" s="48">
        <v>100</v>
      </c>
      <c r="F63" s="49"/>
      <c r="G63" s="47">
        <v>11698220.878479401</v>
      </c>
      <c r="H63" s="48">
        <v>100</v>
      </c>
      <c r="I63" s="50"/>
      <c r="J63" s="47">
        <v>11464603.614946401</v>
      </c>
      <c r="K63" s="48">
        <v>100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spans="1:23" ht="6.95" customHeight="1">
      <c r="A64" s="30"/>
      <c r="B64" s="136"/>
      <c r="C64" s="137"/>
      <c r="D64" s="30"/>
      <c r="E64" s="30"/>
      <c r="F64" s="51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spans="1:23" ht="15" customHeight="1">
      <c r="A65" s="30"/>
      <c r="B65" s="133" t="s">
        <v>90</v>
      </c>
      <c r="C65" s="98"/>
      <c r="D65" s="47"/>
      <c r="E65" s="48"/>
      <c r="F65" s="49"/>
      <c r="G65" s="47"/>
      <c r="H65" s="48"/>
      <c r="I65" s="50"/>
      <c r="J65" s="47"/>
      <c r="K65" s="48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spans="1:23" ht="6.95" customHeight="1">
      <c r="A66" s="30"/>
      <c r="B66" s="98"/>
      <c r="C66" s="98"/>
      <c r="D66" s="53"/>
      <c r="E66" s="54"/>
      <c r="F66" s="49"/>
      <c r="G66" s="53"/>
      <c r="H66" s="54"/>
      <c r="I66" s="50"/>
      <c r="J66" s="53"/>
      <c r="K66" s="54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spans="1:23" ht="15" customHeight="1">
      <c r="A67" s="30"/>
      <c r="B67" s="100" t="s">
        <v>98</v>
      </c>
      <c r="C67" s="98"/>
      <c r="D67" s="53">
        <v>13014352.760911999</v>
      </c>
      <c r="E67" s="54">
        <v>53.977637759724097</v>
      </c>
      <c r="F67" s="56"/>
      <c r="G67" s="53">
        <v>6022227.88952721</v>
      </c>
      <c r="H67" s="54">
        <v>49.502474594622797</v>
      </c>
      <c r="I67" s="30"/>
      <c r="J67" s="53">
        <v>6712031.6069714902</v>
      </c>
      <c r="K67" s="54">
        <v>57.001071526233197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spans="1:23" ht="15" customHeight="1">
      <c r="A68" s="30"/>
      <c r="B68" s="100" t="s">
        <v>99</v>
      </c>
      <c r="C68" s="98"/>
      <c r="D68" s="53">
        <v>9643890.4454398099</v>
      </c>
      <c r="E68" s="54">
        <v>39.928921718254401</v>
      </c>
      <c r="F68" s="56"/>
      <c r="G68" s="53">
        <v>5151762.6124422299</v>
      </c>
      <c r="H68" s="54">
        <v>42.8484737991431</v>
      </c>
      <c r="I68" s="30"/>
      <c r="J68" s="53">
        <v>4235522.3510374604</v>
      </c>
      <c r="K68" s="54">
        <v>35.435015494644801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spans="1:23" ht="15" customHeight="1">
      <c r="A69" s="30"/>
      <c r="B69" s="100" t="s">
        <v>100</v>
      </c>
      <c r="C69" s="98"/>
      <c r="D69" s="53">
        <v>387941.963577897</v>
      </c>
      <c r="E69" s="54">
        <v>1.58787449914027</v>
      </c>
      <c r="F69" s="56"/>
      <c r="G69" s="53">
        <v>199221.86704219901</v>
      </c>
      <c r="H69" s="54">
        <v>1.61977585754957</v>
      </c>
      <c r="I69" s="30"/>
      <c r="J69" s="53">
        <v>140149.035288124</v>
      </c>
      <c r="K69" s="54">
        <v>1.1600886705426801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spans="1:23" ht="6.95" customHeight="1">
      <c r="A70" s="30"/>
      <c r="B70" s="134"/>
      <c r="C70" s="98"/>
      <c r="D70" s="22"/>
      <c r="E70" s="22"/>
      <c r="F70" s="22"/>
      <c r="G70" s="22"/>
      <c r="H70" s="22"/>
      <c r="I70" s="30"/>
      <c r="J70" s="22"/>
      <c r="K70" s="22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spans="1:23" ht="15" customHeight="1">
      <c r="A71" s="30"/>
      <c r="B71" s="133" t="s">
        <v>91</v>
      </c>
      <c r="C71" s="98"/>
      <c r="D71" s="47"/>
      <c r="E71" s="48"/>
      <c r="F71" s="49"/>
      <c r="G71" s="47"/>
      <c r="H71" s="48"/>
      <c r="I71" s="50"/>
      <c r="J71" s="47"/>
      <c r="K71" s="48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spans="1:23" ht="6.95" customHeight="1">
      <c r="A72" s="30"/>
      <c r="B72" s="98"/>
      <c r="C72" s="98"/>
      <c r="D72" s="53"/>
      <c r="E72" s="54"/>
      <c r="F72" s="49"/>
      <c r="G72" s="53"/>
      <c r="H72" s="54"/>
      <c r="I72" s="50"/>
      <c r="J72" s="53"/>
      <c r="K72" s="54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spans="1:23" ht="15" customHeight="1">
      <c r="A73" s="30"/>
      <c r="B73" s="100" t="s">
        <v>98</v>
      </c>
      <c r="C73" s="98"/>
      <c r="D73" s="53">
        <v>15450528.2757087</v>
      </c>
      <c r="E73" s="54">
        <v>64.325922892666995</v>
      </c>
      <c r="F73" s="56"/>
      <c r="G73" s="53">
        <v>7193936.0208050599</v>
      </c>
      <c r="H73" s="54">
        <v>59.624972534087902</v>
      </c>
      <c r="I73" s="30"/>
      <c r="J73" s="53">
        <v>7933074.9532876099</v>
      </c>
      <c r="K73" s="54">
        <v>67.788131856488206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spans="1:23" ht="15" customHeight="1">
      <c r="A74" s="30"/>
      <c r="B74" s="100" t="s">
        <v>99</v>
      </c>
      <c r="C74" s="98"/>
      <c r="D74" s="53">
        <v>7565224.1999534201</v>
      </c>
      <c r="E74" s="54">
        <v>31.263457188780102</v>
      </c>
      <c r="F74" s="56"/>
      <c r="G74" s="53">
        <v>4174919.7840427002</v>
      </c>
      <c r="H74" s="54">
        <v>34.542405018081602</v>
      </c>
      <c r="I74" s="30"/>
      <c r="J74" s="53">
        <v>3190416.7499353099</v>
      </c>
      <c r="K74" s="54">
        <v>26.554070676030999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spans="1:23" ht="15" customHeight="1">
      <c r="A75" s="30"/>
      <c r="B75" s="100" t="s">
        <v>100</v>
      </c>
      <c r="C75" s="98"/>
      <c r="D75" s="53">
        <v>110602.58700816199</v>
      </c>
      <c r="E75" s="54">
        <v>0.449900020830933</v>
      </c>
      <c r="F75" s="56"/>
      <c r="G75" s="53">
        <v>44402.625801178699</v>
      </c>
      <c r="H75" s="54">
        <v>0.35702592383051002</v>
      </c>
      <c r="I75" s="30"/>
      <c r="J75" s="53">
        <v>38837.524147915501</v>
      </c>
      <c r="K75" s="54">
        <v>0.32041195881345103</v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spans="1:23" ht="6.95" customHeight="1">
      <c r="A76" s="30"/>
      <c r="B76" s="134"/>
      <c r="C76" s="98"/>
      <c r="D76" s="22"/>
      <c r="E76" s="22"/>
      <c r="F76" s="22"/>
      <c r="G76" s="22"/>
      <c r="H76" s="22"/>
      <c r="I76" s="30"/>
      <c r="J76" s="22"/>
      <c r="K76" s="22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spans="1:23" ht="15" customHeight="1">
      <c r="A77" s="30"/>
      <c r="B77" s="133" t="s">
        <v>92</v>
      </c>
      <c r="C77" s="98"/>
      <c r="D77" s="47"/>
      <c r="E77" s="48"/>
      <c r="F77" s="49"/>
      <c r="G77" s="47"/>
      <c r="H77" s="48"/>
      <c r="I77" s="50"/>
      <c r="J77" s="47"/>
      <c r="K77" s="48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spans="1:23" ht="6.95" customHeight="1">
      <c r="A78" s="30"/>
      <c r="B78" s="98"/>
      <c r="C78" s="98"/>
      <c r="D78" s="53"/>
      <c r="E78" s="54"/>
      <c r="F78" s="49"/>
      <c r="G78" s="53"/>
      <c r="H78" s="54"/>
      <c r="I78" s="50"/>
      <c r="J78" s="53"/>
      <c r="K78" s="54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spans="1:23" ht="15" customHeight="1">
      <c r="A79" s="30"/>
      <c r="B79" s="100" t="s">
        <v>98</v>
      </c>
      <c r="C79" s="98"/>
      <c r="D79" s="53">
        <v>14545952.417261999</v>
      </c>
      <c r="E79" s="54">
        <v>60.53329576254</v>
      </c>
      <c r="F79" s="56"/>
      <c r="G79" s="53">
        <v>6829694.1178086698</v>
      </c>
      <c r="H79" s="54">
        <v>56.570224957496599</v>
      </c>
      <c r="I79" s="30"/>
      <c r="J79" s="53">
        <v>7409079.0189310899</v>
      </c>
      <c r="K79" s="54">
        <v>63.163147234103199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spans="1:23" ht="15" customHeight="1">
      <c r="A80" s="30"/>
      <c r="B80" s="100" t="s">
        <v>99</v>
      </c>
      <c r="C80" s="98"/>
      <c r="D80" s="53">
        <v>8431586.7599265203</v>
      </c>
      <c r="E80" s="54">
        <v>34.844404346592903</v>
      </c>
      <c r="F80" s="56"/>
      <c r="G80" s="53">
        <v>4546258.1369067598</v>
      </c>
      <c r="H80" s="54">
        <v>37.623361509790598</v>
      </c>
      <c r="I80" s="30"/>
      <c r="J80" s="53">
        <v>3662498.9491809099</v>
      </c>
      <c r="K80" s="54">
        <v>30.562160371650101</v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spans="1:23" ht="15" customHeight="1">
      <c r="A81" s="30"/>
      <c r="B81" s="100" t="s">
        <v>100</v>
      </c>
      <c r="C81" s="98"/>
      <c r="D81" s="53">
        <v>138189.00090761899</v>
      </c>
      <c r="E81" s="54">
        <v>0.56169404417066104</v>
      </c>
      <c r="F81" s="56"/>
      <c r="G81" s="53">
        <v>46075.684983210202</v>
      </c>
      <c r="H81" s="54">
        <v>0.36997664654620299</v>
      </c>
      <c r="I81" s="30"/>
      <c r="J81" s="53">
        <v>65272.515991607201</v>
      </c>
      <c r="K81" s="54">
        <v>0.53750331511085003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spans="1:23" ht="6.95" customHeight="1">
      <c r="A82" s="30"/>
      <c r="B82" s="134"/>
      <c r="C82" s="98"/>
      <c r="D82" s="22"/>
      <c r="E82" s="22"/>
      <c r="F82" s="22"/>
      <c r="G82" s="22"/>
      <c r="H82" s="22"/>
      <c r="I82" s="30"/>
      <c r="J82" s="22"/>
      <c r="K82" s="22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spans="1:23" ht="30" customHeight="1">
      <c r="A83" s="30"/>
      <c r="B83" s="133" t="s">
        <v>107</v>
      </c>
      <c r="C83" s="98"/>
      <c r="D83" s="47"/>
      <c r="E83" s="48"/>
      <c r="F83" s="49"/>
      <c r="G83" s="47"/>
      <c r="H83" s="48"/>
      <c r="I83" s="50"/>
      <c r="J83" s="47"/>
      <c r="K83" s="48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spans="1:23" ht="6.95" customHeight="1">
      <c r="A84" s="30"/>
      <c r="B84" s="98"/>
      <c r="C84" s="98"/>
      <c r="D84" s="53"/>
      <c r="E84" s="54"/>
      <c r="F84" s="49"/>
      <c r="G84" s="53"/>
      <c r="H84" s="54"/>
      <c r="I84" s="50"/>
      <c r="J84" s="53"/>
      <c r="K84" s="54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spans="1:23" ht="15" customHeight="1">
      <c r="A85" s="30"/>
      <c r="B85" s="100" t="s">
        <v>98</v>
      </c>
      <c r="C85" s="98"/>
      <c r="D85" s="53">
        <v>14739537.6274158</v>
      </c>
      <c r="E85" s="54">
        <v>61.3337473160191</v>
      </c>
      <c r="F85" s="56"/>
      <c r="G85" s="53">
        <v>6704209.2218173603</v>
      </c>
      <c r="H85" s="54">
        <v>55.325357515258801</v>
      </c>
      <c r="I85" s="30"/>
      <c r="J85" s="53">
        <v>7733749.4966704501</v>
      </c>
      <c r="K85" s="54">
        <v>66.199739572509799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spans="1:23" ht="15" customHeight="1">
      <c r="A86" s="30"/>
      <c r="B86" s="100" t="s">
        <v>99</v>
      </c>
      <c r="C86" s="98"/>
      <c r="D86" s="53">
        <v>8263727.84417021</v>
      </c>
      <c r="E86" s="54">
        <v>34.181721216874102</v>
      </c>
      <c r="F86" s="56"/>
      <c r="G86" s="53">
        <v>4676161.4092361797</v>
      </c>
      <c r="H86" s="54">
        <v>38.895090388130299</v>
      </c>
      <c r="I86" s="30"/>
      <c r="J86" s="53">
        <v>3379518.8920821198</v>
      </c>
      <c r="K86" s="54">
        <v>28.065434481503999</v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spans="1:23" ht="15" customHeight="1">
      <c r="A87" s="30"/>
      <c r="B87" s="100" t="s">
        <v>100</v>
      </c>
      <c r="C87" s="98"/>
      <c r="D87" s="53">
        <v>134669.23473888499</v>
      </c>
      <c r="E87" s="54">
        <v>0.54702833923861904</v>
      </c>
      <c r="F87" s="56"/>
      <c r="G87" s="53">
        <v>56197.503867009902</v>
      </c>
      <c r="H87" s="54">
        <v>0.450451298763755</v>
      </c>
      <c r="I87" s="30"/>
      <c r="J87" s="53">
        <v>52717.304680617497</v>
      </c>
      <c r="K87" s="54">
        <v>0.43441749939101298</v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spans="1:23" ht="6.95" customHeight="1">
      <c r="A88" s="30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spans="1:23" ht="6.95" customHeight="1">
      <c r="A89" s="30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spans="1:23" ht="12" customHeight="1">
      <c r="A90" s="30"/>
      <c r="B90" s="140" t="s">
        <v>76</v>
      </c>
      <c r="C90" s="140"/>
      <c r="D90" s="140"/>
      <c r="E90" s="141"/>
      <c r="F90" s="141"/>
      <c r="G90" s="141"/>
      <c r="H90" s="141"/>
      <c r="I90" s="141"/>
      <c r="J90" s="141"/>
      <c r="K90" s="141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spans="1:23" ht="12" customHeight="1">
      <c r="A91" s="30"/>
      <c r="B91" s="255" t="s">
        <v>102</v>
      </c>
      <c r="C91" s="255"/>
      <c r="D91" s="255"/>
      <c r="E91" s="255"/>
      <c r="F91" s="255"/>
      <c r="G91" s="25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spans="1:2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spans="1:23">
      <c r="A93" s="30"/>
      <c r="B93" s="142"/>
      <c r="C93" s="142"/>
      <c r="D93" s="142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</sheetData>
  <mergeCells count="8">
    <mergeCell ref="B91:G91"/>
    <mergeCell ref="B4:H4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A131BA7A-4D94-454B-BCC0-366FFDB70F21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AF36-F7E3-4608-B4FF-45649CD05BF7}">
  <dimension ref="A1:W3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6"/>
      <c r="C4" s="66"/>
      <c r="D4" s="66"/>
      <c r="E4" s="143"/>
      <c r="F4" s="143"/>
      <c r="G4" s="143"/>
      <c r="H4" s="110"/>
      <c r="I4" s="110"/>
      <c r="J4" s="11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7" t="s">
        <v>143</v>
      </c>
      <c r="C5" s="267"/>
      <c r="D5" s="267"/>
      <c r="E5" s="267"/>
      <c r="F5" s="267"/>
      <c r="G5" s="267"/>
      <c r="H5" s="144"/>
      <c r="I5" s="145"/>
      <c r="J5" s="145"/>
      <c r="K5" s="112" t="s">
        <v>56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96"/>
      <c r="C6" s="96"/>
      <c r="D6" s="96"/>
      <c r="E6" s="96"/>
      <c r="F6" s="96"/>
      <c r="G6" s="96"/>
      <c r="H6" s="96"/>
      <c r="I6" s="96"/>
      <c r="J6" s="96"/>
      <c r="K6" s="146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2" t="s">
        <v>66</v>
      </c>
      <c r="C7" s="70"/>
      <c r="D7" s="263" t="s">
        <v>134</v>
      </c>
      <c r="E7" s="263"/>
      <c r="F7" s="71"/>
      <c r="G7" s="258" t="s">
        <v>132</v>
      </c>
      <c r="H7" s="258"/>
      <c r="I7" s="258"/>
      <c r="J7" s="258"/>
      <c r="K7" s="25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>
      <c r="A8" s="30"/>
      <c r="B8" s="260"/>
      <c r="C8" s="40"/>
      <c r="D8" s="257"/>
      <c r="E8" s="257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16</v>
      </c>
      <c r="C11" s="73"/>
      <c r="D11" s="47">
        <v>31332679.148446102</v>
      </c>
      <c r="E11" s="48">
        <v>100</v>
      </c>
      <c r="F11" s="49"/>
      <c r="G11" s="47">
        <v>16017501.3732698</v>
      </c>
      <c r="H11" s="48">
        <v>100</v>
      </c>
      <c r="I11" s="50"/>
      <c r="J11" s="47">
        <v>14819984.598719601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77" t="s">
        <v>108</v>
      </c>
      <c r="C13" s="147"/>
      <c r="D13" s="53">
        <v>25669265.814663</v>
      </c>
      <c r="E13" s="54">
        <v>80.983191445629302</v>
      </c>
      <c r="F13" s="56"/>
      <c r="G13" s="53">
        <v>12936216.2007911</v>
      </c>
      <c r="H13" s="54">
        <v>79.4012349374254</v>
      </c>
      <c r="I13" s="30"/>
      <c r="J13" s="53">
        <v>12327851.7621272</v>
      </c>
      <c r="K13" s="54">
        <v>81.660263534475007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77" t="s">
        <v>67</v>
      </c>
      <c r="C14" s="148"/>
      <c r="D14" s="53">
        <v>778940.300157708</v>
      </c>
      <c r="E14" s="54">
        <v>2.4116778004871402</v>
      </c>
      <c r="F14" s="56"/>
      <c r="G14" s="53">
        <v>371935.33811316499</v>
      </c>
      <c r="H14" s="54">
        <v>2.22867240045335</v>
      </c>
      <c r="I14" s="30"/>
      <c r="J14" s="53">
        <v>311506.64424587798</v>
      </c>
      <c r="K14" s="54">
        <v>2.0172575156864201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customHeight="1">
      <c r="A15" s="30"/>
      <c r="B15" s="77" t="s">
        <v>68</v>
      </c>
      <c r="C15" s="148"/>
      <c r="D15" s="53">
        <v>2788692.48974704</v>
      </c>
      <c r="E15" s="54">
        <v>8.6389204669784192</v>
      </c>
      <c r="F15" s="56"/>
      <c r="G15" s="53">
        <v>1424656.01963338</v>
      </c>
      <c r="H15" s="54">
        <v>8.5200834234414007</v>
      </c>
      <c r="I15" s="30"/>
      <c r="J15" s="53">
        <v>1218271.51887832</v>
      </c>
      <c r="K15" s="54">
        <v>7.9151244180701497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77" t="s">
        <v>33</v>
      </c>
      <c r="C16" s="148"/>
      <c r="D16" s="53">
        <v>1263584.8621958599</v>
      </c>
      <c r="E16" s="54">
        <v>3.91646210035718</v>
      </c>
      <c r="F16" s="56"/>
      <c r="G16" s="53">
        <v>720343.48738641595</v>
      </c>
      <c r="H16" s="54">
        <v>4.3295360858819203</v>
      </c>
      <c r="I16" s="30"/>
      <c r="J16" s="53">
        <v>461321.877062549</v>
      </c>
      <c r="K16" s="54">
        <v>2.9675699230979702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49" t="s">
        <v>81</v>
      </c>
      <c r="C17" s="148"/>
      <c r="D17" s="53">
        <v>13831.140221694701</v>
      </c>
      <c r="E17" s="54">
        <v>4.2827021611148201E-2</v>
      </c>
      <c r="F17" s="56"/>
      <c r="G17" s="53">
        <v>5874.4199630128396</v>
      </c>
      <c r="H17" s="54">
        <v>3.5349548416731998E-2</v>
      </c>
      <c r="I17" s="30"/>
      <c r="J17" s="53">
        <v>0</v>
      </c>
      <c r="K17" s="54">
        <v>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150"/>
      <c r="C18" s="150"/>
      <c r="D18" s="22"/>
      <c r="E18" s="151"/>
      <c r="F18" s="102"/>
      <c r="G18" s="22"/>
      <c r="H18" s="151"/>
      <c r="I18" s="151"/>
      <c r="J18" s="22"/>
      <c r="K18" s="15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52" t="s">
        <v>7</v>
      </c>
      <c r="C19" s="153"/>
      <c r="D19" s="47">
        <v>6957275.6377249202</v>
      </c>
      <c r="E19" s="48">
        <v>100</v>
      </c>
      <c r="F19" s="49"/>
      <c r="G19" s="47">
        <v>3824267.1748120901</v>
      </c>
      <c r="H19" s="48">
        <v>100</v>
      </c>
      <c r="I19" s="50"/>
      <c r="J19" s="47">
        <v>2954094.6925607198</v>
      </c>
      <c r="K19" s="48">
        <v>100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153"/>
      <c r="C20" s="153"/>
      <c r="D20" s="53"/>
      <c r="E20" s="54"/>
      <c r="F20" s="49"/>
      <c r="G20" s="53"/>
      <c r="H20" s="54"/>
      <c r="I20" s="50"/>
      <c r="J20" s="53"/>
      <c r="K20" s="54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77" t="s">
        <v>108</v>
      </c>
      <c r="C21" s="147"/>
      <c r="D21" s="53">
        <v>5623680.44724569</v>
      </c>
      <c r="E21" s="54">
        <v>78.898060780641401</v>
      </c>
      <c r="F21" s="56"/>
      <c r="G21" s="53">
        <v>3002180.0604205001</v>
      </c>
      <c r="H21" s="54">
        <v>76.241637489136494</v>
      </c>
      <c r="I21" s="30"/>
      <c r="J21" s="53">
        <v>2458271.69203333</v>
      </c>
      <c r="K21" s="54">
        <v>80.503354781477896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77" t="s">
        <v>67</v>
      </c>
      <c r="C22" s="148"/>
      <c r="D22" s="53">
        <v>112350.58160217199</v>
      </c>
      <c r="E22" s="54">
        <v>1.47723593664927</v>
      </c>
      <c r="F22" s="56"/>
      <c r="G22" s="53">
        <v>64081.133253638502</v>
      </c>
      <c r="H22" s="54">
        <v>1.47336354528725</v>
      </c>
      <c r="I22" s="30"/>
      <c r="J22" s="53">
        <v>8612.1963059230602</v>
      </c>
      <c r="K22" s="54">
        <v>0.29536668439137997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30" customHeight="1">
      <c r="A23" s="30"/>
      <c r="B23" s="77" t="s">
        <v>68</v>
      </c>
      <c r="C23" s="148"/>
      <c r="D23" s="53">
        <v>583718.18153149099</v>
      </c>
      <c r="E23" s="54">
        <v>7.6964776598720501</v>
      </c>
      <c r="F23" s="56"/>
      <c r="G23" s="53">
        <v>325670.003238537</v>
      </c>
      <c r="H23" s="54">
        <v>7.6202694802148496</v>
      </c>
      <c r="I23" s="30"/>
      <c r="J23" s="53">
        <v>194020.17031019001</v>
      </c>
      <c r="K23" s="54">
        <v>5.9194896868149698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5" customHeight="1">
      <c r="A24" s="30"/>
      <c r="B24" s="77" t="s">
        <v>33</v>
      </c>
      <c r="C24" s="148"/>
      <c r="D24" s="53">
        <v>301252.97622978099</v>
      </c>
      <c r="E24" s="54">
        <v>3.8550858354944202</v>
      </c>
      <c r="F24" s="56"/>
      <c r="G24" s="53">
        <v>178807.44957400099</v>
      </c>
      <c r="H24" s="54">
        <v>4.1391040053405499</v>
      </c>
      <c r="I24" s="30"/>
      <c r="J24" s="53">
        <v>86874.509371413296</v>
      </c>
      <c r="K24" s="54">
        <v>2.5275337912154998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49" t="s">
        <v>81</v>
      </c>
      <c r="C25" s="148"/>
      <c r="D25" s="53">
        <v>0</v>
      </c>
      <c r="E25" s="54">
        <v>0</v>
      </c>
      <c r="F25" s="56"/>
      <c r="G25" s="53">
        <v>0</v>
      </c>
      <c r="H25" s="54">
        <v>0</v>
      </c>
      <c r="I25" s="30"/>
      <c r="J25" s="53">
        <v>0</v>
      </c>
      <c r="K25" s="54">
        <v>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154"/>
      <c r="C26" s="154"/>
      <c r="D26" s="22"/>
      <c r="E26" s="151"/>
      <c r="F26" s="102"/>
      <c r="G26" s="22"/>
      <c r="H26" s="151"/>
      <c r="I26" s="151"/>
      <c r="J26" s="22"/>
      <c r="K26" s="151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52" t="s">
        <v>8</v>
      </c>
      <c r="C27" s="153"/>
      <c r="D27" s="47">
        <v>23552103.897339098</v>
      </c>
      <c r="E27" s="48">
        <v>100</v>
      </c>
      <c r="F27" s="49"/>
      <c r="G27" s="47">
        <v>11698220.878479401</v>
      </c>
      <c r="H27" s="48">
        <v>100</v>
      </c>
      <c r="I27" s="50"/>
      <c r="J27" s="47">
        <v>11464603.614946401</v>
      </c>
      <c r="K27" s="48">
        <v>100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53"/>
      <c r="C28" s="153"/>
      <c r="D28" s="53"/>
      <c r="E28" s="54"/>
      <c r="F28" s="49"/>
      <c r="G28" s="53"/>
      <c r="H28" s="54"/>
      <c r="I28" s="50"/>
      <c r="J28" s="53"/>
      <c r="K28" s="54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77" t="s">
        <v>108</v>
      </c>
      <c r="C29" s="147"/>
      <c r="D29" s="53">
        <v>19363612.9614463</v>
      </c>
      <c r="E29" s="54">
        <v>80.957987256276795</v>
      </c>
      <c r="F29" s="56"/>
      <c r="G29" s="53">
        <v>9509121.7814582791</v>
      </c>
      <c r="H29" s="54">
        <v>79.525100158564101</v>
      </c>
      <c r="I29" s="30"/>
      <c r="J29" s="53">
        <v>9525644.5906700604</v>
      </c>
      <c r="K29" s="54">
        <v>81.1745329748085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77" t="s">
        <v>67</v>
      </c>
      <c r="C30" s="148"/>
      <c r="D30" s="53">
        <v>585773.14043935796</v>
      </c>
      <c r="E30" s="54">
        <v>2.3978716443897699</v>
      </c>
      <c r="F30" s="56"/>
      <c r="G30" s="53">
        <v>262473.02040197799</v>
      </c>
      <c r="H30" s="54">
        <v>2.1425935503801701</v>
      </c>
      <c r="I30" s="30"/>
      <c r="J30" s="53">
        <v>238084.48981103199</v>
      </c>
      <c r="K30" s="54">
        <v>1.98622297241199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77" t="s">
        <v>68</v>
      </c>
      <c r="C31" s="148"/>
      <c r="D31" s="53">
        <v>2072494.47517773</v>
      </c>
      <c r="E31" s="54">
        <v>8.4909835259867492</v>
      </c>
      <c r="F31" s="56"/>
      <c r="G31" s="53">
        <v>1000593.55886424</v>
      </c>
      <c r="H31" s="54">
        <v>8.1183870102971607</v>
      </c>
      <c r="I31" s="30"/>
      <c r="J31" s="53">
        <v>946373.53234069597</v>
      </c>
      <c r="K31" s="54">
        <v>7.9208467363235098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77" t="s">
        <v>33</v>
      </c>
      <c r="C32" s="148"/>
      <c r="D32" s="53">
        <v>871520.05218587804</v>
      </c>
      <c r="E32" s="54">
        <v>3.5699581946954</v>
      </c>
      <c r="F32" s="56"/>
      <c r="G32" s="53">
        <v>469780.09715587198</v>
      </c>
      <c r="H32" s="54">
        <v>3.8344181314543402</v>
      </c>
      <c r="I32" s="30"/>
      <c r="J32" s="53">
        <v>328754.19104863401</v>
      </c>
      <c r="K32" s="54">
        <v>2.71664566032088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49" t="s">
        <v>81</v>
      </c>
      <c r="C33" s="148"/>
      <c r="D33" s="53">
        <v>2514.1312036459799</v>
      </c>
      <c r="E33" s="54">
        <v>1.03244980857394E-2</v>
      </c>
      <c r="F33" s="56"/>
      <c r="G33" s="53">
        <v>763.19491320158295</v>
      </c>
      <c r="H33" s="54">
        <v>6.3836834030039299E-3</v>
      </c>
      <c r="I33" s="30"/>
      <c r="J33" s="53">
        <v>0</v>
      </c>
      <c r="K33" s="54">
        <v>0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155"/>
      <c r="C34" s="155"/>
      <c r="D34" s="155"/>
      <c r="E34" s="156"/>
      <c r="F34" s="156"/>
      <c r="G34" s="156"/>
      <c r="H34" s="156"/>
      <c r="I34" s="156"/>
      <c r="J34" s="156"/>
      <c r="K34" s="157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6.95" customHeight="1">
      <c r="A35" s="30"/>
      <c r="B35" s="72"/>
      <c r="C35" s="72"/>
      <c r="D35" s="72"/>
      <c r="E35" s="72"/>
      <c r="F35" s="72"/>
      <c r="G35" s="72"/>
      <c r="H35" s="72"/>
      <c r="I35" s="72"/>
      <c r="J35" s="72"/>
      <c r="K35" s="158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2" customHeight="1">
      <c r="A36" s="30"/>
      <c r="B36" s="159" t="s">
        <v>75</v>
      </c>
      <c r="C36" s="159"/>
      <c r="D36" s="159"/>
      <c r="E36" s="160"/>
      <c r="F36" s="160"/>
      <c r="G36" s="160"/>
      <c r="H36" s="160"/>
      <c r="I36" s="160"/>
      <c r="J36" s="160"/>
      <c r="K36" s="16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2" customHeight="1">
      <c r="A37" s="30"/>
      <c r="B37" s="255" t="s">
        <v>102</v>
      </c>
      <c r="C37" s="255"/>
      <c r="D37" s="255"/>
      <c r="E37" s="255"/>
      <c r="F37" s="255"/>
      <c r="G37" s="25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</sheetData>
  <mergeCells count="7">
    <mergeCell ref="B37:G37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B26B4F35-2652-401F-93C3-6B606AA15F0C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B3C9-BFA7-492C-AE02-FBCB70A14DA4}">
  <dimension ref="A1:W40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6"/>
      <c r="C4" s="66"/>
      <c r="D4" s="66"/>
      <c r="E4" s="143"/>
      <c r="F4" s="143"/>
      <c r="G4" s="143"/>
      <c r="H4" s="110"/>
      <c r="I4" s="110"/>
      <c r="J4" s="110"/>
      <c r="K4" s="11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7" t="s">
        <v>144</v>
      </c>
      <c r="C5" s="267"/>
      <c r="D5" s="267"/>
      <c r="E5" s="267"/>
      <c r="F5" s="267"/>
      <c r="G5" s="267"/>
      <c r="H5" s="161"/>
      <c r="I5" s="66"/>
      <c r="J5" s="66"/>
      <c r="K5" s="112" t="s">
        <v>57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96"/>
      <c r="C6" s="96"/>
      <c r="D6" s="96"/>
      <c r="E6" s="96"/>
      <c r="F6" s="96"/>
      <c r="G6" s="96"/>
      <c r="H6" s="96"/>
      <c r="I6" s="96"/>
      <c r="J6" s="96"/>
      <c r="K6" s="146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2" t="s">
        <v>141</v>
      </c>
      <c r="C7" s="70"/>
      <c r="D7" s="263" t="s">
        <v>134</v>
      </c>
      <c r="E7" s="263"/>
      <c r="F7" s="71"/>
      <c r="G7" s="258" t="s">
        <v>132</v>
      </c>
      <c r="H7" s="258"/>
      <c r="I7" s="258"/>
      <c r="J7" s="258"/>
      <c r="K7" s="25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0"/>
      <c r="C8" s="40"/>
      <c r="D8" s="257"/>
      <c r="E8" s="257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16</v>
      </c>
      <c r="C11" s="73"/>
      <c r="D11" s="47">
        <v>31332679.148446102</v>
      </c>
      <c r="E11" s="48">
        <v>100</v>
      </c>
      <c r="F11" s="49"/>
      <c r="G11" s="47">
        <v>16017501.3732698</v>
      </c>
      <c r="H11" s="48">
        <v>100</v>
      </c>
      <c r="I11" s="50"/>
      <c r="J11" s="47">
        <v>14819984.598719601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77" t="s">
        <v>109</v>
      </c>
      <c r="C13" s="162"/>
      <c r="D13" s="53">
        <v>14882536.832931999</v>
      </c>
      <c r="E13" s="54">
        <v>46.690225058723698</v>
      </c>
      <c r="F13" s="56"/>
      <c r="G13" s="53">
        <v>7105223.5833255602</v>
      </c>
      <c r="H13" s="54">
        <v>43.249876355870803</v>
      </c>
      <c r="I13" s="30"/>
      <c r="J13" s="53">
        <v>7433374.9272119701</v>
      </c>
      <c r="K13" s="54">
        <v>48.971291085155798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30" customHeight="1">
      <c r="A14" s="30"/>
      <c r="B14" s="77" t="s">
        <v>69</v>
      </c>
      <c r="C14" s="150"/>
      <c r="D14" s="53">
        <v>3684241.63302969</v>
      </c>
      <c r="E14" s="54">
        <v>11.4431109966213</v>
      </c>
      <c r="F14" s="56"/>
      <c r="G14" s="53">
        <v>1295138.0592519599</v>
      </c>
      <c r="H14" s="54">
        <v>7.7917033825652204</v>
      </c>
      <c r="I14" s="30"/>
      <c r="J14" s="53">
        <v>2192337.94872997</v>
      </c>
      <c r="K14" s="54">
        <v>14.248581728274001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customHeight="1">
      <c r="A15" s="30"/>
      <c r="B15" s="77" t="s">
        <v>110</v>
      </c>
      <c r="C15" s="150"/>
      <c r="D15" s="53">
        <v>7798760.7294615796</v>
      </c>
      <c r="E15" s="54">
        <v>24.262676545549699</v>
      </c>
      <c r="F15" s="56"/>
      <c r="G15" s="53">
        <v>4579143.5662184497</v>
      </c>
      <c r="H15" s="54">
        <v>27.577801105065198</v>
      </c>
      <c r="I15" s="30"/>
      <c r="J15" s="53">
        <v>3018756.2480296302</v>
      </c>
      <c r="K15" s="54">
        <v>19.550893242613299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77" t="s">
        <v>49</v>
      </c>
      <c r="C16" s="150"/>
      <c r="D16" s="53">
        <v>3397001.8473834302</v>
      </c>
      <c r="E16" s="54">
        <v>10.5539220094476</v>
      </c>
      <c r="F16" s="56"/>
      <c r="G16" s="53">
        <v>2005536.0802155701</v>
      </c>
      <c r="H16" s="54">
        <v>12.0178052347687</v>
      </c>
      <c r="I16" s="30"/>
      <c r="J16" s="53">
        <v>1260099.0781938699</v>
      </c>
      <c r="K16" s="54">
        <v>8.1436408656970496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77" t="s">
        <v>50</v>
      </c>
      <c r="C17" s="150"/>
      <c r="D17" s="53">
        <v>242099.901277811</v>
      </c>
      <c r="E17" s="54">
        <v>0.74909653857219005</v>
      </c>
      <c r="F17" s="56"/>
      <c r="G17" s="53">
        <v>100712.25620137699</v>
      </c>
      <c r="H17" s="54">
        <v>0.60369698687389795</v>
      </c>
      <c r="I17" s="30"/>
      <c r="J17" s="53">
        <v>103138.506777919</v>
      </c>
      <c r="K17" s="54">
        <v>0.66594128675164299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149" t="s">
        <v>81</v>
      </c>
      <c r="C18" s="150"/>
      <c r="D18" s="53">
        <v>112933.554172936</v>
      </c>
      <c r="E18" s="54">
        <v>0.34941961581248099</v>
      </c>
      <c r="F18" s="56"/>
      <c r="G18" s="53">
        <v>50291.886617474098</v>
      </c>
      <c r="H18" s="54">
        <v>0.30100376907204401</v>
      </c>
      <c r="I18" s="30"/>
      <c r="J18" s="53">
        <v>32567.731304936398</v>
      </c>
      <c r="K18" s="54">
        <v>0.209422639790426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6.95" customHeight="1">
      <c r="A19" s="30"/>
      <c r="B19" s="150"/>
      <c r="C19" s="150"/>
      <c r="D19" s="22"/>
      <c r="E19" s="151"/>
      <c r="F19" s="102"/>
      <c r="G19" s="22"/>
      <c r="H19" s="151"/>
      <c r="I19" s="151"/>
      <c r="J19" s="22"/>
      <c r="K19" s="15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63" t="s">
        <v>7</v>
      </c>
      <c r="C20" s="164"/>
      <c r="D20" s="47">
        <v>6957275.6377249202</v>
      </c>
      <c r="E20" s="48">
        <v>100</v>
      </c>
      <c r="F20" s="49"/>
      <c r="G20" s="47">
        <v>3824267.1748120901</v>
      </c>
      <c r="H20" s="48">
        <v>100</v>
      </c>
      <c r="I20" s="50"/>
      <c r="J20" s="47">
        <v>2954094.6925607198</v>
      </c>
      <c r="K20" s="48">
        <v>100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6.95" customHeight="1">
      <c r="A21" s="30"/>
      <c r="B21" s="73"/>
      <c r="C21" s="73"/>
      <c r="D21" s="53"/>
      <c r="E21" s="54"/>
      <c r="F21" s="49"/>
      <c r="G21" s="53"/>
      <c r="H21" s="54"/>
      <c r="I21" s="50"/>
      <c r="J21" s="53"/>
      <c r="K21" s="54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77" t="s">
        <v>109</v>
      </c>
      <c r="C22" s="162"/>
      <c r="D22" s="53">
        <v>2725246.30046017</v>
      </c>
      <c r="E22" s="54">
        <v>37.3262160856004</v>
      </c>
      <c r="F22" s="56"/>
      <c r="G22" s="53">
        <v>1240961.85866368</v>
      </c>
      <c r="H22" s="54">
        <v>30.316211751347499</v>
      </c>
      <c r="I22" s="30"/>
      <c r="J22" s="53">
        <v>1351221.7419078201</v>
      </c>
      <c r="K22" s="54">
        <v>42.903063123656601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30" customHeight="1">
      <c r="A23" s="30"/>
      <c r="B23" s="77" t="s">
        <v>69</v>
      </c>
      <c r="C23" s="150"/>
      <c r="D23" s="53">
        <v>439449.00539744901</v>
      </c>
      <c r="E23" s="54">
        <v>5.78661006741899</v>
      </c>
      <c r="F23" s="56"/>
      <c r="G23" s="53">
        <v>140071.42092110601</v>
      </c>
      <c r="H23" s="54">
        <v>3.5334351228035601</v>
      </c>
      <c r="I23" s="30"/>
      <c r="J23" s="53">
        <v>216488.00336760501</v>
      </c>
      <c r="K23" s="54">
        <v>6.5082507675309902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30" customHeight="1">
      <c r="A24" s="30"/>
      <c r="B24" s="77" t="s">
        <v>110</v>
      </c>
      <c r="C24" s="150"/>
      <c r="D24" s="53">
        <v>2330790.3751013</v>
      </c>
      <c r="E24" s="54">
        <v>31.127294294334501</v>
      </c>
      <c r="F24" s="56"/>
      <c r="G24" s="53">
        <v>1322069.92386599</v>
      </c>
      <c r="H24" s="54">
        <v>31.386120233968299</v>
      </c>
      <c r="I24" s="30"/>
      <c r="J24" s="53">
        <v>892898.566460239</v>
      </c>
      <c r="K24" s="54">
        <v>27.650333585934298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77" t="s">
        <v>49</v>
      </c>
      <c r="C25" s="150"/>
      <c r="D25" s="53">
        <v>897213.11100047803</v>
      </c>
      <c r="E25" s="54">
        <v>12.026537764175201</v>
      </c>
      <c r="F25" s="56"/>
      <c r="G25" s="53">
        <v>649950.56506054197</v>
      </c>
      <c r="H25" s="54">
        <v>15.390049262681099</v>
      </c>
      <c r="I25" s="30"/>
      <c r="J25" s="53">
        <v>186303.45523744199</v>
      </c>
      <c r="K25" s="54">
        <v>5.5855808621220797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77" t="s">
        <v>50</v>
      </c>
      <c r="C26" s="150"/>
      <c r="D26" s="53">
        <v>19938.4863314498</v>
      </c>
      <c r="E26" s="54">
        <v>0.25818760952249897</v>
      </c>
      <c r="F26" s="56"/>
      <c r="G26" s="53">
        <v>8457.6823622013399</v>
      </c>
      <c r="H26" s="54">
        <v>0.199746340646902</v>
      </c>
      <c r="I26" s="30"/>
      <c r="J26" s="53">
        <v>0</v>
      </c>
      <c r="K26" s="54">
        <v>0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49" t="s">
        <v>81</v>
      </c>
      <c r="C27" s="150"/>
      <c r="D27" s="53">
        <v>0</v>
      </c>
      <c r="E27" s="54">
        <v>0</v>
      </c>
      <c r="F27" s="56"/>
      <c r="G27" s="53">
        <v>0</v>
      </c>
      <c r="H27" s="54">
        <v>0</v>
      </c>
      <c r="I27" s="30"/>
      <c r="J27" s="53">
        <v>0</v>
      </c>
      <c r="K27" s="54"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50"/>
      <c r="C28" s="150"/>
      <c r="D28" s="22"/>
      <c r="E28" s="151"/>
      <c r="F28" s="102"/>
      <c r="G28" s="22"/>
      <c r="H28" s="151"/>
      <c r="I28" s="151"/>
      <c r="J28" s="22"/>
      <c r="K28" s="151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63" t="s">
        <v>8</v>
      </c>
      <c r="C29" s="164"/>
      <c r="D29" s="47">
        <v>23552103.897339098</v>
      </c>
      <c r="E29" s="48">
        <v>100</v>
      </c>
      <c r="F29" s="49"/>
      <c r="G29" s="47">
        <v>11698220.878479401</v>
      </c>
      <c r="H29" s="48">
        <v>100</v>
      </c>
      <c r="I29" s="50"/>
      <c r="J29" s="47">
        <v>11464603.614946401</v>
      </c>
      <c r="K29" s="48">
        <v>100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73"/>
      <c r="C30" s="73"/>
      <c r="D30" s="53"/>
      <c r="E30" s="54"/>
      <c r="F30" s="49"/>
      <c r="G30" s="53"/>
      <c r="H30" s="54"/>
      <c r="I30" s="50"/>
      <c r="J30" s="53"/>
      <c r="K30" s="54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77" t="s">
        <v>109</v>
      </c>
      <c r="C31" s="162"/>
      <c r="D31" s="53">
        <v>11734710.8175462</v>
      </c>
      <c r="E31" s="54">
        <v>48.717060130799098</v>
      </c>
      <c r="F31" s="56"/>
      <c r="G31" s="53">
        <v>5610714.1194557399</v>
      </c>
      <c r="H31" s="54">
        <v>46.538414899252501</v>
      </c>
      <c r="I31" s="30"/>
      <c r="J31" s="53">
        <v>5828715.3106805896</v>
      </c>
      <c r="K31" s="54">
        <v>49.452042169165701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30" customHeight="1">
      <c r="A32" s="30"/>
      <c r="B32" s="77" t="s">
        <v>69</v>
      </c>
      <c r="C32" s="150"/>
      <c r="D32" s="53">
        <v>3054639.5252737799</v>
      </c>
      <c r="E32" s="54">
        <v>12.528399520623401</v>
      </c>
      <c r="F32" s="56"/>
      <c r="G32" s="53">
        <v>1037838.71715444</v>
      </c>
      <c r="H32" s="54">
        <v>8.4177326937289401</v>
      </c>
      <c r="I32" s="30"/>
      <c r="J32" s="53">
        <v>1885548.58044346</v>
      </c>
      <c r="K32" s="54">
        <v>15.746031934641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30" customHeight="1">
      <c r="A33" s="30"/>
      <c r="B33" s="77" t="s">
        <v>110</v>
      </c>
      <c r="C33" s="150"/>
      <c r="D33" s="53">
        <v>5160185.4125341401</v>
      </c>
      <c r="E33" s="54">
        <v>21.240549934412499</v>
      </c>
      <c r="F33" s="56"/>
      <c r="G33" s="53">
        <v>3054360.0962330201</v>
      </c>
      <c r="H33" s="54">
        <v>24.988349602689201</v>
      </c>
      <c r="I33" s="30"/>
      <c r="J33" s="53">
        <v>1957857.1579795</v>
      </c>
      <c r="K33" s="54">
        <v>16.297473333875399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77" t="s">
        <v>49</v>
      </c>
      <c r="C34" s="150"/>
      <c r="D34" s="53">
        <v>2334525.6865744102</v>
      </c>
      <c r="E34" s="54">
        <v>9.5803734153689906</v>
      </c>
      <c r="F34" s="56"/>
      <c r="G34" s="53">
        <v>1220403.47315801</v>
      </c>
      <c r="H34" s="54">
        <v>9.9426466276939092</v>
      </c>
      <c r="I34" s="30"/>
      <c r="J34" s="53">
        <v>1003577.3357868</v>
      </c>
      <c r="K34" s="54">
        <v>8.3327469964129595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77" t="s">
        <v>50</v>
      </c>
      <c r="C35" s="150"/>
      <c r="D35" s="53">
        <v>191197.55509900401</v>
      </c>
      <c r="E35" s="54">
        <v>0.78283178037874801</v>
      </c>
      <c r="F35" s="56"/>
      <c r="G35" s="53">
        <v>66583.713062606097</v>
      </c>
      <c r="H35" s="54">
        <v>0.54556070088221498</v>
      </c>
      <c r="I35" s="30"/>
      <c r="J35" s="53">
        <v>89664.123951156595</v>
      </c>
      <c r="K35" s="54">
        <v>0.74334266275294503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149" t="s">
        <v>81</v>
      </c>
      <c r="C36" s="150"/>
      <c r="D36" s="53">
        <v>102486.541747116</v>
      </c>
      <c r="E36" s="54">
        <v>0.417573661831452</v>
      </c>
      <c r="F36" s="56"/>
      <c r="G36" s="53">
        <v>41380.275450476198</v>
      </c>
      <c r="H36" s="54">
        <v>0.33438926638602701</v>
      </c>
      <c r="I36" s="30"/>
      <c r="J36" s="53">
        <v>32567.731304936398</v>
      </c>
      <c r="K36" s="54">
        <v>0.26855392360303398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6.95" customHeight="1">
      <c r="A37" s="30"/>
      <c r="B37" s="165"/>
      <c r="C37" s="165"/>
      <c r="D37" s="165"/>
      <c r="E37" s="166"/>
      <c r="F37" s="166"/>
      <c r="G37" s="166"/>
      <c r="H37" s="167"/>
      <c r="I37" s="167"/>
      <c r="J37" s="167"/>
      <c r="K37" s="167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2" customHeight="1">
      <c r="A39" s="30"/>
      <c r="B39" s="159" t="s">
        <v>75</v>
      </c>
      <c r="C39" s="159"/>
      <c r="D39" s="159"/>
      <c r="E39" s="160"/>
      <c r="F39" s="160"/>
      <c r="G39" s="160"/>
      <c r="H39" s="160"/>
      <c r="I39" s="160"/>
      <c r="J39" s="160"/>
      <c r="K39" s="16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12" customHeight="1">
      <c r="A40" s="30"/>
      <c r="B40" s="255" t="s">
        <v>102</v>
      </c>
      <c r="C40" s="255"/>
      <c r="D40" s="255"/>
      <c r="E40" s="255"/>
      <c r="F40" s="255"/>
      <c r="G40" s="25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</sheetData>
  <mergeCells count="7">
    <mergeCell ref="B40:G40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FC122DED-06A6-4841-92BC-9909F9297646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C1C0-169C-4342-8672-6E0263C183A6}">
  <dimension ref="A1:W5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32"/>
      <c r="C4" s="32"/>
      <c r="D4" s="32"/>
      <c r="E4" s="33"/>
      <c r="F4" s="33"/>
      <c r="G4" s="33"/>
      <c r="H4" s="33"/>
      <c r="I4" s="33"/>
      <c r="J4" s="33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67" t="s">
        <v>145</v>
      </c>
      <c r="C5" s="67"/>
      <c r="D5" s="67"/>
      <c r="E5" s="67"/>
      <c r="F5" s="67"/>
      <c r="G5" s="67"/>
      <c r="H5" s="168"/>
      <c r="I5" s="33"/>
      <c r="J5" s="33"/>
      <c r="K5" s="35" t="s">
        <v>58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67"/>
      <c r="C6" s="67"/>
      <c r="D6" s="67"/>
      <c r="E6" s="67"/>
      <c r="F6" s="67"/>
      <c r="G6" s="67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2" t="s">
        <v>147</v>
      </c>
      <c r="C7" s="70"/>
      <c r="D7" s="263" t="s">
        <v>131</v>
      </c>
      <c r="E7" s="263"/>
      <c r="F7" s="71"/>
      <c r="G7" s="258" t="s">
        <v>132</v>
      </c>
      <c r="H7" s="258"/>
      <c r="I7" s="258"/>
      <c r="J7" s="258"/>
      <c r="K7" s="25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0"/>
      <c r="C8" s="40"/>
      <c r="D8" s="257"/>
      <c r="E8" s="257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44"/>
      <c r="C10" s="44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46" t="s">
        <v>1</v>
      </c>
      <c r="C11" s="46"/>
      <c r="D11" s="47">
        <v>85074250.450445905</v>
      </c>
      <c r="E11" s="48">
        <v>100</v>
      </c>
      <c r="F11" s="169"/>
      <c r="G11" s="47">
        <v>45189093.536525302</v>
      </c>
      <c r="H11" s="48">
        <v>100</v>
      </c>
      <c r="I11" s="50"/>
      <c r="J11" s="47">
        <v>38949471.211108603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46"/>
      <c r="C12" s="46"/>
      <c r="D12" s="30"/>
      <c r="E12" s="30"/>
      <c r="F12" s="17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52" t="s">
        <v>82</v>
      </c>
      <c r="C13" s="171"/>
      <c r="D13" s="47">
        <v>24990055.869858801</v>
      </c>
      <c r="E13" s="48">
        <v>28.853465001486299</v>
      </c>
      <c r="F13" s="169"/>
      <c r="G13" s="47">
        <v>12872866.8387942</v>
      </c>
      <c r="H13" s="48">
        <v>27.802732900054501</v>
      </c>
      <c r="I13" s="50"/>
      <c r="J13" s="47">
        <v>11688537.065259799</v>
      </c>
      <c r="K13" s="48">
        <v>29.277708481329601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171"/>
      <c r="C14" s="171"/>
      <c r="D14" s="53"/>
      <c r="E14" s="54"/>
      <c r="F14" s="16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72" t="s">
        <v>26</v>
      </c>
      <c r="C15" s="172"/>
      <c r="D15" s="53">
        <v>5829542.8117090696</v>
      </c>
      <c r="E15" s="54">
        <v>22.679286968817099</v>
      </c>
      <c r="F15" s="173"/>
      <c r="G15" s="53">
        <v>2951709.8039142201</v>
      </c>
      <c r="H15" s="54">
        <v>21.932612286763302</v>
      </c>
      <c r="I15" s="30"/>
      <c r="J15" s="53">
        <v>2689417.6782572502</v>
      </c>
      <c r="K15" s="54">
        <v>22.242215361460602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55" t="s">
        <v>27</v>
      </c>
      <c r="C16" s="55"/>
      <c r="D16" s="53">
        <v>5975849.4373418204</v>
      </c>
      <c r="E16" s="54">
        <v>23.331221872142901</v>
      </c>
      <c r="F16" s="173"/>
      <c r="G16" s="53">
        <v>2881541.85071425</v>
      </c>
      <c r="H16" s="54">
        <v>21.6539204233029</v>
      </c>
      <c r="I16" s="30"/>
      <c r="J16" s="53">
        <v>2876663.7379440302</v>
      </c>
      <c r="K16" s="54">
        <v>23.7319448961163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55" t="s">
        <v>28</v>
      </c>
      <c r="C17" s="55"/>
      <c r="D17" s="53">
        <v>2315635.4321105299</v>
      </c>
      <c r="E17" s="54">
        <v>8.9865677635291892</v>
      </c>
      <c r="F17" s="173"/>
      <c r="G17" s="53">
        <v>935323.44453358604</v>
      </c>
      <c r="H17" s="54">
        <v>6.9626135292715103</v>
      </c>
      <c r="I17" s="30"/>
      <c r="J17" s="53">
        <v>1269050.03478944</v>
      </c>
      <c r="K17" s="54">
        <v>10.3729881138255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55" t="s">
        <v>29</v>
      </c>
      <c r="C18" s="55"/>
      <c r="D18" s="53">
        <v>1199640.62188237</v>
      </c>
      <c r="E18" s="54">
        <v>4.63737754138472</v>
      </c>
      <c r="F18" s="173"/>
      <c r="G18" s="53">
        <v>454923.24547885999</v>
      </c>
      <c r="H18" s="54">
        <v>3.3611673524936099</v>
      </c>
      <c r="I18" s="30"/>
      <c r="J18" s="53">
        <v>677109.14428304497</v>
      </c>
      <c r="K18" s="54">
        <v>5.4970159783671804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55" t="s">
        <v>83</v>
      </c>
      <c r="C19" s="55"/>
      <c r="D19" s="53">
        <v>4400605.03254872</v>
      </c>
      <c r="E19" s="54">
        <v>17.106659783931502</v>
      </c>
      <c r="F19" s="173"/>
      <c r="G19" s="53">
        <v>2323366.63574214</v>
      </c>
      <c r="H19" s="54">
        <v>17.3337962547111</v>
      </c>
      <c r="I19" s="30"/>
      <c r="J19" s="53">
        <v>1914059.4940271999</v>
      </c>
      <c r="K19" s="54">
        <v>15.700588842249299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55" t="s">
        <v>30</v>
      </c>
      <c r="C20" s="55"/>
      <c r="D20" s="53">
        <v>3841985.8321610698</v>
      </c>
      <c r="E20" s="54">
        <v>14.9145223691376</v>
      </c>
      <c r="F20" s="173"/>
      <c r="G20" s="53">
        <v>2348494.7387060798</v>
      </c>
      <c r="H20" s="54">
        <v>17.541845869623401</v>
      </c>
      <c r="I20" s="30"/>
      <c r="J20" s="53">
        <v>1358904.27408528</v>
      </c>
      <c r="K20" s="54">
        <v>11.0366764898087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55" t="s">
        <v>156</v>
      </c>
      <c r="C21" s="55"/>
      <c r="D21" s="53">
        <v>0</v>
      </c>
      <c r="E21" s="54">
        <v>0</v>
      </c>
      <c r="F21" s="173"/>
      <c r="G21" s="53">
        <v>0</v>
      </c>
      <c r="H21" s="54">
        <v>0</v>
      </c>
      <c r="I21" s="30"/>
      <c r="J21" s="53">
        <v>0</v>
      </c>
      <c r="K21" s="54"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55"/>
      <c r="C22" s="55"/>
      <c r="D22" s="47"/>
      <c r="E22" s="48"/>
      <c r="F22" s="169"/>
      <c r="G22" s="47"/>
      <c r="H22" s="48"/>
      <c r="I22" s="50"/>
      <c r="J22" s="47"/>
      <c r="K22" s="48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52" t="s">
        <v>31</v>
      </c>
      <c r="C23" s="171"/>
      <c r="D23" s="47">
        <v>59086162.804413699</v>
      </c>
      <c r="E23" s="48">
        <v>68.966964399240496</v>
      </c>
      <c r="F23" s="169"/>
      <c r="G23" s="47">
        <v>31708337.043331601</v>
      </c>
      <c r="H23" s="48">
        <v>69.3935314075718</v>
      </c>
      <c r="I23" s="50"/>
      <c r="J23" s="47">
        <v>26693069.437129401</v>
      </c>
      <c r="K23" s="48">
        <v>67.679928620181798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174"/>
      <c r="C24" s="174"/>
      <c r="D24" s="22"/>
      <c r="E24" s="22"/>
      <c r="F24" s="22"/>
      <c r="G24" s="22"/>
      <c r="H24" s="22"/>
      <c r="I24" s="22"/>
      <c r="J24" s="22"/>
      <c r="K24" s="22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75" t="s">
        <v>7</v>
      </c>
      <c r="C25" s="176"/>
      <c r="D25" s="47">
        <v>27919808.370060898</v>
      </c>
      <c r="E25" s="48">
        <v>100</v>
      </c>
      <c r="F25" s="169"/>
      <c r="G25" s="47">
        <v>15147712.0036007</v>
      </c>
      <c r="H25" s="48">
        <v>100</v>
      </c>
      <c r="I25" s="50"/>
      <c r="J25" s="47">
        <v>12466861.324348001</v>
      </c>
      <c r="K25" s="48">
        <v>100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46"/>
      <c r="C26" s="46"/>
      <c r="D26" s="30"/>
      <c r="E26" s="30"/>
      <c r="F26" s="17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52" t="s">
        <v>82</v>
      </c>
      <c r="C27" s="171"/>
      <c r="D27" s="47">
        <v>5515372.0377844404</v>
      </c>
      <c r="E27" s="48">
        <v>18.922824869560699</v>
      </c>
      <c r="F27" s="169"/>
      <c r="G27" s="47">
        <v>2949871.3775346898</v>
      </c>
      <c r="H27" s="48">
        <v>18.685618994716101</v>
      </c>
      <c r="I27" s="50"/>
      <c r="J27" s="47">
        <v>2370166.0673400802</v>
      </c>
      <c r="K27" s="48">
        <v>17.869429316073798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71"/>
      <c r="C28" s="171"/>
      <c r="D28" s="53"/>
      <c r="E28" s="54"/>
      <c r="F28" s="169"/>
      <c r="G28" s="53"/>
      <c r="H28" s="54"/>
      <c r="I28" s="50"/>
      <c r="J28" s="53"/>
      <c r="K28" s="54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72" t="s">
        <v>26</v>
      </c>
      <c r="C29" s="172"/>
      <c r="D29" s="53">
        <v>1542935.85201828</v>
      </c>
      <c r="E29" s="54">
        <v>26.1394161167349</v>
      </c>
      <c r="F29" s="173"/>
      <c r="G29" s="53">
        <v>633620.12349018897</v>
      </c>
      <c r="H29" s="54">
        <v>19.102657293066301</v>
      </c>
      <c r="I29" s="30"/>
      <c r="J29" s="53">
        <v>814827.71620842197</v>
      </c>
      <c r="K29" s="54">
        <v>32.678767943875599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55" t="s">
        <v>27</v>
      </c>
      <c r="C30" s="55"/>
      <c r="D30" s="53">
        <v>811277.99469402095</v>
      </c>
      <c r="E30" s="54">
        <v>13.8255463798343</v>
      </c>
      <c r="F30" s="173"/>
      <c r="G30" s="53">
        <v>315761.21861184901</v>
      </c>
      <c r="H30" s="54">
        <v>10.1887417572907</v>
      </c>
      <c r="I30" s="30"/>
      <c r="J30" s="53">
        <v>387351.724997463</v>
      </c>
      <c r="K30" s="54">
        <v>15.098476406679101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55" t="s">
        <v>28</v>
      </c>
      <c r="C31" s="55"/>
      <c r="D31" s="53">
        <v>191679.349126766</v>
      </c>
      <c r="E31" s="54">
        <v>3.1227933813747102</v>
      </c>
      <c r="F31" s="173"/>
      <c r="G31" s="53">
        <v>72913.763250475196</v>
      </c>
      <c r="H31" s="54">
        <v>2.2009851407858099</v>
      </c>
      <c r="I31" s="30"/>
      <c r="J31" s="53">
        <v>81840.228902404197</v>
      </c>
      <c r="K31" s="54">
        <v>2.9986936065346002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55" t="s">
        <v>29</v>
      </c>
      <c r="C32" s="55"/>
      <c r="D32" s="53">
        <v>39094.498631348397</v>
      </c>
      <c r="E32" s="54">
        <v>0.62803532338161705</v>
      </c>
      <c r="F32" s="173"/>
      <c r="G32" s="53">
        <v>3633.59746563203</v>
      </c>
      <c r="H32" s="54">
        <v>0.10065018110768301</v>
      </c>
      <c r="I32" s="30"/>
      <c r="J32" s="53">
        <v>12335.8507584214</v>
      </c>
      <c r="K32" s="54">
        <v>0.46554723964735001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55" t="s">
        <v>83</v>
      </c>
      <c r="C33" s="55"/>
      <c r="D33" s="53">
        <v>1177399.66503075</v>
      </c>
      <c r="E33" s="54">
        <v>19.816278930021401</v>
      </c>
      <c r="F33" s="173"/>
      <c r="G33" s="53">
        <v>726256.51528817404</v>
      </c>
      <c r="H33" s="54">
        <v>21.875982358087501</v>
      </c>
      <c r="I33" s="30"/>
      <c r="J33" s="53">
        <v>391825.59599143302</v>
      </c>
      <c r="K33" s="54">
        <v>14.585586468598001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55" t="s">
        <v>30</v>
      </c>
      <c r="C34" s="55"/>
      <c r="D34" s="53">
        <v>1139164.5527096801</v>
      </c>
      <c r="E34" s="54">
        <v>18.830470625880299</v>
      </c>
      <c r="F34" s="173"/>
      <c r="G34" s="53">
        <v>688078.14065598196</v>
      </c>
      <c r="H34" s="54">
        <v>21.160964801150801</v>
      </c>
      <c r="I34" s="30"/>
      <c r="J34" s="53">
        <v>371294.60146020498</v>
      </c>
      <c r="K34" s="54">
        <v>13.509269202898601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55" t="s">
        <v>156</v>
      </c>
      <c r="C35" s="55"/>
      <c r="D35" s="53">
        <v>0</v>
      </c>
      <c r="E35" s="54">
        <v>0</v>
      </c>
      <c r="F35" s="173"/>
      <c r="G35" s="53">
        <v>0</v>
      </c>
      <c r="H35" s="54">
        <v>0</v>
      </c>
      <c r="I35" s="30"/>
      <c r="J35" s="53">
        <v>0</v>
      </c>
      <c r="K35" s="54">
        <v>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55"/>
      <c r="C36" s="55"/>
      <c r="D36" s="47"/>
      <c r="E36" s="48"/>
      <c r="F36" s="169"/>
      <c r="G36" s="47"/>
      <c r="H36" s="48"/>
      <c r="I36" s="50"/>
      <c r="J36" s="47"/>
      <c r="K36" s="48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52" t="s">
        <v>31</v>
      </c>
      <c r="C37" s="171"/>
      <c r="D37" s="47">
        <v>22042295.634427801</v>
      </c>
      <c r="E37" s="48">
        <v>77.423829014711401</v>
      </c>
      <c r="F37" s="169"/>
      <c r="G37" s="47">
        <v>11952415.9509678</v>
      </c>
      <c r="H37" s="48">
        <v>76.772214769192601</v>
      </c>
      <c r="I37" s="50"/>
      <c r="J37" s="47">
        <v>9818530.6459549908</v>
      </c>
      <c r="K37" s="48">
        <v>76.870718153770696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176"/>
      <c r="C38" s="174"/>
      <c r="D38" s="22"/>
      <c r="E38" s="22"/>
      <c r="F38" s="22"/>
      <c r="G38" s="22"/>
      <c r="H38" s="22"/>
      <c r="I38" s="22"/>
      <c r="J38" s="22"/>
      <c r="K38" s="22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75" t="s">
        <v>8</v>
      </c>
      <c r="C39" s="176"/>
      <c r="D39" s="47">
        <v>54724471.783623897</v>
      </c>
      <c r="E39" s="48">
        <v>100</v>
      </c>
      <c r="F39" s="169"/>
      <c r="G39" s="47">
        <v>28733115.775626201</v>
      </c>
      <c r="H39" s="48">
        <v>100</v>
      </c>
      <c r="I39" s="50"/>
      <c r="J39" s="47">
        <v>25428611.494824</v>
      </c>
      <c r="K39" s="48">
        <v>100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46"/>
      <c r="C40" s="46"/>
      <c r="D40" s="30"/>
      <c r="E40" s="30"/>
      <c r="F40" s="17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52" t="s">
        <v>82</v>
      </c>
      <c r="C41" s="171"/>
      <c r="D41" s="47">
        <v>18812055.223345999</v>
      </c>
      <c r="E41" s="48">
        <v>33.436965554669698</v>
      </c>
      <c r="F41" s="169"/>
      <c r="G41" s="47">
        <v>9498906.5478912201</v>
      </c>
      <c r="H41" s="48">
        <v>31.859925464664101</v>
      </c>
      <c r="I41" s="50"/>
      <c r="J41" s="47">
        <v>8985815.1397833508</v>
      </c>
      <c r="K41" s="48">
        <v>34.221158114665897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6.95" customHeight="1">
      <c r="A42" s="30"/>
      <c r="B42" s="171"/>
      <c r="C42" s="171"/>
      <c r="D42" s="53"/>
      <c r="E42" s="54"/>
      <c r="F42" s="169"/>
      <c r="G42" s="53"/>
      <c r="H42" s="54"/>
      <c r="I42" s="50"/>
      <c r="J42" s="53"/>
      <c r="K42" s="54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172" t="s">
        <v>26</v>
      </c>
      <c r="C43" s="172"/>
      <c r="D43" s="53">
        <v>4029835.1683084802</v>
      </c>
      <c r="E43" s="54">
        <v>20.7050718418344</v>
      </c>
      <c r="F43" s="173"/>
      <c r="G43" s="53">
        <v>2160648.5545570399</v>
      </c>
      <c r="H43" s="54">
        <v>21.721403842281401</v>
      </c>
      <c r="I43" s="30"/>
      <c r="J43" s="53">
        <v>1721919.28085713</v>
      </c>
      <c r="K43" s="54">
        <v>18.2732707922309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15" customHeight="1">
      <c r="A44" s="30"/>
      <c r="B44" s="55" t="s">
        <v>27</v>
      </c>
      <c r="C44" s="55"/>
      <c r="D44" s="53">
        <v>4946051.3976215897</v>
      </c>
      <c r="E44" s="54">
        <v>25.455309007142599</v>
      </c>
      <c r="F44" s="173"/>
      <c r="G44" s="53">
        <v>2400285.2172627901</v>
      </c>
      <c r="H44" s="54">
        <v>24.082450768471801</v>
      </c>
      <c r="I44" s="30"/>
      <c r="J44" s="53">
        <v>2369841.3396463101</v>
      </c>
      <c r="K44" s="54">
        <v>25.335504132855899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55" t="s">
        <v>28</v>
      </c>
      <c r="C45" s="55"/>
      <c r="D45" s="53">
        <v>2040101.2038052799</v>
      </c>
      <c r="E45" s="54">
        <v>10.4269285723132</v>
      </c>
      <c r="F45" s="173"/>
      <c r="G45" s="53">
        <v>799423.03656513104</v>
      </c>
      <c r="H45" s="54">
        <v>7.9664632257953096</v>
      </c>
      <c r="I45" s="30"/>
      <c r="J45" s="53">
        <v>1137803.9794473101</v>
      </c>
      <c r="K45" s="54">
        <v>12.0503232359509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15" customHeight="1">
      <c r="A46" s="30"/>
      <c r="B46" s="55" t="s">
        <v>29</v>
      </c>
      <c r="C46" s="55"/>
      <c r="D46" s="53">
        <v>1120810.4767370401</v>
      </c>
      <c r="E46" s="54">
        <v>5.6932702811541898</v>
      </c>
      <c r="F46" s="173"/>
      <c r="G46" s="53">
        <v>430863.47575844201</v>
      </c>
      <c r="H46" s="54">
        <v>4.2593466375203297</v>
      </c>
      <c r="I46" s="30"/>
      <c r="J46" s="53">
        <v>626353.56305578595</v>
      </c>
      <c r="K46" s="54">
        <v>6.5595768568560198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15" customHeight="1">
      <c r="A47" s="30"/>
      <c r="B47" s="55" t="s">
        <v>83</v>
      </c>
      <c r="C47" s="55"/>
      <c r="D47" s="53">
        <v>3008380.9742617402</v>
      </c>
      <c r="E47" s="54">
        <v>15.451027437614499</v>
      </c>
      <c r="F47" s="173"/>
      <c r="G47" s="53">
        <v>1445251.04640529</v>
      </c>
      <c r="H47" s="54">
        <v>14.600524003895799</v>
      </c>
      <c r="I47" s="30"/>
      <c r="J47" s="53">
        <v>1419104.3996144901</v>
      </c>
      <c r="K47" s="54">
        <v>15.108653181767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55" t="s">
        <v>30</v>
      </c>
      <c r="C48" s="55"/>
      <c r="D48" s="53">
        <v>2504210.9351322302</v>
      </c>
      <c r="E48" s="54">
        <v>12.867257709177199</v>
      </c>
      <c r="F48" s="173"/>
      <c r="G48" s="53">
        <v>1501971.8233675801</v>
      </c>
      <c r="H48" s="54">
        <v>15.1014318316795</v>
      </c>
      <c r="I48" s="30"/>
      <c r="J48" s="53">
        <v>905181.21739149594</v>
      </c>
      <c r="K48" s="54">
        <v>9.5241020191816297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5" customHeight="1">
      <c r="A49" s="30"/>
      <c r="B49" s="55" t="s">
        <v>156</v>
      </c>
      <c r="C49" s="55"/>
      <c r="D49" s="53">
        <v>0</v>
      </c>
      <c r="E49" s="54">
        <v>0</v>
      </c>
      <c r="F49" s="173"/>
      <c r="G49" s="53">
        <v>0</v>
      </c>
      <c r="H49" s="54">
        <v>0</v>
      </c>
      <c r="I49" s="30"/>
      <c r="J49" s="53">
        <v>0</v>
      </c>
      <c r="K49" s="54">
        <v>0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6.95" customHeight="1">
      <c r="A50" s="30"/>
      <c r="B50" s="55"/>
      <c r="C50" s="55"/>
      <c r="D50" s="47"/>
      <c r="E50" s="48"/>
      <c r="F50" s="169"/>
      <c r="G50" s="47"/>
      <c r="H50" s="48"/>
      <c r="I50" s="50"/>
      <c r="J50" s="47"/>
      <c r="K50" s="48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5" customHeight="1">
      <c r="A51" s="30"/>
      <c r="B51" s="52" t="s">
        <v>31</v>
      </c>
      <c r="C51" s="171"/>
      <c r="D51" s="47">
        <v>35345214.985911801</v>
      </c>
      <c r="E51" s="48">
        <v>63.858705651730297</v>
      </c>
      <c r="F51" s="169"/>
      <c r="G51" s="47">
        <v>18818266.592843801</v>
      </c>
      <c r="H51" s="48">
        <v>64.499834943053202</v>
      </c>
      <c r="I51" s="50"/>
      <c r="J51" s="47">
        <v>16066734.980519</v>
      </c>
      <c r="K51" s="48">
        <v>62.128604312137597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6.95" customHeight="1">
      <c r="A52" s="30"/>
      <c r="B52" s="177"/>
      <c r="C52" s="177"/>
      <c r="D52" s="177"/>
      <c r="E52" s="178"/>
      <c r="F52" s="178"/>
      <c r="G52" s="178"/>
      <c r="H52" s="178"/>
      <c r="I52" s="178"/>
      <c r="J52" s="178"/>
      <c r="K52" s="178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6.95" customHeight="1">
      <c r="A53" s="30"/>
      <c r="B53" s="179"/>
      <c r="C53" s="179"/>
      <c r="D53" s="179"/>
      <c r="E53" s="180"/>
      <c r="F53" s="180"/>
      <c r="G53" s="180"/>
      <c r="H53" s="180"/>
      <c r="I53" s="180"/>
      <c r="J53" s="180"/>
      <c r="K53" s="18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12" customHeight="1">
      <c r="A54" s="30"/>
      <c r="B54" s="181" t="s">
        <v>76</v>
      </c>
      <c r="C54" s="181"/>
      <c r="D54" s="181"/>
      <c r="E54" s="64"/>
      <c r="F54" s="64"/>
      <c r="G54" s="64"/>
      <c r="H54" s="64"/>
      <c r="I54" s="64"/>
      <c r="J54" s="64"/>
      <c r="K54" s="64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3" ht="12" customHeight="1">
      <c r="A55" s="30"/>
      <c r="B55" s="181" t="s">
        <v>77</v>
      </c>
      <c r="C55" s="181"/>
      <c r="D55" s="181"/>
      <c r="E55" s="64"/>
      <c r="F55" s="64"/>
      <c r="G55" s="64"/>
      <c r="H55" s="64"/>
      <c r="I55" s="64"/>
      <c r="J55" s="64"/>
      <c r="K55" s="64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spans="1:23" ht="12" customHeight="1">
      <c r="A56" s="30"/>
      <c r="B56" s="181" t="s">
        <v>84</v>
      </c>
      <c r="C56" s="181"/>
      <c r="D56" s="181"/>
      <c r="E56" s="180"/>
      <c r="F56" s="180"/>
      <c r="G56" s="180"/>
      <c r="H56" s="180"/>
      <c r="I56" s="180"/>
      <c r="J56" s="180"/>
      <c r="K56" s="182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3" ht="12" customHeight="1">
      <c r="A57" s="30"/>
      <c r="B57" s="255" t="s">
        <v>102</v>
      </c>
      <c r="C57" s="255"/>
      <c r="D57" s="255"/>
      <c r="E57" s="255"/>
      <c r="F57" s="255"/>
      <c r="G57" s="25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</sheetData>
  <mergeCells count="6">
    <mergeCell ref="B57:G57"/>
    <mergeCell ref="B7:B9"/>
    <mergeCell ref="D7:E8"/>
    <mergeCell ref="G7:K7"/>
    <mergeCell ref="G8:H8"/>
    <mergeCell ref="J8:K8"/>
  </mergeCells>
  <hyperlinks>
    <hyperlink ref="K1" location="Índice!A1" tooltip="Ir a ÍNDICE" display="INDICE" xr:uid="{2598AEF0-6C25-4AC7-BC26-2F16100959F7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0CC4-BCF2-4D30-922B-AB4E948FCD51}">
  <dimension ref="A1:W54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31"/>
      <c r="C4" s="183"/>
      <c r="D4" s="183"/>
      <c r="E4" s="65"/>
      <c r="F4" s="65"/>
      <c r="G4" s="65"/>
      <c r="H4" s="65"/>
      <c r="I4" s="65"/>
      <c r="J4" s="65"/>
      <c r="K4" s="11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8" t="s">
        <v>148</v>
      </c>
      <c r="C5" s="268"/>
      <c r="D5" s="268"/>
      <c r="E5" s="268"/>
      <c r="F5" s="268"/>
      <c r="G5" s="268"/>
      <c r="H5" s="184"/>
      <c r="I5" s="184"/>
      <c r="J5" s="65"/>
      <c r="K5" s="112" t="s">
        <v>59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2" t="s">
        <v>34</v>
      </c>
      <c r="C7" s="70"/>
      <c r="D7" s="263" t="s">
        <v>134</v>
      </c>
      <c r="E7" s="263"/>
      <c r="F7" s="71"/>
      <c r="G7" s="258" t="s">
        <v>132</v>
      </c>
      <c r="H7" s="258"/>
      <c r="I7" s="258"/>
      <c r="J7" s="258"/>
      <c r="K7" s="25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0"/>
      <c r="C8" s="40"/>
      <c r="D8" s="257"/>
      <c r="E8" s="257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31332679.148446102</v>
      </c>
      <c r="E11" s="48">
        <v>100</v>
      </c>
      <c r="F11" s="49"/>
      <c r="G11" s="47">
        <v>16017501.3732698</v>
      </c>
      <c r="H11" s="48">
        <v>100</v>
      </c>
      <c r="I11" s="50"/>
      <c r="J11" s="47">
        <v>14819984.598719601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33" t="s">
        <v>38</v>
      </c>
      <c r="C13" s="185"/>
      <c r="D13" s="47">
        <v>9168994.8510323092</v>
      </c>
      <c r="E13" s="48">
        <v>28.556315341662799</v>
      </c>
      <c r="F13" s="49"/>
      <c r="G13" s="47">
        <v>4043200.6100844899</v>
      </c>
      <c r="H13" s="48">
        <v>24.345189670466301</v>
      </c>
      <c r="I13" s="50"/>
      <c r="J13" s="47">
        <v>4870081.3430390703</v>
      </c>
      <c r="K13" s="48">
        <v>31.7460204318051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185"/>
      <c r="C14" s="185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86" t="s">
        <v>35</v>
      </c>
      <c r="C15" s="115"/>
      <c r="D15" s="53">
        <v>7846852.5028448999</v>
      </c>
      <c r="E15" s="54">
        <v>84.050138913158506</v>
      </c>
      <c r="F15" s="56"/>
      <c r="G15" s="53">
        <v>3455140.5549589298</v>
      </c>
      <c r="H15" s="54">
        <v>83.382410449927903</v>
      </c>
      <c r="I15" s="30"/>
      <c r="J15" s="53">
        <v>4151566.1394404499</v>
      </c>
      <c r="K15" s="54">
        <v>83.201804831668596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86" t="s">
        <v>65</v>
      </c>
      <c r="C16" s="77"/>
      <c r="D16" s="53">
        <v>3713091.8041222901</v>
      </c>
      <c r="E16" s="54">
        <v>38.979320905128603</v>
      </c>
      <c r="F16" s="56"/>
      <c r="G16" s="53">
        <v>1798578.77349534</v>
      </c>
      <c r="H16" s="54">
        <v>41.842975461250496</v>
      </c>
      <c r="I16" s="30"/>
      <c r="J16" s="53">
        <v>1752359.59893505</v>
      </c>
      <c r="K16" s="54">
        <v>34.328590678817903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30" customHeight="1">
      <c r="A17" s="30"/>
      <c r="B17" s="187" t="s">
        <v>111</v>
      </c>
      <c r="C17" s="101"/>
      <c r="D17" s="53">
        <v>1499159.9020561699</v>
      </c>
      <c r="E17" s="54">
        <v>15.586370509270999</v>
      </c>
      <c r="F17" s="56"/>
      <c r="G17" s="53">
        <v>424628.46990390198</v>
      </c>
      <c r="H17" s="54">
        <v>9.7959994803199493</v>
      </c>
      <c r="I17" s="30"/>
      <c r="J17" s="53">
        <v>986648.75273999094</v>
      </c>
      <c r="K17" s="54">
        <v>18.9415300817349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30" customHeight="1">
      <c r="A18" s="30"/>
      <c r="B18" s="187" t="s">
        <v>125</v>
      </c>
      <c r="C18" s="101"/>
      <c r="D18" s="53">
        <v>1490289.2436286099</v>
      </c>
      <c r="E18" s="54">
        <v>15.4578409012524</v>
      </c>
      <c r="F18" s="56"/>
      <c r="G18" s="53">
        <v>512407.95501062699</v>
      </c>
      <c r="H18" s="54">
        <v>11.721407948711899</v>
      </c>
      <c r="I18" s="30"/>
      <c r="J18" s="53">
        <v>893775.155301105</v>
      </c>
      <c r="K18" s="54">
        <v>17.048313122512798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86" t="s">
        <v>36</v>
      </c>
      <c r="C19" s="101"/>
      <c r="D19" s="53">
        <v>674322.31055310997</v>
      </c>
      <c r="E19" s="54">
        <v>6.9752212999856402</v>
      </c>
      <c r="F19" s="56"/>
      <c r="G19" s="53">
        <v>273830.524649548</v>
      </c>
      <c r="H19" s="54">
        <v>6.3135727539450901</v>
      </c>
      <c r="I19" s="30"/>
      <c r="J19" s="53">
        <v>337683.23546646</v>
      </c>
      <c r="K19" s="54">
        <v>6.3588018122003396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86" t="s">
        <v>124</v>
      </c>
      <c r="C20" s="101"/>
      <c r="D20" s="53">
        <v>449921.41860500199</v>
      </c>
      <c r="E20" s="54">
        <v>4.6361494937468697</v>
      </c>
      <c r="F20" s="56"/>
      <c r="G20" s="53">
        <v>126516.188551339</v>
      </c>
      <c r="H20" s="54">
        <v>2.8796460108355899</v>
      </c>
      <c r="I20" s="30"/>
      <c r="J20" s="53">
        <v>275485.55725743301</v>
      </c>
      <c r="K20" s="54">
        <v>5.2163646279900098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6.95" customHeight="1">
      <c r="A21" s="30"/>
      <c r="B21" s="101"/>
      <c r="C21" s="101"/>
      <c r="D21" s="47"/>
      <c r="E21" s="48"/>
      <c r="F21" s="49"/>
      <c r="G21" s="47"/>
      <c r="H21" s="48"/>
      <c r="I21" s="50"/>
      <c r="J21" s="47"/>
      <c r="K21" s="48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133" t="s">
        <v>37</v>
      </c>
      <c r="C22" s="185"/>
      <c r="D22" s="47">
        <v>21722117.906002101</v>
      </c>
      <c r="E22" s="48">
        <v>68.378555001026896</v>
      </c>
      <c r="F22" s="49"/>
      <c r="G22" s="47">
        <v>11699449.617978999</v>
      </c>
      <c r="H22" s="48">
        <v>71.780268159250994</v>
      </c>
      <c r="I22" s="50"/>
      <c r="J22" s="47">
        <v>9611175.3473496605</v>
      </c>
      <c r="K22" s="48">
        <v>63.353706474417997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6.95" customHeight="1">
      <c r="A23" s="30"/>
      <c r="B23" s="98"/>
      <c r="C23" s="98"/>
      <c r="D23" s="22"/>
      <c r="E23" s="188"/>
      <c r="F23" s="30"/>
      <c r="G23" s="22"/>
      <c r="H23" s="188"/>
      <c r="I23" s="22"/>
      <c r="J23" s="22"/>
      <c r="K23" s="188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5" customHeight="1">
      <c r="A24" s="30"/>
      <c r="B24" s="189" t="s">
        <v>7</v>
      </c>
      <c r="C24" s="190"/>
      <c r="D24" s="47">
        <v>6957275.6377249202</v>
      </c>
      <c r="E24" s="48">
        <v>100</v>
      </c>
      <c r="F24" s="49"/>
      <c r="G24" s="47">
        <v>3824267.1748120901</v>
      </c>
      <c r="H24" s="48">
        <v>100</v>
      </c>
      <c r="I24" s="50"/>
      <c r="J24" s="47">
        <v>2954094.6925607198</v>
      </c>
      <c r="K24" s="48">
        <v>100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6.95" customHeight="1">
      <c r="A25" s="30"/>
      <c r="B25" s="98"/>
      <c r="C25" s="98"/>
      <c r="D25" s="30"/>
      <c r="E25" s="30"/>
      <c r="F25" s="51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33" t="s">
        <v>38</v>
      </c>
      <c r="C26" s="185"/>
      <c r="D26" s="47">
        <v>1332961.03771488</v>
      </c>
      <c r="E26" s="48">
        <v>17.910293760555799</v>
      </c>
      <c r="F26" s="49"/>
      <c r="G26" s="47">
        <v>628199.82494137203</v>
      </c>
      <c r="H26" s="48">
        <v>15.1298746021524</v>
      </c>
      <c r="I26" s="50"/>
      <c r="J26" s="47">
        <v>607144.31716239604</v>
      </c>
      <c r="K26" s="48">
        <v>18.518265710376699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6.95" customHeight="1">
      <c r="A27" s="30"/>
      <c r="B27" s="185"/>
      <c r="C27" s="185"/>
      <c r="D27" s="53"/>
      <c r="E27" s="54"/>
      <c r="F27" s="49"/>
      <c r="G27" s="53"/>
      <c r="H27" s="54"/>
      <c r="I27" s="50"/>
      <c r="J27" s="53"/>
      <c r="K27" s="54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186" t="s">
        <v>35</v>
      </c>
      <c r="C28" s="115"/>
      <c r="D28" s="53">
        <v>1069918.55718672</v>
      </c>
      <c r="E28" s="54">
        <v>77.103426536857796</v>
      </c>
      <c r="F28" s="56"/>
      <c r="G28" s="53">
        <v>493310.65144395502</v>
      </c>
      <c r="H28" s="54">
        <v>75.732523215039393</v>
      </c>
      <c r="I28" s="30"/>
      <c r="J28" s="53">
        <v>477513.339105274</v>
      </c>
      <c r="K28" s="54">
        <v>73.8453146739772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86" t="s">
        <v>65</v>
      </c>
      <c r="C29" s="77"/>
      <c r="D29" s="53">
        <v>545229.38678055105</v>
      </c>
      <c r="E29" s="54">
        <v>34.985220354581202</v>
      </c>
      <c r="F29" s="56"/>
      <c r="G29" s="53">
        <v>322616.12086899398</v>
      </c>
      <c r="H29" s="54">
        <v>41.451554296687398</v>
      </c>
      <c r="I29" s="30"/>
      <c r="J29" s="53">
        <v>174456.26770316699</v>
      </c>
      <c r="K29" s="54">
        <v>22.618664548040801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30" customHeight="1">
      <c r="A30" s="30"/>
      <c r="B30" s="187" t="s">
        <v>111</v>
      </c>
      <c r="C30" s="101"/>
      <c r="D30" s="53">
        <v>186269.560660908</v>
      </c>
      <c r="E30" s="54">
        <v>11.8690046393972</v>
      </c>
      <c r="F30" s="56"/>
      <c r="G30" s="53">
        <v>30249.4124816898</v>
      </c>
      <c r="H30" s="54">
        <v>3.6686342649311898</v>
      </c>
      <c r="I30" s="30"/>
      <c r="J30" s="53">
        <v>129747.30635293</v>
      </c>
      <c r="K30" s="54">
        <v>17.555150033954401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187" t="s">
        <v>125</v>
      </c>
      <c r="C31" s="101"/>
      <c r="D31" s="53">
        <v>157692.81315289601</v>
      </c>
      <c r="E31" s="54">
        <v>9.8254519081527896</v>
      </c>
      <c r="F31" s="56"/>
      <c r="G31" s="53">
        <v>59863.123598313403</v>
      </c>
      <c r="H31" s="54">
        <v>7.1166089709759701</v>
      </c>
      <c r="I31" s="30"/>
      <c r="J31" s="53">
        <v>71589.949258532302</v>
      </c>
      <c r="K31" s="54">
        <v>9.3060346572189001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186" t="s">
        <v>36</v>
      </c>
      <c r="C32" s="101"/>
      <c r="D32" s="53">
        <v>54599.2492412375</v>
      </c>
      <c r="E32" s="54">
        <v>3.3682573669616298</v>
      </c>
      <c r="F32" s="56"/>
      <c r="G32" s="53">
        <v>15824.792982242099</v>
      </c>
      <c r="H32" s="54">
        <v>1.89929413930971</v>
      </c>
      <c r="I32" s="30"/>
      <c r="J32" s="53">
        <v>19250.4768105248</v>
      </c>
      <c r="K32" s="54">
        <v>2.38751547941551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86" t="s">
        <v>124</v>
      </c>
      <c r="C33" s="101"/>
      <c r="D33" s="53">
        <v>40107.519923214102</v>
      </c>
      <c r="E33" s="54">
        <v>2.45759400328213</v>
      </c>
      <c r="F33" s="56"/>
      <c r="G33" s="53">
        <v>6689.9206598257997</v>
      </c>
      <c r="H33" s="54">
        <v>0.79448187114287205</v>
      </c>
      <c r="I33" s="30"/>
      <c r="J33" s="53">
        <v>16978.541347116101</v>
      </c>
      <c r="K33" s="54">
        <v>2.1485133522692599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101"/>
      <c r="C34" s="101"/>
      <c r="D34" s="53"/>
      <c r="E34" s="54"/>
      <c r="F34" s="56"/>
      <c r="G34" s="53"/>
      <c r="H34" s="54"/>
      <c r="I34" s="3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133" t="s">
        <v>37</v>
      </c>
      <c r="C35" s="185"/>
      <c r="D35" s="47">
        <v>5465538.8723484799</v>
      </c>
      <c r="E35" s="48">
        <v>76.038890637777996</v>
      </c>
      <c r="F35" s="49"/>
      <c r="G35" s="47">
        <v>3084383.6154635702</v>
      </c>
      <c r="H35" s="48">
        <v>77.692534630683596</v>
      </c>
      <c r="I35" s="50"/>
      <c r="J35" s="47">
        <v>2200546.9831490801</v>
      </c>
      <c r="K35" s="48">
        <v>70.996242564574104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190"/>
      <c r="C36" s="190"/>
      <c r="D36" s="22"/>
      <c r="E36" s="191"/>
      <c r="F36" s="191"/>
      <c r="G36" s="22"/>
      <c r="H36" s="191"/>
      <c r="I36" s="191"/>
      <c r="J36" s="22"/>
      <c r="K36" s="191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89" t="s">
        <v>8</v>
      </c>
      <c r="C37" s="190"/>
      <c r="D37" s="47">
        <v>23552103.897339098</v>
      </c>
      <c r="E37" s="48">
        <v>100</v>
      </c>
      <c r="F37" s="49"/>
      <c r="G37" s="47">
        <v>11698220.878479401</v>
      </c>
      <c r="H37" s="48">
        <v>100</v>
      </c>
      <c r="I37" s="50"/>
      <c r="J37" s="47">
        <v>11464603.614946401</v>
      </c>
      <c r="K37" s="48">
        <v>100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98"/>
      <c r="C38" s="98"/>
      <c r="D38" s="30"/>
      <c r="E38" s="30"/>
      <c r="F38" s="5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33" t="s">
        <v>38</v>
      </c>
      <c r="C39" s="185"/>
      <c r="D39" s="47">
        <v>7569153.7645520195</v>
      </c>
      <c r="E39" s="48">
        <v>31.191480337463901</v>
      </c>
      <c r="F39" s="49"/>
      <c r="G39" s="47">
        <v>3246248.3298889799</v>
      </c>
      <c r="H39" s="48">
        <v>26.573331755292799</v>
      </c>
      <c r="I39" s="50"/>
      <c r="J39" s="47">
        <v>4096896.2886098102</v>
      </c>
      <c r="K39" s="48">
        <v>34.381383803138803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185"/>
      <c r="C40" s="185"/>
      <c r="D40" s="53"/>
      <c r="E40" s="54"/>
      <c r="F40" s="49"/>
      <c r="G40" s="53"/>
      <c r="H40" s="54"/>
      <c r="I40" s="50"/>
      <c r="J40" s="53"/>
      <c r="K40" s="54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86" t="s">
        <v>35</v>
      </c>
      <c r="C41" s="115"/>
      <c r="D41" s="53">
        <v>6543426.4168665996</v>
      </c>
      <c r="E41" s="54">
        <v>84.689466196232104</v>
      </c>
      <c r="F41" s="56"/>
      <c r="G41" s="53">
        <v>2801829.9779942399</v>
      </c>
      <c r="H41" s="54">
        <v>83.904829684452494</v>
      </c>
      <c r="I41" s="30"/>
      <c r="J41" s="53">
        <v>3524727.3430670402</v>
      </c>
      <c r="K41" s="54">
        <v>83.806134543711295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86" t="s">
        <v>65</v>
      </c>
      <c r="C42" s="77"/>
      <c r="D42" s="53">
        <v>3023533.9709425499</v>
      </c>
      <c r="E42" s="54">
        <v>38.529068571486697</v>
      </c>
      <c r="F42" s="56"/>
      <c r="G42" s="53">
        <v>1378481.1712102599</v>
      </c>
      <c r="H42" s="54">
        <v>39.917505166901101</v>
      </c>
      <c r="I42" s="30"/>
      <c r="J42" s="53">
        <v>1498865.4909979999</v>
      </c>
      <c r="K42" s="54">
        <v>35.076264160854699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30" customHeight="1">
      <c r="A43" s="30"/>
      <c r="B43" s="187" t="s">
        <v>111</v>
      </c>
      <c r="C43" s="101"/>
      <c r="D43" s="53">
        <v>1231322.8030356099</v>
      </c>
      <c r="E43" s="54">
        <v>15.405208230079101</v>
      </c>
      <c r="F43" s="56"/>
      <c r="G43" s="53">
        <v>361061.69183230901</v>
      </c>
      <c r="H43" s="54">
        <v>10.2831657263336</v>
      </c>
      <c r="I43" s="30"/>
      <c r="J43" s="53">
        <v>787883.03563299705</v>
      </c>
      <c r="K43" s="54">
        <v>17.870124854423601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30" customHeight="1">
      <c r="A44" s="30"/>
      <c r="B44" s="187" t="s">
        <v>125</v>
      </c>
      <c r="C44" s="101"/>
      <c r="D44" s="53">
        <v>1264661.65619713</v>
      </c>
      <c r="E44" s="54">
        <v>15.8048078594492</v>
      </c>
      <c r="F44" s="56"/>
      <c r="G44" s="53">
        <v>422057.06890087802</v>
      </c>
      <c r="H44" s="54">
        <v>11.8932603535327</v>
      </c>
      <c r="I44" s="30"/>
      <c r="J44" s="53">
        <v>762627.23710508202</v>
      </c>
      <c r="K44" s="54">
        <v>17.2294160714067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186" t="s">
        <v>36</v>
      </c>
      <c r="C45" s="101"/>
      <c r="D45" s="53">
        <v>579551.759141722</v>
      </c>
      <c r="E45" s="54">
        <v>7.2104464689566496</v>
      </c>
      <c r="F45" s="56"/>
      <c r="G45" s="53">
        <v>229152.89560587899</v>
      </c>
      <c r="H45" s="54">
        <v>6.5260312288750901</v>
      </c>
      <c r="I45" s="30"/>
      <c r="J45" s="53">
        <v>290564.73523765802</v>
      </c>
      <c r="K45" s="54">
        <v>6.4629896998566103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15" customHeight="1">
      <c r="A46" s="30"/>
      <c r="B46" s="186" t="s">
        <v>124</v>
      </c>
      <c r="C46" s="101"/>
      <c r="D46" s="53">
        <v>372963.29968668602</v>
      </c>
      <c r="E46" s="54">
        <v>4.6217308908683004</v>
      </c>
      <c r="F46" s="56"/>
      <c r="G46" s="53">
        <v>101925.50983697599</v>
      </c>
      <c r="H46" s="54">
        <v>2.8589913357921199</v>
      </c>
      <c r="I46" s="30"/>
      <c r="J46" s="53">
        <v>226198.405336981</v>
      </c>
      <c r="K46" s="54">
        <v>5.0657893143359098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6.95" customHeight="1">
      <c r="A47" s="30"/>
      <c r="B47" s="101"/>
      <c r="C47" s="101"/>
      <c r="D47" s="53"/>
      <c r="E47" s="54"/>
      <c r="F47" s="56"/>
      <c r="G47" s="53"/>
      <c r="H47" s="54"/>
      <c r="I47" s="30"/>
      <c r="J47" s="53"/>
      <c r="K47" s="54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133" t="s">
        <v>37</v>
      </c>
      <c r="C48" s="101"/>
      <c r="D48" s="47">
        <v>15629514.7753998</v>
      </c>
      <c r="E48" s="48">
        <v>65.221632779462098</v>
      </c>
      <c r="F48" s="49"/>
      <c r="G48" s="47">
        <v>8220548.1146959299</v>
      </c>
      <c r="H48" s="48">
        <v>68.7076453024182</v>
      </c>
      <c r="I48" s="50"/>
      <c r="J48" s="47">
        <v>7083350.3024717104</v>
      </c>
      <c r="K48" s="48">
        <v>60.112546005340597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6.95" customHeight="1">
      <c r="A49" s="30"/>
      <c r="B49" s="192"/>
      <c r="C49" s="192"/>
      <c r="D49" s="192"/>
      <c r="E49" s="126"/>
      <c r="F49" s="126"/>
      <c r="G49" s="126"/>
      <c r="H49" s="126"/>
      <c r="I49" s="126"/>
      <c r="J49" s="126"/>
      <c r="K49" s="126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6.95" customHeight="1">
      <c r="A50" s="30"/>
      <c r="B50" s="141"/>
      <c r="C50" s="141"/>
      <c r="D50" s="141"/>
      <c r="E50" s="128"/>
      <c r="F50" s="128"/>
      <c r="G50" s="128"/>
      <c r="H50" s="128"/>
      <c r="I50" s="128"/>
      <c r="J50" s="128"/>
      <c r="K50" s="128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2" customHeight="1">
      <c r="A51" s="30"/>
      <c r="B51" s="159" t="s">
        <v>75</v>
      </c>
      <c r="C51" s="159"/>
      <c r="D51" s="159"/>
      <c r="E51" s="128"/>
      <c r="F51" s="128"/>
      <c r="G51" s="128"/>
      <c r="H51" s="128"/>
      <c r="I51" s="128"/>
      <c r="J51" s="128"/>
      <c r="K51" s="128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12" customHeight="1">
      <c r="A52" s="30"/>
      <c r="B52" s="193" t="s">
        <v>93</v>
      </c>
      <c r="C52" s="193"/>
      <c r="D52" s="193"/>
      <c r="E52" s="128"/>
      <c r="F52" s="128"/>
      <c r="G52" s="128"/>
      <c r="H52" s="128"/>
      <c r="I52" s="128"/>
      <c r="J52" s="128"/>
      <c r="K52" s="128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12" customHeight="1">
      <c r="A53" s="30"/>
      <c r="B53" s="193" t="s">
        <v>126</v>
      </c>
      <c r="C53" s="193"/>
      <c r="D53" s="193"/>
      <c r="E53" s="128"/>
      <c r="F53" s="128"/>
      <c r="G53" s="128"/>
      <c r="H53" s="128"/>
      <c r="I53" s="128"/>
      <c r="J53" s="128"/>
      <c r="K53" s="128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12" customHeight="1">
      <c r="A54" s="30"/>
      <c r="B54" s="255" t="s">
        <v>102</v>
      </c>
      <c r="C54" s="255"/>
      <c r="D54" s="255"/>
      <c r="E54" s="255"/>
      <c r="F54" s="255"/>
      <c r="G54" s="25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</sheetData>
  <mergeCells count="7">
    <mergeCell ref="B54:G54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C6BF8EA8-C19E-4737-A596-4CEF51B9D65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D9DB-B3AF-445A-8809-739A928064FB}">
  <dimension ref="A1:W28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85546875" customWidth="1"/>
    <col min="6" max="6" width="1.7109375" customWidth="1"/>
    <col min="7" max="7" width="15.855468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15" customHeight="1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110"/>
      <c r="F4" s="110"/>
      <c r="G4" s="110"/>
      <c r="H4" s="110"/>
      <c r="I4" s="110"/>
      <c r="J4" s="11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7" t="s">
        <v>94</v>
      </c>
      <c r="C5" s="267"/>
      <c r="D5" s="267"/>
      <c r="E5" s="267"/>
      <c r="F5" s="267"/>
      <c r="G5" s="267"/>
      <c r="H5" s="65"/>
      <c r="I5" s="65"/>
      <c r="J5" s="65"/>
      <c r="K5" s="112" t="s">
        <v>60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2" t="s">
        <v>151</v>
      </c>
      <c r="C7" s="70"/>
      <c r="D7" s="263" t="s">
        <v>134</v>
      </c>
      <c r="E7" s="263"/>
      <c r="F7" s="71"/>
      <c r="G7" s="258" t="s">
        <v>132</v>
      </c>
      <c r="H7" s="258"/>
      <c r="I7" s="258"/>
      <c r="J7" s="258"/>
      <c r="K7" s="25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0"/>
      <c r="C8" s="40"/>
      <c r="D8" s="257"/>
      <c r="E8" s="257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31332679.148446102</v>
      </c>
      <c r="E11" s="48">
        <v>100</v>
      </c>
      <c r="F11" s="49"/>
      <c r="G11" s="47">
        <v>16017501.3732698</v>
      </c>
      <c r="H11" s="48">
        <v>100</v>
      </c>
      <c r="I11" s="50"/>
      <c r="J11" s="47">
        <v>14819984.598719601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30" customHeight="1">
      <c r="A13" s="30"/>
      <c r="B13" s="194" t="s">
        <v>88</v>
      </c>
      <c r="C13" s="116"/>
      <c r="D13" s="53">
        <v>8351312.0986521998</v>
      </c>
      <c r="E13" s="54">
        <v>26.022058257730599</v>
      </c>
      <c r="F13" s="56"/>
      <c r="G13" s="53">
        <v>3567337.4225946902</v>
      </c>
      <c r="H13" s="54">
        <v>21.462562292405</v>
      </c>
      <c r="I13" s="30"/>
      <c r="J13" s="53">
        <v>4508704.2370623499</v>
      </c>
      <c r="K13" s="54">
        <v>29.4999980266779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30" customHeight="1">
      <c r="A14" s="30"/>
      <c r="B14" s="194" t="s">
        <v>89</v>
      </c>
      <c r="C14" s="116"/>
      <c r="D14" s="53">
        <v>22535329.681836501</v>
      </c>
      <c r="E14" s="54">
        <v>70.908655561062503</v>
      </c>
      <c r="F14" s="56"/>
      <c r="G14" s="53">
        <v>12136618.354223</v>
      </c>
      <c r="H14" s="54">
        <v>74.3840503985233</v>
      </c>
      <c r="I14" s="30"/>
      <c r="J14" s="53">
        <v>9991231.5960202999</v>
      </c>
      <c r="K14" s="54">
        <v>65.716630973329501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6.95" customHeight="1">
      <c r="A15" s="30"/>
      <c r="B15" s="119"/>
      <c r="C15" s="119"/>
      <c r="D15" s="79"/>
      <c r="E15" s="78"/>
      <c r="F15" s="195"/>
      <c r="G15" s="79"/>
      <c r="H15" s="78"/>
      <c r="I15" s="79"/>
      <c r="J15" s="79"/>
      <c r="K15" s="78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96" t="s">
        <v>7</v>
      </c>
      <c r="C16" s="197"/>
      <c r="D16" s="47">
        <v>6957275.6377249202</v>
      </c>
      <c r="E16" s="48">
        <v>100</v>
      </c>
      <c r="F16" s="49"/>
      <c r="G16" s="47">
        <v>3824267.1748120901</v>
      </c>
      <c r="H16" s="48">
        <v>100</v>
      </c>
      <c r="I16" s="50"/>
      <c r="J16" s="47">
        <v>2954094.6925607198</v>
      </c>
      <c r="K16" s="48">
        <v>100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6.95" customHeight="1">
      <c r="A17" s="30"/>
      <c r="B17" s="197"/>
      <c r="C17" s="197"/>
      <c r="D17" s="53"/>
      <c r="E17" s="54"/>
      <c r="F17" s="49"/>
      <c r="G17" s="53"/>
      <c r="H17" s="54"/>
      <c r="I17" s="50"/>
      <c r="J17" s="53"/>
      <c r="K17" s="54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30" customHeight="1">
      <c r="A18" s="30"/>
      <c r="B18" s="194" t="s">
        <v>88</v>
      </c>
      <c r="C18" s="116"/>
      <c r="D18" s="53">
        <v>1084650.68762495</v>
      </c>
      <c r="E18" s="54">
        <v>14.4637546946248</v>
      </c>
      <c r="F18" s="56"/>
      <c r="G18" s="53">
        <v>511724.52933576499</v>
      </c>
      <c r="H18" s="54">
        <v>12.253130775112099</v>
      </c>
      <c r="I18" s="30"/>
      <c r="J18" s="53">
        <v>470209.47652835201</v>
      </c>
      <c r="K18" s="54">
        <v>14.3094369001183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30" customHeight="1">
      <c r="A19" s="30"/>
      <c r="B19" s="194" t="s">
        <v>89</v>
      </c>
      <c r="C19" s="116"/>
      <c r="D19" s="53">
        <v>5724121.9992623497</v>
      </c>
      <c r="E19" s="54">
        <v>80.068415904110594</v>
      </c>
      <c r="F19" s="56"/>
      <c r="G19" s="53">
        <v>3171287.3295371798</v>
      </c>
      <c r="H19" s="54">
        <v>79.6509334420725</v>
      </c>
      <c r="I19" s="30"/>
      <c r="J19" s="53">
        <v>2378960.2889376902</v>
      </c>
      <c r="K19" s="54">
        <v>77.628979319464193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198"/>
      <c r="C20" s="198"/>
      <c r="D20" s="30"/>
      <c r="E20" s="30"/>
      <c r="F20" s="102"/>
      <c r="G20" s="30"/>
      <c r="H20" s="30"/>
      <c r="I20" s="22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96" t="s">
        <v>8</v>
      </c>
      <c r="C21" s="197"/>
      <c r="D21" s="47">
        <v>23552103.897339098</v>
      </c>
      <c r="E21" s="48">
        <v>100</v>
      </c>
      <c r="F21" s="49"/>
      <c r="G21" s="47">
        <v>11698220.878479401</v>
      </c>
      <c r="H21" s="48">
        <v>100</v>
      </c>
      <c r="I21" s="50"/>
      <c r="J21" s="47">
        <v>11464603.614946401</v>
      </c>
      <c r="K21" s="48">
        <v>100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197"/>
      <c r="C22" s="197"/>
      <c r="D22" s="53"/>
      <c r="E22" s="54"/>
      <c r="F22" s="49"/>
      <c r="G22" s="53"/>
      <c r="H22" s="54"/>
      <c r="I22" s="50"/>
      <c r="J22" s="53"/>
      <c r="K22" s="54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30" customHeight="1">
      <c r="A23" s="30"/>
      <c r="B23" s="194" t="s">
        <v>88</v>
      </c>
      <c r="C23" s="116"/>
      <c r="D23" s="53">
        <v>7031379.8270484796</v>
      </c>
      <c r="E23" s="54">
        <v>29.028222952133198</v>
      </c>
      <c r="F23" s="56"/>
      <c r="G23" s="53">
        <v>2902432.1402503899</v>
      </c>
      <c r="H23" s="54">
        <v>23.7635770463894</v>
      </c>
      <c r="I23" s="30"/>
      <c r="J23" s="53">
        <v>3902194.2698716</v>
      </c>
      <c r="K23" s="54">
        <v>32.959708998495401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30" customHeight="1">
      <c r="A24" s="30"/>
      <c r="B24" s="194" t="s">
        <v>89</v>
      </c>
      <c r="C24" s="116"/>
      <c r="D24" s="53">
        <v>16164587.890039399</v>
      </c>
      <c r="E24" s="54">
        <v>67.359674865734704</v>
      </c>
      <c r="F24" s="56"/>
      <c r="G24" s="53">
        <v>8567259.6224830206</v>
      </c>
      <c r="H24" s="54">
        <v>71.612506759288905</v>
      </c>
      <c r="I24" s="30"/>
      <c r="J24" s="53">
        <v>7288009.2957163705</v>
      </c>
      <c r="K24" s="54">
        <v>61.544876955095901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6.95" customHeight="1">
      <c r="A25" s="30"/>
      <c r="B25" s="126"/>
      <c r="C25" s="126"/>
      <c r="D25" s="126"/>
      <c r="E25" s="126"/>
      <c r="F25" s="126"/>
      <c r="G25" s="126"/>
      <c r="H25" s="127"/>
      <c r="I25" s="127"/>
      <c r="J25" s="127"/>
      <c r="K25" s="127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128"/>
      <c r="C26" s="128"/>
      <c r="D26" s="128"/>
      <c r="E26" s="128"/>
      <c r="F26" s="128"/>
      <c r="G26" s="128"/>
      <c r="H26" s="110"/>
      <c r="I26" s="110"/>
      <c r="J26" s="110"/>
      <c r="K26" s="11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2" customHeight="1">
      <c r="A27" s="30"/>
      <c r="B27" s="159" t="s">
        <v>75</v>
      </c>
      <c r="C27" s="129"/>
      <c r="D27" s="129"/>
      <c r="E27" s="129"/>
      <c r="F27" s="129"/>
      <c r="G27" s="129"/>
      <c r="H27" s="129"/>
      <c r="I27" s="129"/>
      <c r="J27" s="129"/>
      <c r="K27" s="1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2" customHeight="1">
      <c r="A28" s="30"/>
      <c r="B28" s="255" t="s">
        <v>102</v>
      </c>
      <c r="C28" s="255"/>
      <c r="D28" s="255"/>
      <c r="E28" s="255"/>
      <c r="F28" s="255"/>
      <c r="G28" s="25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</sheetData>
  <mergeCells count="7">
    <mergeCell ref="B28:G28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D8BAE687-BA6F-41DA-BEBA-FD201F88DA6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C972-0FB8-4E94-9504-DEBB8600D686}">
  <dimension ref="A1:W34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6"/>
      <c r="C4" s="66"/>
      <c r="D4" s="66"/>
      <c r="E4" s="66"/>
      <c r="F4" s="66"/>
      <c r="G4" s="66"/>
      <c r="H4" s="199"/>
      <c r="I4" s="199"/>
      <c r="J4" s="199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>
      <c r="A5" s="30"/>
      <c r="B5" s="228" t="s">
        <v>158</v>
      </c>
      <c r="C5" s="67"/>
      <c r="D5" s="66"/>
      <c r="E5" s="66"/>
      <c r="F5" s="66"/>
      <c r="G5" s="66"/>
      <c r="H5" s="200"/>
      <c r="I5" s="200"/>
      <c r="J5" s="200"/>
      <c r="K5" s="112" t="s">
        <v>61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36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9" t="s">
        <v>159</v>
      </c>
      <c r="C7" s="70"/>
      <c r="D7" s="263" t="s">
        <v>131</v>
      </c>
      <c r="E7" s="263"/>
      <c r="F7" s="71"/>
      <c r="G7" s="258" t="s">
        <v>132</v>
      </c>
      <c r="H7" s="258"/>
      <c r="I7" s="258"/>
      <c r="J7" s="258"/>
      <c r="K7" s="25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70"/>
      <c r="C8" s="40"/>
      <c r="D8" s="257"/>
      <c r="E8" s="257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7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85074250.450445905</v>
      </c>
      <c r="E11" s="48">
        <v>100</v>
      </c>
      <c r="F11" s="49"/>
      <c r="G11" s="47">
        <v>45189093.536525302</v>
      </c>
      <c r="H11" s="48">
        <v>100</v>
      </c>
      <c r="I11" s="50"/>
      <c r="J11" s="47">
        <v>38949471.211108603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232" t="s">
        <v>160</v>
      </c>
      <c r="C13" s="150"/>
      <c r="D13" s="53">
        <v>31332679.148446102</v>
      </c>
      <c r="E13" s="54">
        <v>36.1817535788811</v>
      </c>
      <c r="F13" s="56"/>
      <c r="G13" s="53">
        <v>16017501.3732698</v>
      </c>
      <c r="H13" s="54">
        <v>34.618984606988498</v>
      </c>
      <c r="I13" s="30"/>
      <c r="J13" s="53">
        <v>14819984.598719601</v>
      </c>
      <c r="K13" s="54">
        <v>37.125244264638503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232" t="s">
        <v>161</v>
      </c>
      <c r="C14" s="150"/>
      <c r="D14" s="53">
        <v>52694274.303302698</v>
      </c>
      <c r="E14" s="54">
        <v>61.489422491273103</v>
      </c>
      <c r="F14" s="56"/>
      <c r="G14" s="53">
        <v>28530821.461188201</v>
      </c>
      <c r="H14" s="54">
        <v>62.387453607598999</v>
      </c>
      <c r="I14" s="30"/>
      <c r="J14" s="53">
        <v>23515242.9742334</v>
      </c>
      <c r="K14" s="54">
        <v>59.582362382379401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233" t="s">
        <v>162</v>
      </c>
      <c r="C15" s="201"/>
      <c r="D15" s="53">
        <v>41738100.811337799</v>
      </c>
      <c r="E15" s="54">
        <v>78.357999204776306</v>
      </c>
      <c r="F15" s="56"/>
      <c r="G15" s="53">
        <v>23053455.4846236</v>
      </c>
      <c r="H15" s="54">
        <v>79.826569381418807</v>
      </c>
      <c r="I15" s="30"/>
      <c r="J15" s="53">
        <v>18066427.019922301</v>
      </c>
      <c r="K15" s="54">
        <v>75.616881426155402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233" t="s">
        <v>163</v>
      </c>
      <c r="C16" s="202"/>
      <c r="D16" s="53">
        <v>10374070.4725384</v>
      </c>
      <c r="E16" s="54">
        <v>19.227518133378499</v>
      </c>
      <c r="F16" s="56"/>
      <c r="G16" s="53">
        <v>5116843.2884192904</v>
      </c>
      <c r="H16" s="54">
        <v>17.345561941772999</v>
      </c>
      <c r="I16" s="30"/>
      <c r="J16" s="53">
        <v>5012034.9563034102</v>
      </c>
      <c r="K16" s="54">
        <v>20.535935261178601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6.95" customHeight="1">
      <c r="A17" s="30"/>
      <c r="B17" s="234"/>
      <c r="C17" s="162"/>
      <c r="D17" s="79"/>
      <c r="E17" s="203"/>
      <c r="F17" s="203"/>
      <c r="G17" s="79"/>
      <c r="H17" s="203"/>
      <c r="I17" s="203"/>
      <c r="J17" s="79"/>
      <c r="K17" s="203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229" t="s">
        <v>7</v>
      </c>
      <c r="C18" s="204"/>
      <c r="D18" s="47">
        <v>27919808.370060898</v>
      </c>
      <c r="E18" s="48">
        <v>100</v>
      </c>
      <c r="F18" s="49"/>
      <c r="G18" s="47">
        <v>15147712.0036007</v>
      </c>
      <c r="H18" s="48">
        <v>100</v>
      </c>
      <c r="I18" s="50"/>
      <c r="J18" s="47">
        <v>12466861.324348001</v>
      </c>
      <c r="K18" s="48">
        <v>100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6.95" customHeight="1">
      <c r="A19" s="30"/>
      <c r="B19" s="230"/>
      <c r="C19" s="204"/>
      <c r="D19" s="53"/>
      <c r="E19" s="54"/>
      <c r="F19" s="49"/>
      <c r="G19" s="53"/>
      <c r="H19" s="54"/>
      <c r="I19" s="50"/>
      <c r="J19" s="53"/>
      <c r="K19" s="54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232" t="s">
        <v>160</v>
      </c>
      <c r="C20" s="150"/>
      <c r="D20" s="53">
        <v>6957275.6377249202</v>
      </c>
      <c r="E20" s="54">
        <v>23.9079186682083</v>
      </c>
      <c r="F20" s="56"/>
      <c r="G20" s="53">
        <v>3824267.1748120901</v>
      </c>
      <c r="H20" s="54">
        <v>24.243048902268001</v>
      </c>
      <c r="I20" s="30"/>
      <c r="J20" s="53">
        <v>2954094.6925607198</v>
      </c>
      <c r="K20" s="54">
        <v>22.387622421275701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232" t="s">
        <v>161</v>
      </c>
      <c r="C21" s="150"/>
      <c r="D21" s="53">
        <v>20540052.3086305</v>
      </c>
      <c r="E21" s="54">
        <v>71.895721759699001</v>
      </c>
      <c r="F21" s="56"/>
      <c r="G21" s="53">
        <v>11067399.456808301</v>
      </c>
      <c r="H21" s="54">
        <v>70.959000501194893</v>
      </c>
      <c r="I21" s="30"/>
      <c r="J21" s="53">
        <v>9220577.7935518995</v>
      </c>
      <c r="K21" s="54">
        <v>71.910838110456893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233" t="s">
        <v>162</v>
      </c>
      <c r="C22" s="201"/>
      <c r="D22" s="53">
        <v>17375973.0067278</v>
      </c>
      <c r="E22" s="54">
        <v>82.990302545939997</v>
      </c>
      <c r="F22" s="56"/>
      <c r="G22" s="53">
        <v>9397719.8781457301</v>
      </c>
      <c r="H22" s="54">
        <v>83.347757972504297</v>
      </c>
      <c r="I22" s="30"/>
      <c r="J22" s="53">
        <v>7697991.0821529003</v>
      </c>
      <c r="K22" s="54">
        <v>80.999036180034693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233" t="s">
        <v>163</v>
      </c>
      <c r="C23" s="202"/>
      <c r="D23" s="53">
        <v>2925800.7371939202</v>
      </c>
      <c r="E23" s="54">
        <v>13.6343993210828</v>
      </c>
      <c r="F23" s="56"/>
      <c r="G23" s="53">
        <v>1497526.9992098601</v>
      </c>
      <c r="H23" s="54">
        <v>12.752958172406201</v>
      </c>
      <c r="I23" s="30"/>
      <c r="J23" s="53">
        <v>1287520.45807379</v>
      </c>
      <c r="K23" s="54">
        <v>13.110681426113899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231"/>
      <c r="C24" s="205"/>
      <c r="D24" s="22"/>
      <c r="E24" s="206"/>
      <c r="F24" s="207"/>
      <c r="G24" s="22"/>
      <c r="H24" s="206"/>
      <c r="I24" s="206"/>
      <c r="J24" s="22"/>
      <c r="K24" s="206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229" t="s">
        <v>8</v>
      </c>
      <c r="C25" s="204"/>
      <c r="D25" s="47">
        <v>54724471.783623897</v>
      </c>
      <c r="E25" s="48">
        <v>100</v>
      </c>
      <c r="F25" s="49"/>
      <c r="G25" s="47">
        <v>28733115.775626201</v>
      </c>
      <c r="H25" s="48">
        <v>100</v>
      </c>
      <c r="I25" s="50"/>
      <c r="J25" s="47">
        <v>25428611.494824</v>
      </c>
      <c r="K25" s="48">
        <v>100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230"/>
      <c r="C26" s="204"/>
      <c r="D26" s="53"/>
      <c r="E26" s="54"/>
      <c r="F26" s="49"/>
      <c r="G26" s="53"/>
      <c r="H26" s="54"/>
      <c r="I26" s="50"/>
      <c r="J26" s="53"/>
      <c r="K26" s="54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232" t="s">
        <v>160</v>
      </c>
      <c r="C27" s="150"/>
      <c r="D27" s="53">
        <v>23552103.897339098</v>
      </c>
      <c r="E27" s="54">
        <v>41.916723871375503</v>
      </c>
      <c r="F27" s="56"/>
      <c r="G27" s="53">
        <v>11698220.878479401</v>
      </c>
      <c r="H27" s="54">
        <v>39.317662231238799</v>
      </c>
      <c r="I27" s="30"/>
      <c r="J27" s="53">
        <v>11464603.614946401</v>
      </c>
      <c r="K27" s="54">
        <v>43.665755218174702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232" t="s">
        <v>161</v>
      </c>
      <c r="C28" s="150"/>
      <c r="D28" s="53">
        <v>30610557.507493101</v>
      </c>
      <c r="E28" s="54">
        <v>55.270057250427598</v>
      </c>
      <c r="F28" s="56"/>
      <c r="G28" s="53">
        <v>16600930.853029599</v>
      </c>
      <c r="H28" s="54">
        <v>56.804917697625903</v>
      </c>
      <c r="I28" s="30"/>
      <c r="J28" s="53">
        <v>13549222.762357</v>
      </c>
      <c r="K28" s="54">
        <v>52.333289950355002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233" t="s">
        <v>162</v>
      </c>
      <c r="C29" s="201"/>
      <c r="D29" s="53">
        <v>23136169.4796356</v>
      </c>
      <c r="E29" s="54">
        <v>74.374810304965806</v>
      </c>
      <c r="F29" s="56"/>
      <c r="G29" s="53">
        <v>12924116.6234666</v>
      </c>
      <c r="H29" s="54">
        <v>76.494871562517503</v>
      </c>
      <c r="I29" s="30"/>
      <c r="J29" s="53">
        <v>9769208.0336491503</v>
      </c>
      <c r="K29" s="54">
        <v>70.563174598600099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233" t="s">
        <v>163</v>
      </c>
      <c r="C30" s="202"/>
      <c r="D30" s="53">
        <v>7064539.5799027998</v>
      </c>
      <c r="E30" s="54">
        <v>22.280764485203399</v>
      </c>
      <c r="F30" s="56"/>
      <c r="G30" s="53">
        <v>3405283.9268813198</v>
      </c>
      <c r="H30" s="54">
        <v>19.511846304547799</v>
      </c>
      <c r="I30" s="30"/>
      <c r="J30" s="53">
        <v>3484367.4328855099</v>
      </c>
      <c r="K30" s="54">
        <v>24.460558787157499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6.95" customHeight="1">
      <c r="A31" s="30"/>
      <c r="B31" s="235"/>
      <c r="C31" s="208"/>
      <c r="D31" s="209"/>
      <c r="E31" s="209"/>
      <c r="F31" s="209"/>
      <c r="G31" s="209"/>
      <c r="H31" s="209"/>
      <c r="I31" s="209"/>
      <c r="J31" s="209"/>
      <c r="K31" s="20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162"/>
      <c r="C32" s="162"/>
      <c r="D32" s="210"/>
      <c r="E32" s="210"/>
      <c r="F32" s="210"/>
      <c r="G32" s="210"/>
      <c r="H32" s="210"/>
      <c r="I32" s="210"/>
      <c r="J32" s="210"/>
      <c r="K32" s="21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2" customHeight="1">
      <c r="A33" s="30"/>
      <c r="B33" s="159" t="s">
        <v>78</v>
      </c>
      <c r="C33" s="159"/>
      <c r="D33" s="211"/>
      <c r="E33" s="211"/>
      <c r="F33" s="211"/>
      <c r="G33" s="211"/>
      <c r="H33" s="160"/>
      <c r="I33" s="160"/>
      <c r="J33" s="160"/>
      <c r="K33" s="9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2" customHeight="1">
      <c r="A34" s="30"/>
      <c r="B34" s="255" t="s">
        <v>102</v>
      </c>
      <c r="C34" s="255"/>
      <c r="D34" s="255"/>
      <c r="E34" s="255"/>
      <c r="F34" s="255"/>
      <c r="G34" s="25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</sheetData>
  <mergeCells count="6">
    <mergeCell ref="B34:G34"/>
    <mergeCell ref="B7:B9"/>
    <mergeCell ref="D7:E8"/>
    <mergeCell ref="G7:K7"/>
    <mergeCell ref="G8:H8"/>
    <mergeCell ref="J8:K8"/>
  </mergeCells>
  <hyperlinks>
    <hyperlink ref="K1" location="Índice!A1" tooltip="Ir a ÍNDICE" display="INDICE" xr:uid="{37D731FF-6C6E-4792-8FB5-BDCFCB24192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DFDA-C4E1-4227-B0A7-4DBC9D1BD74B}">
  <dimension ref="A1:W46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212"/>
      <c r="C4" s="212"/>
      <c r="D4" s="212"/>
      <c r="E4" s="212"/>
      <c r="F4" s="212"/>
      <c r="G4" s="212"/>
      <c r="H4" s="212"/>
      <c r="I4" s="212"/>
      <c r="J4" s="212"/>
      <c r="K4" s="11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228" t="s">
        <v>165</v>
      </c>
      <c r="C5" s="67"/>
      <c r="D5" s="67"/>
      <c r="E5" s="67"/>
      <c r="F5" s="213"/>
      <c r="G5" s="213"/>
      <c r="H5" s="214"/>
      <c r="I5" s="212"/>
      <c r="J5" s="212"/>
      <c r="K5" s="112" t="s">
        <v>62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36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2" t="s">
        <v>80</v>
      </c>
      <c r="C7" s="70"/>
      <c r="D7" s="272" t="s">
        <v>164</v>
      </c>
      <c r="E7" s="272"/>
      <c r="F7" s="71"/>
      <c r="G7" s="258" t="s">
        <v>132</v>
      </c>
      <c r="H7" s="258"/>
      <c r="I7" s="258"/>
      <c r="J7" s="258"/>
      <c r="K7" s="25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0"/>
      <c r="C8" s="40"/>
      <c r="D8" s="273"/>
      <c r="E8" s="273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10374070.4725384</v>
      </c>
      <c r="E11" s="48">
        <v>100</v>
      </c>
      <c r="F11" s="49"/>
      <c r="G11" s="47">
        <v>5116843.2884192904</v>
      </c>
      <c r="H11" s="48">
        <v>100</v>
      </c>
      <c r="I11" s="50"/>
      <c r="J11" s="47">
        <v>5012034.9563034102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01" t="s">
        <v>39</v>
      </c>
      <c r="C13" s="134"/>
      <c r="D13" s="53">
        <v>2294594.3607113999</v>
      </c>
      <c r="E13" s="54">
        <v>21.141378531138699</v>
      </c>
      <c r="F13" s="56"/>
      <c r="G13" s="53">
        <v>1033169.07442531</v>
      </c>
      <c r="H13" s="54">
        <v>19.151500048714201</v>
      </c>
      <c r="I13" s="30"/>
      <c r="J13" s="53">
        <v>1126108.71144458</v>
      </c>
      <c r="K13" s="54">
        <v>20.913395814306899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101" t="s">
        <v>40</v>
      </c>
      <c r="C14" s="134"/>
      <c r="D14" s="53">
        <v>2178794.37040646</v>
      </c>
      <c r="E14" s="54">
        <v>20.015394841354201</v>
      </c>
      <c r="F14" s="56"/>
      <c r="G14" s="53">
        <v>978290.39378551696</v>
      </c>
      <c r="H14" s="54">
        <v>17.958727120339901</v>
      </c>
      <c r="I14" s="30"/>
      <c r="J14" s="53">
        <v>1065811.93002014</v>
      </c>
      <c r="K14" s="54">
        <v>19.6596611895657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01" t="s">
        <v>41</v>
      </c>
      <c r="C15" s="134"/>
      <c r="D15" s="53">
        <v>2970268.9866816099</v>
      </c>
      <c r="E15" s="54">
        <v>27.214326955177</v>
      </c>
      <c r="F15" s="56"/>
      <c r="G15" s="53">
        <v>1405602.88574867</v>
      </c>
      <c r="H15" s="54">
        <v>25.717071809600402</v>
      </c>
      <c r="I15" s="30"/>
      <c r="J15" s="53">
        <v>1406877.8687619199</v>
      </c>
      <c r="K15" s="54">
        <v>26.3826059513238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30" customHeight="1">
      <c r="A16" s="30"/>
      <c r="B16" s="101" t="s">
        <v>152</v>
      </c>
      <c r="C16" s="134"/>
      <c r="D16" s="53">
        <v>897059.14622976002</v>
      </c>
      <c r="E16" s="54">
        <v>8.2820523963315509</v>
      </c>
      <c r="F16" s="56"/>
      <c r="G16" s="53">
        <v>484515.01534917398</v>
      </c>
      <c r="H16" s="54">
        <v>8.7658755421833394</v>
      </c>
      <c r="I16" s="30"/>
      <c r="J16" s="53">
        <v>311316.73652130802</v>
      </c>
      <c r="K16" s="54">
        <v>5.9480086461393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01" t="s">
        <v>42</v>
      </c>
      <c r="C17" s="134"/>
      <c r="D17" s="53">
        <v>598518.83719625196</v>
      </c>
      <c r="E17" s="54">
        <v>5.4760641282946398</v>
      </c>
      <c r="F17" s="56"/>
      <c r="G17" s="53">
        <v>288680.96598633798</v>
      </c>
      <c r="H17" s="54">
        <v>5.35207339503292</v>
      </c>
      <c r="I17" s="30"/>
      <c r="J17" s="53">
        <v>240625.31754970201</v>
      </c>
      <c r="K17" s="54">
        <v>4.3703850025120596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30" customHeight="1">
      <c r="A18" s="30"/>
      <c r="B18" s="101" t="s">
        <v>112</v>
      </c>
      <c r="C18" s="134"/>
      <c r="D18" s="53">
        <v>45813.710653420203</v>
      </c>
      <c r="E18" s="54">
        <v>0.41010816977410502</v>
      </c>
      <c r="F18" s="56"/>
      <c r="G18" s="53">
        <v>11811.2418157025</v>
      </c>
      <c r="H18" s="54">
        <v>0.214808211047052</v>
      </c>
      <c r="I18" s="30"/>
      <c r="J18" s="53">
        <v>8810.5489389923805</v>
      </c>
      <c r="K18" s="54">
        <v>0.162014757839158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01" t="s">
        <v>85</v>
      </c>
      <c r="C19" s="134"/>
      <c r="D19" s="53">
        <v>151677.403370154</v>
      </c>
      <c r="E19" s="54">
        <v>1.38299340615748</v>
      </c>
      <c r="F19" s="56"/>
      <c r="G19" s="53">
        <v>63356.836758981801</v>
      </c>
      <c r="H19" s="54">
        <v>1.15561255158166</v>
      </c>
      <c r="I19" s="30"/>
      <c r="J19" s="53">
        <v>44955.869276750404</v>
      </c>
      <c r="K19" s="54">
        <v>0.81644012458497495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01" t="s">
        <v>43</v>
      </c>
      <c r="C20" s="134"/>
      <c r="D20" s="53">
        <v>199824.35717947199</v>
      </c>
      <c r="E20" s="54">
        <v>1.8087275701177901</v>
      </c>
      <c r="F20" s="56"/>
      <c r="G20" s="53">
        <v>102560.330578148</v>
      </c>
      <c r="H20" s="54">
        <v>1.8712371862714401</v>
      </c>
      <c r="I20" s="30"/>
      <c r="J20" s="53">
        <v>52806.512387189898</v>
      </c>
      <c r="K20" s="54">
        <v>0.96539337544045301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6.95" customHeight="1">
      <c r="A21" s="30"/>
      <c r="B21" s="215"/>
      <c r="C21" s="215"/>
      <c r="D21" s="53"/>
      <c r="E21" s="54"/>
      <c r="F21" s="56"/>
      <c r="G21" s="53"/>
      <c r="H21" s="54"/>
      <c r="I21" s="30"/>
      <c r="J21" s="53"/>
      <c r="K21" s="54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216" t="s">
        <v>7</v>
      </c>
      <c r="C22" s="217"/>
      <c r="D22" s="47">
        <v>2925800.7371939202</v>
      </c>
      <c r="E22" s="48">
        <v>100</v>
      </c>
      <c r="F22" s="49"/>
      <c r="G22" s="47">
        <v>1497526.9992098601</v>
      </c>
      <c r="H22" s="48">
        <v>100</v>
      </c>
      <c r="I22" s="50"/>
      <c r="J22" s="47">
        <v>1287520.45807379</v>
      </c>
      <c r="K22" s="48">
        <v>100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6.95" customHeight="1">
      <c r="A23" s="30"/>
      <c r="B23" s="217"/>
      <c r="C23" s="217"/>
      <c r="D23" s="53"/>
      <c r="E23" s="54"/>
      <c r="F23" s="49"/>
      <c r="G23" s="53"/>
      <c r="H23" s="54"/>
      <c r="I23" s="50"/>
      <c r="J23" s="53"/>
      <c r="K23" s="54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5" customHeight="1">
      <c r="A24" s="30"/>
      <c r="B24" s="101" t="s">
        <v>39</v>
      </c>
      <c r="C24" s="134"/>
      <c r="D24" s="53">
        <v>591395.35526053596</v>
      </c>
      <c r="E24" s="54">
        <v>18.2881093233913</v>
      </c>
      <c r="F24" s="56"/>
      <c r="G24" s="53">
        <v>263348.63755550998</v>
      </c>
      <c r="H24" s="54">
        <v>16.1488374512241</v>
      </c>
      <c r="I24" s="30"/>
      <c r="J24" s="53">
        <v>260004.37710722801</v>
      </c>
      <c r="K24" s="54">
        <v>16.482367204355299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01" t="s">
        <v>40</v>
      </c>
      <c r="C25" s="134"/>
      <c r="D25" s="53">
        <v>429049.06637805997</v>
      </c>
      <c r="E25" s="54">
        <v>12.7631095502779</v>
      </c>
      <c r="F25" s="56"/>
      <c r="G25" s="53">
        <v>206245.88807583301</v>
      </c>
      <c r="H25" s="54">
        <v>12.3335729091395</v>
      </c>
      <c r="I25" s="30"/>
      <c r="J25" s="53">
        <v>172257.234300032</v>
      </c>
      <c r="K25" s="54">
        <v>10.1667448463933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01" t="s">
        <v>41</v>
      </c>
      <c r="C26" s="134"/>
      <c r="D26" s="53">
        <v>904309.29860652797</v>
      </c>
      <c r="E26" s="54">
        <v>28.360151010890501</v>
      </c>
      <c r="F26" s="56"/>
      <c r="G26" s="53">
        <v>406914.83925960399</v>
      </c>
      <c r="H26" s="54">
        <v>24.318047516674199</v>
      </c>
      <c r="I26" s="30"/>
      <c r="J26" s="53">
        <v>400285.03395617998</v>
      </c>
      <c r="K26" s="54">
        <v>27.8228596530011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30" customHeight="1">
      <c r="A27" s="30"/>
      <c r="B27" s="101" t="s">
        <v>152</v>
      </c>
      <c r="C27" s="134"/>
      <c r="D27" s="53">
        <v>228138.54495286499</v>
      </c>
      <c r="E27" s="54">
        <v>7.4602774173112598</v>
      </c>
      <c r="F27" s="56"/>
      <c r="G27" s="53">
        <v>137838.58584622599</v>
      </c>
      <c r="H27" s="54">
        <v>7.8751809313659198</v>
      </c>
      <c r="I27" s="30"/>
      <c r="J27" s="53">
        <v>29964.762585832599</v>
      </c>
      <c r="K27" s="54">
        <v>3.3617834016719002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101" t="s">
        <v>42</v>
      </c>
      <c r="C28" s="134"/>
      <c r="D28" s="53">
        <v>118978.76429210699</v>
      </c>
      <c r="E28" s="54">
        <v>3.51646093238526</v>
      </c>
      <c r="F28" s="56"/>
      <c r="G28" s="53">
        <v>49103.897235742501</v>
      </c>
      <c r="H28" s="54">
        <v>2.9134779444351899</v>
      </c>
      <c r="I28" s="30"/>
      <c r="J28" s="53">
        <v>44190.364327941003</v>
      </c>
      <c r="K28" s="54">
        <v>2.6416690431962899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30" customHeight="1">
      <c r="A29" s="30"/>
      <c r="B29" s="101" t="s">
        <v>112</v>
      </c>
      <c r="C29" s="134"/>
      <c r="D29" s="53">
        <v>8615.3533264743201</v>
      </c>
      <c r="E29" s="54">
        <v>0.238323089423706</v>
      </c>
      <c r="F29" s="56"/>
      <c r="G29" s="53">
        <v>0</v>
      </c>
      <c r="H29" s="54">
        <v>0</v>
      </c>
      <c r="I29" s="30"/>
      <c r="J29" s="53">
        <v>0</v>
      </c>
      <c r="K29" s="54">
        <v>0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101" t="s">
        <v>85</v>
      </c>
      <c r="C30" s="134"/>
      <c r="D30" s="53">
        <v>36522.520892494402</v>
      </c>
      <c r="E30" s="54">
        <v>1.2064235774415799</v>
      </c>
      <c r="F30" s="56"/>
      <c r="G30" s="53">
        <v>15517.7593491837</v>
      </c>
      <c r="H30" s="54">
        <v>1.0694781585717399</v>
      </c>
      <c r="I30" s="30"/>
      <c r="J30" s="53">
        <v>0</v>
      </c>
      <c r="K30" s="54">
        <v>0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101" t="s">
        <v>43</v>
      </c>
      <c r="C31" s="134"/>
      <c r="D31" s="53">
        <v>50607.8301415639</v>
      </c>
      <c r="E31" s="54">
        <v>1.5170755334911501</v>
      </c>
      <c r="F31" s="56"/>
      <c r="G31" s="53">
        <v>26418.8769923564</v>
      </c>
      <c r="H31" s="54">
        <v>1.49201820491106</v>
      </c>
      <c r="I31" s="30"/>
      <c r="J31" s="53">
        <v>8699.2726376360606</v>
      </c>
      <c r="K31" s="54">
        <v>0.58518706534734699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218"/>
      <c r="C32" s="218"/>
      <c r="D32" s="22"/>
      <c r="E32" s="151"/>
      <c r="F32" s="102"/>
      <c r="G32" s="22"/>
      <c r="H32" s="151"/>
      <c r="I32" s="151"/>
      <c r="J32" s="22"/>
      <c r="K32" s="151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216" t="s">
        <v>8</v>
      </c>
      <c r="C33" s="217"/>
      <c r="D33" s="47">
        <v>7064539.5799027998</v>
      </c>
      <c r="E33" s="48">
        <v>100</v>
      </c>
      <c r="F33" s="49"/>
      <c r="G33" s="47">
        <v>3405283.9268813198</v>
      </c>
      <c r="H33" s="48">
        <v>100</v>
      </c>
      <c r="I33" s="50"/>
      <c r="J33" s="47">
        <v>3484367.4328855099</v>
      </c>
      <c r="K33" s="48">
        <v>100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217"/>
      <c r="C34" s="217"/>
      <c r="D34" s="53"/>
      <c r="E34" s="54"/>
      <c r="F34" s="49"/>
      <c r="G34" s="53"/>
      <c r="H34" s="54"/>
      <c r="I34" s="5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101" t="s">
        <v>39</v>
      </c>
      <c r="C35" s="134"/>
      <c r="D35" s="53">
        <v>1561678.74661771</v>
      </c>
      <c r="E35" s="54">
        <v>20.917073941165299</v>
      </c>
      <c r="F35" s="56"/>
      <c r="G35" s="53">
        <v>680253.98376150802</v>
      </c>
      <c r="H35" s="54">
        <v>18.611830772859999</v>
      </c>
      <c r="I35" s="30"/>
      <c r="J35" s="53">
        <v>767562.95404280303</v>
      </c>
      <c r="K35" s="54">
        <v>20.514141857368401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101" t="s">
        <v>40</v>
      </c>
      <c r="C36" s="134"/>
      <c r="D36" s="53">
        <v>1640744.1617722199</v>
      </c>
      <c r="E36" s="54">
        <v>21.9986936139805</v>
      </c>
      <c r="F36" s="56"/>
      <c r="G36" s="53">
        <v>691006.90884478099</v>
      </c>
      <c r="H36" s="54">
        <v>18.671207870575</v>
      </c>
      <c r="I36" s="30"/>
      <c r="J36" s="53">
        <v>832500.65759747499</v>
      </c>
      <c r="K36" s="54">
        <v>22.259557731026199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01" t="s">
        <v>41</v>
      </c>
      <c r="C37" s="134"/>
      <c r="D37" s="53">
        <v>1870991.4677283801</v>
      </c>
      <c r="E37" s="54">
        <v>24.913498818641301</v>
      </c>
      <c r="F37" s="56"/>
      <c r="G37" s="53">
        <v>878981.31467331399</v>
      </c>
      <c r="H37" s="54">
        <v>23.8281407960033</v>
      </c>
      <c r="I37" s="30"/>
      <c r="J37" s="53">
        <v>883255.36591837602</v>
      </c>
      <c r="K37" s="54">
        <v>23.459677573425498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30" customHeight="1">
      <c r="A38" s="30"/>
      <c r="B38" s="101" t="s">
        <v>152</v>
      </c>
      <c r="C38" s="134"/>
      <c r="D38" s="53">
        <v>559077.12767673295</v>
      </c>
      <c r="E38" s="54">
        <v>7.3983617212723596</v>
      </c>
      <c r="F38" s="56"/>
      <c r="G38" s="53">
        <v>293403.26964261301</v>
      </c>
      <c r="H38" s="54">
        <v>7.8253007986596801</v>
      </c>
      <c r="I38" s="30"/>
      <c r="J38" s="53">
        <v>190468.48232216801</v>
      </c>
      <c r="K38" s="54">
        <v>5.0286414555331902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01" t="s">
        <v>42</v>
      </c>
      <c r="C39" s="134"/>
      <c r="D39" s="53">
        <v>422448.019408867</v>
      </c>
      <c r="E39" s="54">
        <v>5.6153377639309197</v>
      </c>
      <c r="F39" s="56"/>
      <c r="G39" s="53">
        <v>193748.06069829801</v>
      </c>
      <c r="H39" s="54">
        <v>5.3546620455288299</v>
      </c>
      <c r="I39" s="30"/>
      <c r="J39" s="53">
        <v>164923.75415104901</v>
      </c>
      <c r="K39" s="54">
        <v>4.2687782241757102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30" customHeight="1">
      <c r="A40" s="30"/>
      <c r="B40" s="101" t="s">
        <v>112</v>
      </c>
      <c r="C40" s="134"/>
      <c r="D40" s="53">
        <v>11908.634554288101</v>
      </c>
      <c r="E40" s="54">
        <v>0.154520395339455</v>
      </c>
      <c r="F40" s="56"/>
      <c r="G40" s="53">
        <v>1994.35479843036</v>
      </c>
      <c r="H40" s="54">
        <v>5.2553371045772797E-2</v>
      </c>
      <c r="I40" s="30"/>
      <c r="J40" s="53">
        <v>0</v>
      </c>
      <c r="K40" s="54">
        <v>0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01" t="s">
        <v>85</v>
      </c>
      <c r="C41" s="134"/>
      <c r="D41" s="53">
        <v>73881.640267642506</v>
      </c>
      <c r="E41" s="54">
        <v>0.96164062052112098</v>
      </c>
      <c r="F41" s="56"/>
      <c r="G41" s="53">
        <v>21203.0517068751</v>
      </c>
      <c r="H41" s="54">
        <v>0.55669039108192198</v>
      </c>
      <c r="I41" s="30"/>
      <c r="J41" s="53">
        <v>29500.647259255798</v>
      </c>
      <c r="K41" s="54">
        <v>0.76316821015242597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01" t="s">
        <v>43</v>
      </c>
      <c r="C42" s="134"/>
      <c r="D42" s="53">
        <v>112047.613824841</v>
      </c>
      <c r="E42" s="54">
        <v>1.4649278299864299</v>
      </c>
      <c r="F42" s="56"/>
      <c r="G42" s="53">
        <v>58101.136618769902</v>
      </c>
      <c r="H42" s="54">
        <v>1.57628101721628</v>
      </c>
      <c r="I42" s="30"/>
      <c r="J42" s="53">
        <v>19030.736470691099</v>
      </c>
      <c r="K42" s="54">
        <v>0.48765572701182602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6.95" customHeight="1">
      <c r="A43" s="30"/>
      <c r="B43" s="126"/>
      <c r="C43" s="126"/>
      <c r="D43" s="106"/>
      <c r="E43" s="106"/>
      <c r="F43" s="106"/>
      <c r="G43" s="106"/>
      <c r="H43" s="106"/>
      <c r="I43" s="106"/>
      <c r="J43" s="106"/>
      <c r="K43" s="106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6.95" customHeight="1">
      <c r="A44" s="30"/>
      <c r="B44" s="128"/>
      <c r="C44" s="128"/>
      <c r="D44" s="9"/>
      <c r="E44" s="9"/>
      <c r="F44" s="9"/>
      <c r="G44" s="9"/>
      <c r="H44" s="9"/>
      <c r="I44" s="9"/>
      <c r="J44" s="9"/>
      <c r="K44" s="9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2" customHeight="1">
      <c r="A45" s="30"/>
      <c r="B45" s="129" t="s">
        <v>79</v>
      </c>
      <c r="C45" s="129"/>
      <c r="D45" s="141"/>
      <c r="E45" s="141"/>
      <c r="F45" s="141"/>
      <c r="G45" s="141"/>
      <c r="H45" s="141"/>
      <c r="I45" s="141"/>
      <c r="J45" s="141"/>
      <c r="K45" s="141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12" customHeight="1">
      <c r="A46" s="30"/>
      <c r="B46" s="255" t="s">
        <v>102</v>
      </c>
      <c r="C46" s="255"/>
      <c r="D46" s="255"/>
      <c r="E46" s="255"/>
      <c r="F46" s="255"/>
      <c r="G46" s="25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</sheetData>
  <mergeCells count="6">
    <mergeCell ref="B46:G46"/>
    <mergeCell ref="B7:B9"/>
    <mergeCell ref="D7:E8"/>
    <mergeCell ref="G7:K7"/>
    <mergeCell ref="G8:H8"/>
    <mergeCell ref="J8:K8"/>
  </mergeCells>
  <hyperlinks>
    <hyperlink ref="H4" tooltip="CV:  19.55" display="Annex" xr:uid="{062735E9-2032-48AF-B848-06DA6EFB1CE9}"/>
    <hyperlink ref="K5" tooltip="CV:  24.14" display="Annex" xr:uid="{AE45CD2C-BD5E-48A1-BB65-9AEF096319B8}"/>
    <hyperlink ref="K1" location="Índice!A1" tooltip="Ir a ÍNDICE" display="INDICE" xr:uid="{7FD5F887-A2CE-4E04-B406-B5CB3822661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E830-1E1B-49FB-8C22-948D609CB29B}">
  <dimension ref="A1:W49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4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15" customHeight="1">
      <c r="A3" s="30"/>
      <c r="B3" s="31" t="s">
        <v>157</v>
      </c>
      <c r="C3" s="30"/>
      <c r="D3" s="30"/>
      <c r="E3" s="109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65"/>
      <c r="F4" s="65"/>
      <c r="G4" s="65"/>
      <c r="H4" s="219"/>
      <c r="I4" s="219"/>
      <c r="J4" s="219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67" t="s">
        <v>153</v>
      </c>
      <c r="C5" s="67"/>
      <c r="D5" s="67"/>
      <c r="E5" s="67"/>
      <c r="F5" s="67"/>
      <c r="G5" s="67"/>
      <c r="H5" s="65"/>
      <c r="I5" s="65"/>
      <c r="J5" s="65"/>
      <c r="K5" s="112" t="s">
        <v>63</v>
      </c>
      <c r="L5" s="109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36"/>
      <c r="E6" s="36"/>
      <c r="F6" s="36"/>
      <c r="G6" s="36"/>
      <c r="H6" s="36"/>
      <c r="I6" s="36"/>
      <c r="J6" s="36"/>
      <c r="K6" s="114"/>
      <c r="L6" s="109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2" t="s">
        <v>80</v>
      </c>
      <c r="C7" s="70"/>
      <c r="D7" s="263" t="s">
        <v>155</v>
      </c>
      <c r="E7" s="263"/>
      <c r="F7" s="71"/>
      <c r="G7" s="258" t="s">
        <v>132</v>
      </c>
      <c r="H7" s="258"/>
      <c r="I7" s="258"/>
      <c r="J7" s="258"/>
      <c r="K7" s="258"/>
      <c r="L7" s="109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0"/>
      <c r="C8" s="40"/>
      <c r="D8" s="257"/>
      <c r="E8" s="257"/>
      <c r="F8" s="22"/>
      <c r="G8" s="257" t="s">
        <v>15</v>
      </c>
      <c r="H8" s="257"/>
      <c r="I8" s="22"/>
      <c r="J8" s="257" t="s">
        <v>0</v>
      </c>
      <c r="K8" s="25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1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41738100.811337799</v>
      </c>
      <c r="E11" s="48">
        <v>100</v>
      </c>
      <c r="F11" s="49"/>
      <c r="G11" s="47">
        <v>23053455.4846236</v>
      </c>
      <c r="H11" s="48">
        <v>100</v>
      </c>
      <c r="I11" s="50"/>
      <c r="J11" s="47">
        <v>18066427.019922301</v>
      </c>
      <c r="K11" s="48">
        <v>100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17" t="s">
        <v>44</v>
      </c>
      <c r="C13" s="118"/>
      <c r="D13" s="53">
        <v>8302106.46820537</v>
      </c>
      <c r="E13" s="54">
        <v>19.340760663702</v>
      </c>
      <c r="F13" s="56"/>
      <c r="G13" s="53">
        <v>4817429.2250374705</v>
      </c>
      <c r="H13" s="54">
        <v>20.1853127265538</v>
      </c>
      <c r="I13" s="30"/>
      <c r="J13" s="53">
        <v>3263972.0121485</v>
      </c>
      <c r="K13" s="54">
        <v>17.270446314733402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101" t="s">
        <v>45</v>
      </c>
      <c r="C14" s="134"/>
      <c r="D14" s="53">
        <v>131019.33092783899</v>
      </c>
      <c r="E14" s="54">
        <v>0.30380204553694201</v>
      </c>
      <c r="F14" s="56"/>
      <c r="G14" s="53">
        <v>86426.519153810601</v>
      </c>
      <c r="H14" s="54">
        <v>0.35914114883202802</v>
      </c>
      <c r="I14" s="30"/>
      <c r="J14" s="53">
        <v>30209.501595031899</v>
      </c>
      <c r="K14" s="54">
        <v>0.15853844440552101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01" t="s">
        <v>95</v>
      </c>
      <c r="C15" s="134"/>
      <c r="D15" s="53">
        <v>488815.132949883</v>
      </c>
      <c r="E15" s="54">
        <v>1.13397043859507</v>
      </c>
      <c r="F15" s="56"/>
      <c r="G15" s="53">
        <v>242019.625288171</v>
      </c>
      <c r="H15" s="54">
        <v>1.00003460158572</v>
      </c>
      <c r="I15" s="30"/>
      <c r="J15" s="53">
        <v>196541.727311669</v>
      </c>
      <c r="K15" s="54">
        <v>1.0393076444384901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30" customHeight="1">
      <c r="A16" s="30"/>
      <c r="B16" s="101" t="s">
        <v>113</v>
      </c>
      <c r="C16" s="134"/>
      <c r="D16" s="53">
        <v>1152795.73575275</v>
      </c>
      <c r="E16" s="54">
        <v>2.6753331286794801</v>
      </c>
      <c r="F16" s="56"/>
      <c r="G16" s="53">
        <v>525945.24806650297</v>
      </c>
      <c r="H16" s="54">
        <v>2.1807368445066899</v>
      </c>
      <c r="I16" s="30"/>
      <c r="J16" s="53">
        <v>529691.006943646</v>
      </c>
      <c r="K16" s="54">
        <v>2.79664195811438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01" t="s">
        <v>46</v>
      </c>
      <c r="C17" s="134"/>
      <c r="D17" s="53">
        <v>2975086.2625272102</v>
      </c>
      <c r="E17" s="54">
        <v>6.9211914971598496</v>
      </c>
      <c r="F17" s="56"/>
      <c r="G17" s="53">
        <v>1500105.7163842199</v>
      </c>
      <c r="H17" s="54">
        <v>6.2456221416813902</v>
      </c>
      <c r="I17" s="30"/>
      <c r="J17" s="53">
        <v>1320631.96983746</v>
      </c>
      <c r="K17" s="54">
        <v>7.02593656580102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101" t="s">
        <v>47</v>
      </c>
      <c r="C18" s="134"/>
      <c r="D18" s="53">
        <v>10388464.850860501</v>
      </c>
      <c r="E18" s="54">
        <v>24.289636897176901</v>
      </c>
      <c r="F18" s="56"/>
      <c r="G18" s="53">
        <v>5467395.4093340104</v>
      </c>
      <c r="H18" s="54">
        <v>23.019092014541201</v>
      </c>
      <c r="I18" s="30"/>
      <c r="J18" s="53">
        <v>4577502.8822201705</v>
      </c>
      <c r="K18" s="54">
        <v>24.543001916422199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01" t="s">
        <v>48</v>
      </c>
      <c r="C19" s="134"/>
      <c r="D19" s="53">
        <v>15627513.0719769</v>
      </c>
      <c r="E19" s="54">
        <v>36.736685535331098</v>
      </c>
      <c r="F19" s="56"/>
      <c r="G19" s="53">
        <v>8643186.4603642095</v>
      </c>
      <c r="H19" s="54">
        <v>36.4881762707817</v>
      </c>
      <c r="I19" s="30"/>
      <c r="J19" s="53">
        <v>6646498.8214861304</v>
      </c>
      <c r="K19" s="54">
        <v>35.560960904737797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01" t="s">
        <v>85</v>
      </c>
      <c r="C20" s="134"/>
      <c r="D20" s="53">
        <v>315195.71875237598</v>
      </c>
      <c r="E20" s="54">
        <v>0.73220492846205398</v>
      </c>
      <c r="F20" s="56"/>
      <c r="G20" s="53">
        <v>156669.395396682</v>
      </c>
      <c r="H20" s="54">
        <v>0.65342875949677703</v>
      </c>
      <c r="I20" s="30"/>
      <c r="J20" s="53">
        <v>104209.279280053</v>
      </c>
      <c r="K20" s="54">
        <v>0.54657870863499403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01" t="s">
        <v>43</v>
      </c>
      <c r="C21" s="134"/>
      <c r="D21" s="53">
        <v>295238.82405649102</v>
      </c>
      <c r="E21" s="54">
        <v>0.68523590890242403</v>
      </c>
      <c r="F21" s="56"/>
      <c r="G21" s="53">
        <v>125520.577689164</v>
      </c>
      <c r="H21" s="54">
        <v>0.52077344819086202</v>
      </c>
      <c r="I21" s="30"/>
      <c r="J21" s="53">
        <v>130503.411489213</v>
      </c>
      <c r="K21" s="54">
        <v>0.68949552780675005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215"/>
      <c r="C22" s="215"/>
      <c r="D22" s="53"/>
      <c r="E22" s="54"/>
      <c r="F22" s="49"/>
      <c r="G22" s="53"/>
      <c r="H22" s="54"/>
      <c r="I22" s="50"/>
      <c r="J22" s="53"/>
      <c r="K22" s="54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220" t="s">
        <v>7</v>
      </c>
      <c r="C23" s="221"/>
      <c r="D23" s="47">
        <v>17375973.0067278</v>
      </c>
      <c r="E23" s="48">
        <v>100</v>
      </c>
      <c r="F23" s="49"/>
      <c r="G23" s="47">
        <v>9397719.8781457301</v>
      </c>
      <c r="H23" s="48">
        <v>100</v>
      </c>
      <c r="I23" s="50"/>
      <c r="J23" s="47">
        <v>7697991.0821529003</v>
      </c>
      <c r="K23" s="48">
        <v>100</v>
      </c>
      <c r="L23" s="5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221"/>
      <c r="C24" s="221"/>
      <c r="D24" s="53"/>
      <c r="E24" s="54"/>
      <c r="F24" s="49"/>
      <c r="G24" s="53"/>
      <c r="H24" s="54"/>
      <c r="I24" s="50"/>
      <c r="J24" s="53"/>
      <c r="K24" s="54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17" t="s">
        <v>44</v>
      </c>
      <c r="C25" s="118"/>
      <c r="D25" s="53">
        <v>3522176.8673701501</v>
      </c>
      <c r="E25" s="54">
        <v>19.030313554250998</v>
      </c>
      <c r="F25" s="56"/>
      <c r="G25" s="53">
        <v>1986096.41833676</v>
      </c>
      <c r="H25" s="54">
        <v>19.907343097153799</v>
      </c>
      <c r="I25" s="30"/>
      <c r="J25" s="53">
        <v>1418309.6183531701</v>
      </c>
      <c r="K25" s="54">
        <v>16.818792114194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01" t="s">
        <v>45</v>
      </c>
      <c r="C26" s="134"/>
      <c r="D26" s="53">
        <v>105776.883072764</v>
      </c>
      <c r="E26" s="54">
        <v>0.564437672994759</v>
      </c>
      <c r="F26" s="56"/>
      <c r="G26" s="53">
        <v>68840.757262805593</v>
      </c>
      <c r="H26" s="54">
        <v>0.67687565971363195</v>
      </c>
      <c r="I26" s="30"/>
      <c r="J26" s="53">
        <v>24108.0636505199</v>
      </c>
      <c r="K26" s="54">
        <v>0.28202026425651999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01" t="s">
        <v>95</v>
      </c>
      <c r="C27" s="134"/>
      <c r="D27" s="53">
        <v>231708.257574355</v>
      </c>
      <c r="E27" s="54">
        <v>1.2539029035688001</v>
      </c>
      <c r="F27" s="56"/>
      <c r="G27" s="53">
        <v>100048.933382624</v>
      </c>
      <c r="H27" s="54">
        <v>0.991087444586632</v>
      </c>
      <c r="I27" s="30"/>
      <c r="J27" s="53">
        <v>97198.267864144495</v>
      </c>
      <c r="K27" s="54">
        <v>1.1631400470237001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30" customHeight="1">
      <c r="A28" s="30"/>
      <c r="B28" s="101" t="s">
        <v>113</v>
      </c>
      <c r="C28" s="134"/>
      <c r="D28" s="53">
        <v>480733.93105600303</v>
      </c>
      <c r="E28" s="54">
        <v>2.57182780619739</v>
      </c>
      <c r="F28" s="56"/>
      <c r="G28" s="53">
        <v>185911.047660568</v>
      </c>
      <c r="H28" s="54">
        <v>1.79133179762701</v>
      </c>
      <c r="I28" s="30"/>
      <c r="J28" s="53">
        <v>237749.26601434601</v>
      </c>
      <c r="K28" s="54">
        <v>2.8187092888135199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01" t="s">
        <v>46</v>
      </c>
      <c r="C29" s="134"/>
      <c r="D29" s="53">
        <v>1320561.1462031701</v>
      </c>
      <c r="E29" s="54">
        <v>7.1685968279347296</v>
      </c>
      <c r="F29" s="56"/>
      <c r="G29" s="53">
        <v>684925.37073327904</v>
      </c>
      <c r="H29" s="54">
        <v>6.8247175964430298</v>
      </c>
      <c r="I29" s="30"/>
      <c r="J29" s="53">
        <v>540425.70764652896</v>
      </c>
      <c r="K29" s="54">
        <v>6.5440866498586496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101" t="s">
        <v>47</v>
      </c>
      <c r="C30" s="134"/>
      <c r="D30" s="53">
        <v>3469263.0220667799</v>
      </c>
      <c r="E30" s="54">
        <v>19.0692991299642</v>
      </c>
      <c r="F30" s="56"/>
      <c r="G30" s="53">
        <v>1696072.3551658201</v>
      </c>
      <c r="H30" s="54">
        <v>16.975261011830501</v>
      </c>
      <c r="I30" s="30"/>
      <c r="J30" s="53">
        <v>1621755.35719369</v>
      </c>
      <c r="K30" s="54">
        <v>20.083303339949499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101" t="s">
        <v>48</v>
      </c>
      <c r="C31" s="134"/>
      <c r="D31" s="53">
        <v>6747488.6208963096</v>
      </c>
      <c r="E31" s="54">
        <v>37.735641397126599</v>
      </c>
      <c r="F31" s="56"/>
      <c r="G31" s="53">
        <v>3657407.3527712701</v>
      </c>
      <c r="H31" s="54">
        <v>37.5443395172097</v>
      </c>
      <c r="I31" s="30"/>
      <c r="J31" s="53">
        <v>2901342.7686455301</v>
      </c>
      <c r="K31" s="54">
        <v>35.944706669476901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101" t="s">
        <v>85</v>
      </c>
      <c r="C32" s="134"/>
      <c r="D32" s="53">
        <v>162043.51815529499</v>
      </c>
      <c r="E32" s="54">
        <v>0.88148405535929797</v>
      </c>
      <c r="F32" s="56"/>
      <c r="G32" s="53">
        <v>74522.792163053804</v>
      </c>
      <c r="H32" s="54">
        <v>0.742557226462495</v>
      </c>
      <c r="I32" s="30"/>
      <c r="J32" s="53">
        <v>49325.947017543003</v>
      </c>
      <c r="K32" s="54">
        <v>0.58295224421844105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01" t="s">
        <v>43</v>
      </c>
      <c r="C33" s="134"/>
      <c r="D33" s="53">
        <v>106269.40281628</v>
      </c>
      <c r="E33" s="54">
        <v>0.57008110053043204</v>
      </c>
      <c r="F33" s="56"/>
      <c r="G33" s="53">
        <v>59639.038712549198</v>
      </c>
      <c r="H33" s="54">
        <v>0.58486646770061301</v>
      </c>
      <c r="I33" s="30"/>
      <c r="J33" s="53">
        <v>27944.768988572901</v>
      </c>
      <c r="K33" s="54">
        <v>0.34076858562019502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222"/>
      <c r="C34" s="222"/>
      <c r="D34" s="53"/>
      <c r="E34" s="54"/>
      <c r="F34" s="56"/>
      <c r="G34" s="53"/>
      <c r="H34" s="54"/>
      <c r="I34" s="3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220" t="s">
        <v>8</v>
      </c>
      <c r="C35" s="221"/>
      <c r="D35" s="47">
        <v>23136169.4796356</v>
      </c>
      <c r="E35" s="48">
        <v>100</v>
      </c>
      <c r="F35" s="49"/>
      <c r="G35" s="47">
        <v>12924116.6234666</v>
      </c>
      <c r="H35" s="48">
        <v>100</v>
      </c>
      <c r="I35" s="50"/>
      <c r="J35" s="47">
        <v>9769208.0336491503</v>
      </c>
      <c r="K35" s="48">
        <v>100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221"/>
      <c r="C36" s="221"/>
      <c r="D36" s="53"/>
      <c r="E36" s="54"/>
      <c r="F36" s="49"/>
      <c r="G36" s="53"/>
      <c r="H36" s="54"/>
      <c r="I36" s="50"/>
      <c r="J36" s="53"/>
      <c r="K36" s="54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17" t="s">
        <v>44</v>
      </c>
      <c r="C37" s="118"/>
      <c r="D37" s="53">
        <v>4477707.7704906203</v>
      </c>
      <c r="E37" s="54">
        <v>18.551101790536102</v>
      </c>
      <c r="F37" s="56"/>
      <c r="G37" s="53">
        <v>2622631.8154826802</v>
      </c>
      <c r="H37" s="54">
        <v>19.1919102192563</v>
      </c>
      <c r="I37" s="30"/>
      <c r="J37" s="53">
        <v>1672661.4825441299</v>
      </c>
      <c r="K37" s="54">
        <v>16.1299062757267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15" customHeight="1">
      <c r="A38" s="30"/>
      <c r="B38" s="101" t="s">
        <v>45</v>
      </c>
      <c r="C38" s="134"/>
      <c r="D38" s="53">
        <v>7286.0324001281297</v>
      </c>
      <c r="E38" s="54">
        <v>2.95662971559153E-2</v>
      </c>
      <c r="F38" s="56"/>
      <c r="G38" s="53">
        <v>2031.1801072814101</v>
      </c>
      <c r="H38" s="54">
        <v>1.41809123345993E-2</v>
      </c>
      <c r="I38" s="30"/>
      <c r="J38" s="53">
        <v>0</v>
      </c>
      <c r="K38" s="54">
        <v>0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01" t="s">
        <v>95</v>
      </c>
      <c r="C39" s="134"/>
      <c r="D39" s="53">
        <v>185796.082186649</v>
      </c>
      <c r="E39" s="54">
        <v>0.76042224915390499</v>
      </c>
      <c r="F39" s="56"/>
      <c r="G39" s="53">
        <v>94204.876240111204</v>
      </c>
      <c r="H39" s="54">
        <v>0.67400802498955703</v>
      </c>
      <c r="I39" s="30"/>
      <c r="J39" s="53">
        <v>53477.628476833903</v>
      </c>
      <c r="K39" s="54">
        <v>0.51373641366729905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30" customHeight="1">
      <c r="A40" s="30"/>
      <c r="B40" s="101" t="s">
        <v>113</v>
      </c>
      <c r="C40" s="134"/>
      <c r="D40" s="53">
        <v>576513.42440219806</v>
      </c>
      <c r="E40" s="54">
        <v>2.3763105009810102</v>
      </c>
      <c r="F40" s="56"/>
      <c r="G40" s="53">
        <v>278526.51470889</v>
      </c>
      <c r="H40" s="54">
        <v>2.0220828072867301</v>
      </c>
      <c r="I40" s="30"/>
      <c r="J40" s="53">
        <v>219632.56137933399</v>
      </c>
      <c r="K40" s="54">
        <v>2.1203626743894102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01" t="s">
        <v>46</v>
      </c>
      <c r="C41" s="134"/>
      <c r="D41" s="53">
        <v>1485518.0860163199</v>
      </c>
      <c r="E41" s="54">
        <v>6.1224313559322896</v>
      </c>
      <c r="F41" s="56"/>
      <c r="G41" s="53">
        <v>697210.50754790497</v>
      </c>
      <c r="H41" s="54">
        <v>5.0698239106381404</v>
      </c>
      <c r="I41" s="30"/>
      <c r="J41" s="53">
        <v>669371.85110156902</v>
      </c>
      <c r="K41" s="54">
        <v>6.4568409690515702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01" t="s">
        <v>47</v>
      </c>
      <c r="C42" s="134"/>
      <c r="D42" s="53">
        <v>6537472.6755514704</v>
      </c>
      <c r="E42" s="54">
        <v>27.295171614479401</v>
      </c>
      <c r="F42" s="56"/>
      <c r="G42" s="53">
        <v>3531815.6540212301</v>
      </c>
      <c r="H42" s="54">
        <v>26.241202764040398</v>
      </c>
      <c r="I42" s="30"/>
      <c r="J42" s="53">
        <v>2723524.6877150298</v>
      </c>
      <c r="K42" s="54">
        <v>26.6236647507938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101" t="s">
        <v>48</v>
      </c>
      <c r="C43" s="134"/>
      <c r="D43" s="53">
        <v>8284159.1325592799</v>
      </c>
      <c r="E43" s="54">
        <v>34.758703546305597</v>
      </c>
      <c r="F43" s="56"/>
      <c r="G43" s="53">
        <v>4619079.4088020204</v>
      </c>
      <c r="H43" s="54">
        <v>34.222135495119197</v>
      </c>
      <c r="I43" s="30"/>
      <c r="J43" s="53">
        <v>3420920.0721372501</v>
      </c>
      <c r="K43" s="54">
        <v>33.309241842349302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15" customHeight="1">
      <c r="A44" s="30"/>
      <c r="B44" s="101" t="s">
        <v>85</v>
      </c>
      <c r="C44" s="134"/>
      <c r="D44" s="53">
        <v>92488.475304673295</v>
      </c>
      <c r="E44" s="54">
        <v>0.38187567929243699</v>
      </c>
      <c r="F44" s="56"/>
      <c r="G44" s="53">
        <v>32638.922398737901</v>
      </c>
      <c r="H44" s="54">
        <v>0.244433509364998</v>
      </c>
      <c r="I44" s="30"/>
      <c r="J44" s="53">
        <v>23937.651877579399</v>
      </c>
      <c r="K44" s="54">
        <v>0.22576508303325399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101" t="s">
        <v>43</v>
      </c>
      <c r="C45" s="134"/>
      <c r="D45" s="53">
        <v>137493.49755586099</v>
      </c>
      <c r="E45" s="54">
        <v>0.56613478810338302</v>
      </c>
      <c r="F45" s="56"/>
      <c r="G45" s="53">
        <v>36569.3421409726</v>
      </c>
      <c r="H45" s="54">
        <v>0.262077141869551</v>
      </c>
      <c r="I45" s="30"/>
      <c r="J45" s="53">
        <v>68820.110854399303</v>
      </c>
      <c r="K45" s="54">
        <v>0.65976352159547402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126"/>
      <c r="C46" s="126"/>
      <c r="D46" s="223"/>
      <c r="E46" s="223"/>
      <c r="F46" s="223"/>
      <c r="G46" s="223"/>
      <c r="H46" s="224"/>
      <c r="I46" s="224"/>
      <c r="J46" s="224"/>
      <c r="K46" s="224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6.95" customHeight="1">
      <c r="A47" s="30"/>
      <c r="B47" s="128"/>
      <c r="C47" s="128"/>
      <c r="D47" s="225"/>
      <c r="E47" s="225"/>
      <c r="F47" s="225"/>
      <c r="G47" s="225"/>
      <c r="H47" s="226"/>
      <c r="I47" s="226"/>
      <c r="J47" s="226"/>
      <c r="K47" s="226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2" customHeight="1">
      <c r="A48" s="30"/>
      <c r="B48" s="130" t="s">
        <v>167</v>
      </c>
      <c r="C48" s="130"/>
      <c r="D48" s="227"/>
      <c r="E48" s="227"/>
      <c r="F48" s="227"/>
      <c r="G48" s="227"/>
      <c r="H48" s="227"/>
      <c r="I48" s="227"/>
      <c r="J48" s="227"/>
      <c r="K48" s="227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2" customHeight="1">
      <c r="A49" s="30"/>
      <c r="B49" s="255" t="s">
        <v>102</v>
      </c>
      <c r="C49" s="255"/>
      <c r="D49" s="255"/>
      <c r="E49" s="255"/>
      <c r="F49" s="255"/>
      <c r="G49" s="25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INDICE" xr:uid="{0B3450A7-A932-4E96-BBCB-F4FED613C28C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</vt:lpstr>
      <vt:lpstr>Cuadro 6.1</vt:lpstr>
      <vt:lpstr>Cuadro 6.2</vt:lpstr>
      <vt:lpstr>Cuadro 6.3</vt:lpstr>
      <vt:lpstr>Cuadro 6.4</vt:lpstr>
      <vt:lpstr>Cuadro 6.5</vt:lpstr>
      <vt:lpstr>Cuadro 6.6</vt:lpstr>
      <vt:lpstr>Cuadro 6.7</vt:lpstr>
      <vt:lpstr>Cuadro 6.8</vt:lpstr>
      <vt:lpstr>Cuadro 6.9</vt:lpstr>
      <vt:lpstr>Cuadro 6.10</vt:lpstr>
      <vt:lpstr>Cuadro 6.11</vt:lpstr>
      <vt:lpstr>Cuadro 6.12</vt:lpstr>
      <vt:lpstr>Cuadro 6.13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2021-07-29T15:45:53Z</dcterms:created>
  <dcterms:modified xsi:type="dcterms:W3CDTF">2025-03-11T17:31:15Z</dcterms:modified>
</cp:coreProperties>
</file>