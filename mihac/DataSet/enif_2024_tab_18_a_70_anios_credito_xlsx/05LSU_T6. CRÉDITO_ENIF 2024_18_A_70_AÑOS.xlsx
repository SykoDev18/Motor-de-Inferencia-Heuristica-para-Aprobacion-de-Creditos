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6\"/>
    </mc:Choice>
  </mc:AlternateContent>
  <xr:revisionPtr revIDLastSave="0" documentId="13_ncr:1_{C41CB916-F348-4F1E-A65D-E584273B648C}" xr6:coauthVersionLast="47" xr6:coauthVersionMax="47" xr10:uidLastSave="{00000000-0000-0000-0000-000000000000}"/>
  <bookViews>
    <workbookView xWindow="-120" yWindow="-120" windowWidth="29040" windowHeight="15840" tabRatio="921" xr2:uid="{00000000-000D-0000-FFFF-FFFF00000000}"/>
  </bookViews>
  <sheets>
    <sheet name="ÍNDICE" sheetId="39" r:id="rId1"/>
    <sheet name="Cuadro 6.1" sheetId="19" r:id="rId2"/>
    <sheet name="Cuadro 6.2" sheetId="41" r:id="rId3"/>
    <sheet name="Cuadro 6.3" sheetId="42" r:id="rId4"/>
    <sheet name="Cuadro 6.4" sheetId="43" r:id="rId5"/>
    <sheet name="Cuadro 6.5" sheetId="44" r:id="rId6"/>
    <sheet name="Cuadro 6.6" sheetId="45" r:id="rId7"/>
    <sheet name="Cuadro 6.7" sheetId="46" r:id="rId8"/>
    <sheet name="Cuadro 6.8" sheetId="47" r:id="rId9"/>
    <sheet name="Cuadro 6.9" sheetId="48" r:id="rId10"/>
    <sheet name="Cuadro 6.10" sheetId="49" r:id="rId11"/>
    <sheet name="Cuadro 6.11" sheetId="50" r:id="rId12"/>
    <sheet name="Cuadro 6.12" sheetId="51" r:id="rId13"/>
    <sheet name="Cuadro 6.13" sheetId="5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9" l="1"/>
</calcChain>
</file>

<file path=xl/sharedStrings.xml><?xml version="1.0" encoding="utf-8"?>
<sst xmlns="http://schemas.openxmlformats.org/spreadsheetml/2006/main" count="592" uniqueCount="169">
  <si>
    <t>Hombres</t>
  </si>
  <si>
    <t xml:space="preserve">Estados Unidos Mexicanos </t>
  </si>
  <si>
    <t>Con crédito</t>
  </si>
  <si>
    <t xml:space="preserve">Solo con crédito informal </t>
  </si>
  <si>
    <t xml:space="preserve">Solo con crédito formal </t>
  </si>
  <si>
    <t>Con crédito informal y formal</t>
  </si>
  <si>
    <t>Sin crédito</t>
  </si>
  <si>
    <t>1 a 14 999 habitantes</t>
  </si>
  <si>
    <t xml:space="preserve">15 000 y más habitantes </t>
  </si>
  <si>
    <r>
      <t>Sí tiene algún crédito informal</t>
    </r>
    <r>
      <rPr>
        <b/>
        <vertAlign val="superscript"/>
        <sz val="8"/>
        <color theme="1"/>
        <rFont val="Arial"/>
        <family val="2"/>
      </rPr>
      <t>1</t>
    </r>
  </si>
  <si>
    <t xml:space="preserve">Caja de ahorro del trabajo o de conocidos </t>
  </si>
  <si>
    <t xml:space="preserve">Casa de empeño </t>
  </si>
  <si>
    <t xml:space="preserve">De familiares </t>
  </si>
  <si>
    <t xml:space="preserve">Otro </t>
  </si>
  <si>
    <t>No tiene algún crédito informal</t>
  </si>
  <si>
    <t xml:space="preserve">Mujeres </t>
  </si>
  <si>
    <t>Estados Unidos Mexicanos</t>
  </si>
  <si>
    <r>
      <t xml:space="preserve">Sí tiene algún crédito formal </t>
    </r>
    <r>
      <rPr>
        <b/>
        <vertAlign val="superscript"/>
        <sz val="8"/>
        <rFont val="Arial"/>
        <family val="2"/>
      </rPr>
      <t>1</t>
    </r>
  </si>
  <si>
    <t xml:space="preserve">Tarjeta de crédito bancaria </t>
  </si>
  <si>
    <t xml:space="preserve">Crédito de nómina </t>
  </si>
  <si>
    <t xml:space="preserve">Crédito personal </t>
  </si>
  <si>
    <t xml:space="preserve">Crédito automotriz </t>
  </si>
  <si>
    <t xml:space="preserve">Crédito de vivienda (hipotecario) </t>
  </si>
  <si>
    <t xml:space="preserve">Crédito grupal </t>
  </si>
  <si>
    <t>Otro tipo</t>
  </si>
  <si>
    <t>No tiene algún crédito formal</t>
  </si>
  <si>
    <t>1 vez</t>
  </si>
  <si>
    <t>2 a 4 veces</t>
  </si>
  <si>
    <t>5 a 10 veces</t>
  </si>
  <si>
    <t>11 o más veces</t>
  </si>
  <si>
    <t>No la utiliza</t>
  </si>
  <si>
    <t>No tiene tarjeta de crédito</t>
  </si>
  <si>
    <t>Sí se atrasó</t>
  </si>
  <si>
    <t xml:space="preserve">No tiene deudas </t>
  </si>
  <si>
    <t>Tamaño de localidad, condición y medio de comparación utilizado en el último crédito adquirido</t>
  </si>
  <si>
    <t>Información proporcionada por el banco</t>
  </si>
  <si>
    <t>Recomendación de especialistas o analistas</t>
  </si>
  <si>
    <t>No comparó el último crédito adquirido</t>
  </si>
  <si>
    <r>
      <t>Sí comparó el último crédito adquirido</t>
    </r>
    <r>
      <rPr>
        <b/>
        <vertAlign val="superscript"/>
        <sz val="8"/>
        <rFont val="Arial"/>
        <family val="2"/>
      </rPr>
      <t>2</t>
    </r>
  </si>
  <si>
    <t xml:space="preserve">Le cobraban intereses muy altos </t>
  </si>
  <si>
    <t xml:space="preserve">No se quiere volver a endeudar </t>
  </si>
  <si>
    <t xml:space="preserve">Ya no lo necesita </t>
  </si>
  <si>
    <t xml:space="preserve">Ya no cumple con los requisitos </t>
  </si>
  <si>
    <t>Otra razón</t>
  </si>
  <si>
    <t xml:space="preserve">No cumple con los requisitos </t>
  </si>
  <si>
    <t xml:space="preserve">La sucursal le queda lejos o no hay </t>
  </si>
  <si>
    <t xml:space="preserve">Los intereses o comisiones son altas </t>
  </si>
  <si>
    <t xml:space="preserve">No le interesa o no lo necesita </t>
  </si>
  <si>
    <t>No le gusta endeudarse</t>
  </si>
  <si>
    <t xml:space="preserve">Personal promotor </t>
  </si>
  <si>
    <t>Otro sitio</t>
  </si>
  <si>
    <t xml:space="preserve">Cuadro 6.1  </t>
  </si>
  <si>
    <t xml:space="preserve">Cuadro 6.2  </t>
  </si>
  <si>
    <t>Cuadro 6.3</t>
  </si>
  <si>
    <t>Cuadro 6.4</t>
  </si>
  <si>
    <t>Cuadro 6.5</t>
  </si>
  <si>
    <t>Cuadro 6.6</t>
  </si>
  <si>
    <t>Cuadro 6.7</t>
  </si>
  <si>
    <t>Cuadro 6.8</t>
  </si>
  <si>
    <t>Cuadro 6.9</t>
  </si>
  <si>
    <t>Cuadro 6.10</t>
  </si>
  <si>
    <t>Cuadro 6.11</t>
  </si>
  <si>
    <t>Cuadro 6.12</t>
  </si>
  <si>
    <t>Cuadro 6.13</t>
  </si>
  <si>
    <t xml:space="preserve">De amistades o personas conocidas </t>
  </si>
  <si>
    <t>Recomendación de amistades o personas conocidas</t>
  </si>
  <si>
    <t>Tamaño de localidad y percepción de la capacidad de pago de sus deudas</t>
  </si>
  <si>
    <t>No puede pagar las deudas en el plazo requerido</t>
  </si>
  <si>
    <t>Puede pagar solo algunas deudas en el plazo requerido</t>
  </si>
  <si>
    <t>Mediante una aplicación de celular o página de internet de la institución financiera</t>
  </si>
  <si>
    <t>Relativos</t>
  </si>
  <si>
    <t>Población de 18 a 70 años por tamaño de localidad, condición y tipo de crédito informal  según sexo</t>
  </si>
  <si>
    <t>ÍNDICE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</si>
  <si>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crédito informal puede ser mayor al total porque una persona puede emplear más de un tipo. 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</si>
  <si>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crédito puede ser mayor al total porque una persona puede tener más de un tipo. 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</si>
  <si>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crédito de instituciones </t>
    </r>
    <r>
      <rPr>
        <sz val="8"/>
        <rFont val="Arial"/>
        <family val="2"/>
      </rPr>
      <t xml:space="preserve">reguladas </t>
    </r>
    <r>
      <rPr>
        <sz val="8"/>
        <color indexed="8"/>
        <rFont val="Arial"/>
        <family val="2"/>
      </rPr>
      <t>no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</si>
  <si>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Considera tarjetas de crédito de instituciones reguladas no bancarias y bancarias.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</si>
  <si>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En los casos en los que el informante declaró tener más de una tarjeta, se refiere a la que utiliza con mayor regularidad.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</si>
  <si>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créditos de instituciones</t>
    </r>
    <r>
      <rPr>
        <sz val="8"/>
        <rFont val="Arial"/>
        <family val="2"/>
      </rPr>
      <t xml:space="preserve"> reguladas n</t>
    </r>
    <r>
      <rPr>
        <sz val="8"/>
        <color indexed="8"/>
        <rFont val="Arial"/>
        <family val="2"/>
      </rPr>
      <t>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</si>
  <si>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Población que en el momento de la entrevista no tiene un crédito en instituciones reguladas no bancarias y bancarias, pero alguna vez lo tuvo.</t>
    </r>
  </si>
  <si>
    <t>Tamaño de localidad y razón de no tenencia</t>
  </si>
  <si>
    <t>No sabe</t>
  </si>
  <si>
    <t>Sí tiene tarjeta de crédito</t>
  </si>
  <si>
    <r>
      <t>Menos de una vez al mes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</si>
  <si>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La utiliza pocas veces al año.</t>
    </r>
  </si>
  <si>
    <t>No quería que le cobraran impuestos</t>
  </si>
  <si>
    <t>Crédito contratado por Internet o aplicación 
como Prestadero, Doopla o YoTePresto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</si>
  <si>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al atraso en el pago de tarjeta de crédito departamental, de tienda de autoservicio o bancaria, así como en crédito de nómina, personal, automotriz, de vivienda, grupal, comunal o solidario, crédito contratado por Internet o aplicación como Prestadero, Doopla o YoTePresto, correspondiente al último año.</t>
    </r>
  </si>
  <si>
    <t xml:space="preserve">Sí conoce el proceso de traspaso del saldo de su crédito a otro banco o institución financiera </t>
  </si>
  <si>
    <t xml:space="preserve">No conoce el proceso de traspaso del saldo de su crédito a otro banco o institución financiera </t>
  </si>
  <si>
    <t>Costo Anual Total (CAT)</t>
  </si>
  <si>
    <t>Tasa de interés</t>
  </si>
  <si>
    <t xml:space="preserve">Penalización por pagos tardíos 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</si>
  <si>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mayor que el total porque una persona pudo usar más de un medio para comparar. </t>
    </r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</si>
  <si>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de conocimiento del proceso de traspaso del crédito</t>
    </r>
    <r>
      <rPr>
        <b/>
        <vertAlign val="superscript"/>
        <sz val="9"/>
        <rFont val="Arial"/>
        <family val="2"/>
      </rPr>
      <t xml:space="preserve"> </t>
    </r>
    <r>
      <rPr>
        <b/>
        <sz val="9"/>
        <rFont val="Arial"/>
        <family val="2"/>
      </rPr>
      <t xml:space="preserve">según sexo </t>
    </r>
  </si>
  <si>
    <t xml:space="preserve">Cree que le van a rechazar </t>
  </si>
  <si>
    <t>No sabe o no responde si se atrasó</t>
  </si>
  <si>
    <t>No se atrasó</t>
  </si>
  <si>
    <t>Sí utilizó la información</t>
  </si>
  <si>
    <t>No utilizó la información</t>
  </si>
  <si>
    <t>No sabe si utilizó la información</t>
  </si>
  <si>
    <t>Tamaño de localidad, condición 
y tipo de crédito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</si>
  <si>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</si>
  <si>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Tamaño de localidad, condición y tipo 
de crédito informal</t>
  </si>
  <si>
    <t>Tamaño de localidad, condición de tenencia 
y tipo de crédito formal</t>
  </si>
  <si>
    <t>Tarjeta de crédito departamental 
o de tienda de autoservicio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</si>
  <si>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
de atraso en el pago de tarjeta o crédito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según sexo </t>
    </r>
  </si>
  <si>
    <r>
      <t xml:space="preserve">Comisiones </t>
    </r>
    <r>
      <rPr>
        <sz val="8"/>
        <rFont val="Arial"/>
        <family val="2"/>
      </rPr>
      <t>(por apertura, por disposición 
de efectivo, anualidad, entre otros)</t>
    </r>
  </si>
  <si>
    <t>Sí puede pagar las deudas en el plazo requerido</t>
  </si>
  <si>
    <t>Sucursal de la institución financiera</t>
  </si>
  <si>
    <t>Establecimiento comercial (Elektra, Coppel, 
Liverpool, entre otros)</t>
  </si>
  <si>
    <t>Sitios o página de instituciones como Condusef 
o Banco de México</t>
  </si>
  <si>
    <t>Prefiere otro tipo de préstamo (familiares 
o amistades)</t>
  </si>
  <si>
    <t xml:space="preserve">No confía en las instituciones financieras 
o le dan mal servicio </t>
  </si>
  <si>
    <t>Encuesta Nacional de Inclusión Financiera (ENIF) 2024</t>
  </si>
  <si>
    <t>TABULADOS BÁSICOS</t>
  </si>
  <si>
    <t>Nivel de confianza del 90%</t>
  </si>
  <si>
    <t>Tema</t>
  </si>
  <si>
    <t>ID Cuadro</t>
  </si>
  <si>
    <t>Título</t>
  </si>
  <si>
    <r>
      <t xml:space="preserve">Tema 6. 
</t>
    </r>
    <r>
      <rPr>
        <sz val="11"/>
        <color theme="10"/>
        <rFont val="Arial"/>
        <family val="2"/>
      </rPr>
      <t>Crédito</t>
    </r>
  </si>
  <si>
    <t>Cuadro 6.1</t>
  </si>
  <si>
    <t>Cuadro 6.2</t>
  </si>
  <si>
    <t>Población de 18 a 70 años exusuaria de crédito formal por tamaño de localidad y razón de no tenencia según sexo</t>
  </si>
  <si>
    <r>
      <t>Otro medio</t>
    </r>
    <r>
      <rPr>
        <vertAlign val="superscript"/>
        <sz val="8"/>
        <rFont val="Arial"/>
        <family val="2"/>
      </rPr>
      <t>3</t>
    </r>
  </si>
  <si>
    <t>Anuncios comerciales de bancos 
o instituciones financieras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</si>
  <si>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"recomendación de influencers o youtubers" y "comparadores privados (como Kardmatch, Rankia, Rastreator)".</t>
    </r>
  </si>
  <si>
    <t>Población de 18 a 70 años por tamaño de localidad, condición y tipo de crédito según sexo</t>
  </si>
  <si>
    <t>Población de 18 a 70 años por tamaño de localidad, condición y tipo de crédito informal según sexo</t>
  </si>
  <si>
    <t>Población de 18 a 70 años por tamaño de localidad, condición de tenencia y tipo de crédito formal según sexo</t>
  </si>
  <si>
    <t>Población de 18 a 70 años por tamaño de localidad, condición de usuario de crédito formal y tipo de no usuarios según sexo</t>
  </si>
  <si>
    <t>Población de 18 a 70 años</t>
  </si>
  <si>
    <t xml:space="preserve">Sexo </t>
  </si>
  <si>
    <t xml:space="preserve">Absolutos </t>
  </si>
  <si>
    <t>Población de 18 a 70 años que tiene algún crédito formal</t>
  </si>
  <si>
    <t>Tamaño de localidad y condición de atraso en el pago de tarjeta o crédito</t>
  </si>
  <si>
    <t xml:space="preserve">Población de 18 a 70 años que tiene algún crédito formal por tamaño de localidad y condición de atraso en el pago de tarjeta o crédito según sexo 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</si>
  <si>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localidad, y condición de uso del CAT, tasa de interés, penalización por pagos tardíos o comisiones antes de adquirir el último crédito según sexo</t>
    </r>
  </si>
  <si>
    <t>Tamaño de localidad y condición de uso 
del CAT, tasa de interés, penalización
por pagos tardíos o comisiones antes
de adquirir el último crédito</t>
  </si>
  <si>
    <t>Población de 18 a 70 años que tiene algún crédito formal por tamaño de localidad, y condición de uso del CAT, tasa de interés, penalización por pagos tardíos o comisiones antes de adquirir el último crédito según sexo</t>
  </si>
  <si>
    <t>Población de 18 a 70 años que tiene algún crédito formal por tamaño de localidad y percepción de la capacidad de pago de sus deudas según sexo</t>
  </si>
  <si>
    <t>Tamaño de localidad y sitio de apertura 
del crédito contratado</t>
  </si>
  <si>
    <t>Población de 18 a 70 años que tiene algún crédito formal por tamaño de localidad y sitio de apertura del último crédito contratado según sexo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</si>
  <si>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percepción
de la capacidad de pago de sus deudas según sexo</t>
    </r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</si>
  <si>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sitio de apertura
del último crédito contratado según sexo</t>
    </r>
  </si>
  <si>
    <r>
      <t>Población de 18 a 70 años por tamaño de localidad, condición de tenencia de tarjeta de crédito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frecuencia mensual de uso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según sexo</t>
    </r>
  </si>
  <si>
    <t>Población de 18 a 70 años por tamaño de localidad, condición de tenencia de tarjeta de crédito y frecuencia mensual de uso según sexo</t>
  </si>
  <si>
    <t>Tamaño de localidad, condición de tenencia de tarjeta de crédito y frecuencia
mensual de uso</t>
  </si>
  <si>
    <r>
      <t>Población de 18 a 70 años que tiene algún crédito formal</t>
    </r>
    <r>
      <rPr>
        <b/>
        <vertAlign val="superscript"/>
        <sz val="9"/>
        <rFont val="INEGI Institucional"/>
      </rPr>
      <t>1</t>
    </r>
    <r>
      <rPr>
        <b/>
        <sz val="9"/>
        <rFont val="INEGI Institucional"/>
      </rPr>
      <t>, por tamaño de localidad, condición y medio de comparación utilizado en el último crédito adquirido según sexo</t>
    </r>
  </si>
  <si>
    <t>Población de 18 a 70 años que tiene algún crédito formal, por tamaño de localidad, condición y medio de comparación utilizado en el último crédito adquirido según sexo</t>
  </si>
  <si>
    <t xml:space="preserve">Población de 18 a 70 años que tiene algún crédito formal por tamaño de localidad y condición de conocimiento del proceso de traspaso del crédito según sexo  </t>
  </si>
  <si>
    <t>Tamaño de localidad y condición de conocimiento del proceso de traspaso del crédito</t>
  </si>
  <si>
    <t xml:space="preserve">Tuvo una mala experiencia
con la institución financiera </t>
  </si>
  <si>
    <r>
      <t>Población de 18 a 70 años nunca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
y razón de no tenencia según sexo</t>
    </r>
  </si>
  <si>
    <t>Población de 18 a 70 años nunca usuaria de crédito formal por tamaño de localidad y razón de no tenencia según sexo</t>
  </si>
  <si>
    <t>Población de 18 a 70 años nunca usuaria de crédito formal</t>
  </si>
  <si>
    <t>No especificado</t>
  </si>
  <si>
    <t>Límite superior.</t>
  </si>
  <si>
    <t xml:space="preserve">Usuaria </t>
  </si>
  <si>
    <t>No usuaria</t>
  </si>
  <si>
    <t>Nunca usuaria</t>
  </si>
  <si>
    <t>Alguna vez usuaria</t>
  </si>
  <si>
    <t>Tamaño de localidad, condición de usuaria de crédito formal y tipo de no usuaria</t>
  </si>
  <si>
    <r>
      <t>Población de 18 a 70 años por tamaño de localidad, condición de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no usuaria según sexo</t>
    </r>
  </si>
  <si>
    <r>
      <t>Población de 18 a 70 años alguna vez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razón de no tenencia según sexo</t>
    </r>
  </si>
  <si>
    <t>Población de 18 a 70 años alguna vez usuaria de crédito formal</t>
  </si>
  <si>
    <t>Marzo 2025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</si>
  <si>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población que nunca ha tenido créditos en instituciones reguladas no bancarias y bancarias.</t>
    </r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</si>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</sst>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##,###,###,##0"/>
    <numFmt numFmtId="166" formatCode="#,##0.0"/>
    <numFmt numFmtId="167" formatCode="_-* #,##0_-;\-* #,##0_-;_-* &quot;-&quot;??_-;_-@_-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INEGI Institucional"/>
    </font>
    <font>
      <b/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7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7"/>
      <color theme="1"/>
      <name val="Arial"/>
      <family val="2"/>
    </font>
    <font>
      <b/>
      <vertAlign val="superscript"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indexed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vertAlign val="superscript"/>
      <sz val="8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name val="INEGI Institucional"/>
    </font>
    <font>
      <sz val="9"/>
      <color rgb="FF00339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9"/>
      <color theme="1"/>
      <name val="Arial"/>
      <family val="2"/>
    </font>
    <font>
      <u/>
      <sz val="9"/>
      <color rgb="FF003399"/>
      <name val="Arial"/>
      <family val="2"/>
    </font>
    <font>
      <sz val="11"/>
      <color indexed="8"/>
      <name val="Calibri"/>
      <family val="2"/>
      <scheme val="minor"/>
    </font>
    <font>
      <vertAlign val="superscript"/>
      <sz val="8"/>
      <color indexed="8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9"/>
      <name val="INEGI Institucional"/>
    </font>
    <font>
      <b/>
      <sz val="8"/>
      <color indexed="8"/>
      <name val="Arial"/>
      <family val="2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8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color theme="0"/>
      <name val="Calibri"/>
      <family val="2"/>
      <scheme val="minor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36" fillId="0" borderId="0"/>
    <xf numFmtId="0" fontId="7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6" fillId="0" borderId="0"/>
    <xf numFmtId="0" fontId="1" fillId="0" borderId="0"/>
    <xf numFmtId="0" fontId="2" fillId="0" borderId="0" applyNumberFormat="0" applyFill="0" applyBorder="0" applyAlignment="0" applyProtection="0"/>
    <xf numFmtId="0" fontId="36" fillId="0" borderId="0"/>
  </cellStyleXfs>
  <cellXfs count="274">
    <xf numFmtId="0" fontId="0" fillId="0" borderId="0" xfId="0"/>
    <xf numFmtId="0" fontId="1" fillId="0" borderId="0" xfId="3"/>
    <xf numFmtId="0" fontId="0" fillId="0" borderId="0" xfId="0" applyAlignment="1">
      <alignment horizontal="left" vertical="center"/>
    </xf>
    <xf numFmtId="165" fontId="0" fillId="0" borderId="0" xfId="0" applyNumberFormat="1"/>
    <xf numFmtId="0" fontId="29" fillId="0" borderId="0" xfId="0" applyFont="1"/>
    <xf numFmtId="0" fontId="0" fillId="0" borderId="0" xfId="0" applyAlignment="1">
      <alignment horizontal="left" vertical="center" indent="1"/>
    </xf>
    <xf numFmtId="0" fontId="42" fillId="0" borderId="0" xfId="8" applyFont="1"/>
    <xf numFmtId="166" fontId="42" fillId="0" borderId="0" xfId="3" applyNumberFormat="1" applyFont="1"/>
    <xf numFmtId="166" fontId="48" fillId="0" borderId="0" xfId="3" applyNumberFormat="1" applyFont="1"/>
    <xf numFmtId="166" fontId="1" fillId="0" borderId="0" xfId="3" applyNumberFormat="1"/>
    <xf numFmtId="166" fontId="42" fillId="0" borderId="0" xfId="8" applyNumberFormat="1" applyFont="1"/>
    <xf numFmtId="166" fontId="45" fillId="0" borderId="0" xfId="8" applyNumberFormat="1" applyFont="1" applyAlignment="1">
      <alignment horizontal="center" vertical="center"/>
    </xf>
    <xf numFmtId="166" fontId="46" fillId="0" borderId="0" xfId="8" applyNumberFormat="1" applyFont="1" applyAlignment="1">
      <alignment vertical="center"/>
    </xf>
    <xf numFmtId="166" fontId="46" fillId="0" borderId="0" xfId="8" applyNumberFormat="1" applyFont="1" applyAlignment="1">
      <alignment horizontal="center" vertical="center"/>
    </xf>
    <xf numFmtId="166" fontId="47" fillId="0" borderId="0" xfId="8" applyNumberFormat="1" applyFont="1" applyAlignment="1">
      <alignment vertical="center"/>
    </xf>
    <xf numFmtId="166" fontId="32" fillId="0" borderId="0" xfId="8" applyNumberFormat="1" applyFont="1"/>
    <xf numFmtId="166" fontId="13" fillId="0" borderId="0" xfId="8" applyNumberFormat="1" applyFont="1"/>
    <xf numFmtId="166" fontId="48" fillId="0" borderId="0" xfId="8" quotePrefix="1" applyNumberFormat="1" applyFont="1"/>
    <xf numFmtId="166" fontId="43" fillId="0" borderId="0" xfId="8" quotePrefix="1" applyNumberFormat="1" applyFont="1"/>
    <xf numFmtId="166" fontId="47" fillId="5" borderId="5" xfId="8" applyNumberFormat="1" applyFont="1" applyFill="1" applyBorder="1" applyAlignment="1">
      <alignment horizontal="center" vertical="center"/>
    </xf>
    <xf numFmtId="166" fontId="47" fillId="5" borderId="6" xfId="8" applyNumberFormat="1" applyFont="1" applyFill="1" applyBorder="1" applyAlignment="1">
      <alignment horizontal="center" vertical="center"/>
    </xf>
    <xf numFmtId="166" fontId="51" fillId="0" borderId="9" xfId="1" applyNumberFormat="1" applyFont="1" applyBorder="1" applyAlignment="1" applyProtection="1">
      <alignment horizontal="center" vertical="center"/>
    </xf>
    <xf numFmtId="166" fontId="15" fillId="0" borderId="0" xfId="0" applyNumberFormat="1" applyFont="1" applyAlignment="1">
      <alignment horizontal="right" vertical="center" wrapText="1"/>
    </xf>
    <xf numFmtId="166" fontId="51" fillId="0" borderId="14" xfId="1" applyNumberFormat="1" applyFont="1" applyBorder="1" applyAlignment="1" applyProtection="1">
      <alignment horizontal="center" vertical="center"/>
    </xf>
    <xf numFmtId="166" fontId="51" fillId="0" borderId="16" xfId="1" applyNumberFormat="1" applyFont="1" applyBorder="1" applyAlignment="1" applyProtection="1">
      <alignment horizontal="center" vertical="center"/>
    </xf>
    <xf numFmtId="166" fontId="18" fillId="0" borderId="0" xfId="8" applyNumberFormat="1" applyFont="1"/>
    <xf numFmtId="166" fontId="18" fillId="0" borderId="0" xfId="8" applyNumberFormat="1" applyFont="1" applyAlignment="1">
      <alignment horizontal="left" vertical="center"/>
    </xf>
    <xf numFmtId="166" fontId="29" fillId="0" borderId="0" xfId="0" applyNumberFormat="1" applyFont="1"/>
    <xf numFmtId="166" fontId="29" fillId="0" borderId="0" xfId="0" applyNumberFormat="1" applyFont="1" applyAlignment="1">
      <alignment horizontal="left" vertical="center"/>
    </xf>
    <xf numFmtId="166" fontId="35" fillId="0" borderId="0" xfId="1" applyNumberFormat="1" applyFont="1" applyFill="1" applyAlignment="1">
      <alignment horizontal="right" vertical="center"/>
    </xf>
    <xf numFmtId="166" fontId="0" fillId="0" borderId="0" xfId="0" applyNumberFormat="1"/>
    <xf numFmtId="166" fontId="29" fillId="2" borderId="0" xfId="0" applyNumberFormat="1" applyFont="1" applyFill="1" applyAlignment="1">
      <alignment horizontal="left" vertical="center"/>
    </xf>
    <xf numFmtId="166" fontId="3" fillId="0" borderId="0" xfId="2" applyNumberFormat="1" applyFont="1" applyAlignment="1">
      <alignment horizontal="left"/>
    </xf>
    <xf numFmtId="166" fontId="4" fillId="2" borderId="0" xfId="2" applyNumberFormat="1" applyFont="1" applyFill="1"/>
    <xf numFmtId="166" fontId="30" fillId="2" borderId="0" xfId="2" applyNumberFormat="1" applyFont="1" applyFill="1" applyAlignment="1">
      <alignment horizontal="left" vertical="center"/>
    </xf>
    <xf numFmtId="166" fontId="32" fillId="2" borderId="0" xfId="2" applyNumberFormat="1" applyFont="1" applyFill="1" applyAlignment="1">
      <alignment horizontal="right"/>
    </xf>
    <xf numFmtId="166" fontId="7" fillId="2" borderId="0" xfId="2" applyNumberFormat="1" applyFont="1" applyFill="1"/>
    <xf numFmtId="166" fontId="2" fillId="2" borderId="0" xfId="1" applyNumberFormat="1" applyFill="1" applyAlignment="1">
      <alignment horizontal="center" vertical="center"/>
    </xf>
    <xf numFmtId="166" fontId="8" fillId="2" borderId="20" xfId="3" applyNumberFormat="1" applyFont="1" applyFill="1" applyBorder="1" applyAlignment="1">
      <alignment horizontal="left" vertical="center" wrapText="1"/>
    </xf>
    <xf numFmtId="166" fontId="15" fillId="0" borderId="20" xfId="0" applyNumberFormat="1" applyFont="1" applyBorder="1" applyAlignment="1">
      <alignment horizontal="right" vertical="center" wrapText="1"/>
    </xf>
    <xf numFmtId="166" fontId="8" fillId="2" borderId="0" xfId="3" applyNumberFormat="1" applyFont="1" applyFill="1" applyAlignment="1">
      <alignment horizontal="left" vertical="center" wrapText="1"/>
    </xf>
    <xf numFmtId="166" fontId="8" fillId="2" borderId="1" xfId="3" applyNumberFormat="1" applyFont="1" applyFill="1" applyBorder="1" applyAlignment="1">
      <alignment horizontal="left"/>
    </xf>
    <xf numFmtId="166" fontId="15" fillId="0" borderId="4" xfId="0" applyNumberFormat="1" applyFont="1" applyBorder="1" applyAlignment="1">
      <alignment horizontal="right" vertical="center" wrapText="1"/>
    </xf>
    <xf numFmtId="166" fontId="38" fillId="0" borderId="1" xfId="0" applyNumberFormat="1" applyFont="1" applyBorder="1" applyAlignment="1">
      <alignment horizontal="right"/>
    </xf>
    <xf numFmtId="166" fontId="8" fillId="2" borderId="0" xfId="2" applyNumberFormat="1" applyFont="1" applyFill="1" applyAlignment="1">
      <alignment horizontal="left"/>
    </xf>
    <xf numFmtId="166" fontId="38" fillId="0" borderId="0" xfId="0" applyNumberFormat="1" applyFont="1" applyAlignment="1">
      <alignment horizontal="right"/>
    </xf>
    <xf numFmtId="166" fontId="8" fillId="2" borderId="0" xfId="2" applyNumberFormat="1" applyFont="1" applyFill="1" applyAlignment="1">
      <alignment horizontal="left" vertical="center"/>
    </xf>
    <xf numFmtId="166" fontId="16" fillId="0" borderId="0" xfId="50" applyNumberFormat="1" applyFont="1" applyFill="1" applyAlignment="1">
      <alignment horizontal="right" vertical="center" readingOrder="1"/>
    </xf>
    <xf numFmtId="166" fontId="41" fillId="0" borderId="0" xfId="50" applyNumberFormat="1" applyFont="1" applyFill="1" applyAlignment="1" applyProtection="1">
      <alignment horizontal="right" vertical="center"/>
    </xf>
    <xf numFmtId="166" fontId="16" fillId="2" borderId="0" xfId="1" applyNumberFormat="1" applyFont="1" applyFill="1" applyAlignment="1">
      <alignment horizontal="right" vertical="center" readingOrder="1"/>
    </xf>
    <xf numFmtId="166" fontId="39" fillId="0" borderId="0" xfId="0" applyNumberFormat="1" applyFont="1"/>
    <xf numFmtId="166" fontId="8" fillId="2" borderId="2" xfId="0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2" applyNumberFormat="1" applyFont="1" applyFill="1" applyAlignment="1">
      <alignment horizontal="left" vertical="center" wrapText="1" indent="2"/>
    </xf>
    <xf numFmtId="166" fontId="18" fillId="0" borderId="0" xfId="50" applyNumberFormat="1" applyFont="1" applyFill="1" applyAlignment="1">
      <alignment horizontal="right" vertical="center" readingOrder="1"/>
    </xf>
    <xf numFmtId="166" fontId="22" fillId="0" borderId="0" xfId="50" applyNumberFormat="1" applyFont="1" applyFill="1" applyAlignment="1" applyProtection="1">
      <alignment horizontal="right" vertical="center"/>
    </xf>
    <xf numFmtId="166" fontId="5" fillId="2" borderId="0" xfId="2" applyNumberFormat="1" applyFont="1" applyFill="1" applyAlignment="1">
      <alignment horizontal="left" vertical="center" wrapText="1" indent="3"/>
    </xf>
    <xf numFmtId="166" fontId="18" fillId="2" borderId="0" xfId="1" applyNumberFormat="1" applyFont="1" applyFill="1" applyAlignment="1">
      <alignment horizontal="right" vertical="center" readingOrder="1"/>
    </xf>
    <xf numFmtId="166" fontId="5" fillId="2" borderId="0" xfId="2" applyNumberFormat="1" applyFont="1" applyFill="1" applyAlignment="1">
      <alignment horizontal="left" wrapText="1" indent="1"/>
    </xf>
    <xf numFmtId="166" fontId="8" fillId="0" borderId="0" xfId="3" applyNumberFormat="1" applyFont="1" applyAlignment="1" applyProtection="1">
      <alignment horizontal="right" wrapText="1" readingOrder="1"/>
      <protection locked="0"/>
    </xf>
    <xf numFmtId="166" fontId="8" fillId="2" borderId="0" xfId="2" applyNumberFormat="1" applyFont="1" applyFill="1" applyAlignment="1">
      <alignment horizontal="left" vertical="center" indent="1"/>
    </xf>
    <xf numFmtId="166" fontId="5" fillId="2" borderId="0" xfId="2" applyNumberFormat="1" applyFont="1" applyFill="1" applyAlignment="1">
      <alignment horizontal="left" vertical="center" wrapText="1" indent="2"/>
    </xf>
    <xf numFmtId="166" fontId="10" fillId="0" borderId="1" xfId="2" applyNumberFormat="1" applyFont="1" applyBorder="1"/>
    <xf numFmtId="166" fontId="11" fillId="0" borderId="1" xfId="2" applyNumberFormat="1" applyFont="1" applyBorder="1"/>
    <xf numFmtId="166" fontId="10" fillId="0" borderId="0" xfId="2" applyNumberFormat="1" applyFont="1"/>
    <xf numFmtId="166" fontId="11" fillId="0" borderId="0" xfId="2" applyNumberFormat="1" applyFont="1"/>
    <xf numFmtId="166" fontId="4" fillId="2" borderId="0" xfId="3" applyNumberFormat="1" applyFont="1" applyFill="1"/>
    <xf numFmtId="166" fontId="12" fillId="2" borderId="0" xfId="3" applyNumberFormat="1" applyFont="1" applyFill="1"/>
    <xf numFmtId="166" fontId="30" fillId="2" borderId="0" xfId="3" applyNumberFormat="1" applyFont="1" applyFill="1"/>
    <xf numFmtId="166" fontId="13" fillId="2" borderId="0" xfId="4" applyNumberFormat="1" applyFont="1" applyFill="1" applyAlignment="1">
      <alignment horizontal="left"/>
    </xf>
    <xf numFmtId="166" fontId="14" fillId="2" borderId="0" xfId="4" applyNumberFormat="1" applyFont="1" applyFill="1" applyAlignment="1">
      <alignment horizontal="right"/>
    </xf>
    <xf numFmtId="166" fontId="8" fillId="2" borderId="22" xfId="3" applyNumberFormat="1" applyFont="1" applyFill="1" applyBorder="1" applyAlignment="1">
      <alignment horizontal="left" vertical="center" wrapText="1"/>
    </xf>
    <xf numFmtId="166" fontId="15" fillId="0" borderId="22" xfId="0" applyNumberFormat="1" applyFont="1" applyBorder="1" applyAlignment="1">
      <alignment horizontal="right" vertical="center" wrapText="1"/>
    </xf>
    <xf numFmtId="166" fontId="15" fillId="2" borderId="0" xfId="3" applyNumberFormat="1" applyFont="1" applyFill="1" applyAlignment="1">
      <alignment horizontal="left"/>
    </xf>
    <xf numFmtId="166" fontId="15" fillId="2" borderId="0" xfId="3" applyNumberFormat="1" applyFont="1" applyFill="1" applyAlignment="1">
      <alignment horizontal="left" vertical="center"/>
    </xf>
    <xf numFmtId="166" fontId="15" fillId="0" borderId="0" xfId="3" applyNumberFormat="1" applyFont="1" applyAlignment="1">
      <alignment horizontal="left" vertical="center" indent="2"/>
    </xf>
    <xf numFmtId="166" fontId="15" fillId="0" borderId="0" xfId="3" applyNumberFormat="1" applyFont="1" applyAlignment="1">
      <alignment horizontal="left" vertical="center" indent="1"/>
    </xf>
    <xf numFmtId="166" fontId="17" fillId="2" borderId="0" xfId="3" applyNumberFormat="1" applyFont="1" applyFill="1" applyAlignment="1">
      <alignment horizontal="left" vertical="center" wrapText="1" indent="3"/>
    </xf>
    <xf numFmtId="166" fontId="17" fillId="2" borderId="0" xfId="3" applyNumberFormat="1" applyFont="1" applyFill="1" applyAlignment="1">
      <alignment horizontal="left" vertical="center" wrapText="1" indent="2"/>
    </xf>
    <xf numFmtId="166" fontId="5" fillId="0" borderId="0" xfId="0" applyNumberFormat="1" applyFont="1" applyAlignment="1">
      <alignment horizontal="right" vertical="center" wrapText="1"/>
    </xf>
    <xf numFmtId="166" fontId="17" fillId="0" borderId="0" xfId="0" applyNumberFormat="1" applyFont="1" applyAlignment="1">
      <alignment horizontal="right" vertical="center" wrapText="1"/>
    </xf>
    <xf numFmtId="166" fontId="15" fillId="2" borderId="0" xfId="3" applyNumberFormat="1" applyFont="1" applyFill="1" applyAlignment="1">
      <alignment horizontal="left" vertical="center" indent="1"/>
    </xf>
    <xf numFmtId="166" fontId="15" fillId="2" borderId="0" xfId="3" applyNumberFormat="1" applyFont="1" applyFill="1" applyAlignment="1">
      <alignment horizontal="left" indent="1"/>
    </xf>
    <xf numFmtId="166" fontId="18" fillId="0" borderId="0" xfId="1" applyNumberFormat="1" applyFont="1" applyFill="1" applyAlignment="1">
      <alignment horizontal="right"/>
    </xf>
    <xf numFmtId="166" fontId="8" fillId="2" borderId="0" xfId="12" applyNumberFormat="1" applyFont="1" applyFill="1" applyBorder="1" applyAlignment="1">
      <alignment horizontal="left" vertical="center" indent="1"/>
    </xf>
    <xf numFmtId="166" fontId="8" fillId="2" borderId="0" xfId="12" applyNumberFormat="1" applyFont="1" applyFill="1" applyBorder="1" applyAlignment="1">
      <alignment horizontal="left" vertical="center"/>
    </xf>
    <xf numFmtId="166" fontId="15" fillId="0" borderId="0" xfId="3" applyNumberFormat="1" applyFont="1"/>
    <xf numFmtId="166" fontId="8" fillId="2" borderId="0" xfId="12" applyNumberFormat="1" applyFont="1" applyFill="1" applyAlignment="1">
      <alignment horizontal="left" wrapText="1" indent="1"/>
    </xf>
    <xf numFmtId="166" fontId="8" fillId="2" borderId="1" xfId="12" applyNumberFormat="1" applyFont="1" applyFill="1" applyBorder="1" applyAlignment="1">
      <alignment horizontal="left" wrapText="1" indent="1"/>
    </xf>
    <xf numFmtId="166" fontId="15" fillId="0" borderId="1" xfId="0" applyNumberFormat="1" applyFont="1" applyBorder="1" applyAlignment="1">
      <alignment horizontal="right" vertical="center" wrapText="1"/>
    </xf>
    <xf numFmtId="166" fontId="8" fillId="0" borderId="1" xfId="0" applyNumberFormat="1" applyFont="1" applyBorder="1" applyAlignment="1">
      <alignment horizontal="right" vertical="center" wrapText="1"/>
    </xf>
    <xf numFmtId="166" fontId="8" fillId="2" borderId="21" xfId="12" applyNumberFormat="1" applyFont="1" applyFill="1" applyBorder="1" applyAlignment="1">
      <alignment horizontal="left" wrapText="1" indent="1"/>
    </xf>
    <xf numFmtId="166" fontId="8" fillId="2" borderId="0" xfId="12" applyNumberFormat="1" applyFont="1" applyFill="1" applyBorder="1" applyAlignment="1">
      <alignment horizontal="left" wrapText="1" indent="1"/>
    </xf>
    <xf numFmtId="166" fontId="22" fillId="0" borderId="0" xfId="3" applyNumberFormat="1" applyFont="1" applyAlignment="1">
      <alignment horizontal="left" vertical="center"/>
    </xf>
    <xf numFmtId="166" fontId="19" fillId="0" borderId="0" xfId="3" applyNumberFormat="1" applyFont="1" applyAlignment="1">
      <alignment vertical="center"/>
    </xf>
    <xf numFmtId="166" fontId="7" fillId="2" borderId="1" xfId="3" applyNumberFormat="1" applyFont="1" applyFill="1" applyBorder="1"/>
    <xf numFmtId="166" fontId="7" fillId="2" borderId="0" xfId="3" applyNumberFormat="1" applyFont="1" applyFill="1"/>
    <xf numFmtId="166" fontId="23" fillId="2" borderId="0" xfId="3" applyNumberFormat="1" applyFont="1" applyFill="1"/>
    <xf numFmtId="166" fontId="8" fillId="2" borderId="0" xfId="3" applyNumberFormat="1" applyFont="1" applyFill="1" applyAlignment="1">
      <alignment horizontal="left"/>
    </xf>
    <xf numFmtId="166" fontId="8" fillId="2" borderId="0" xfId="3" applyNumberFormat="1" applyFont="1" applyFill="1" applyAlignment="1">
      <alignment horizontal="left" vertical="center"/>
    </xf>
    <xf numFmtId="166" fontId="15" fillId="2" borderId="0" xfId="3" applyNumberFormat="1" applyFont="1" applyFill="1" applyAlignment="1">
      <alignment horizontal="left" vertical="center" indent="2"/>
    </xf>
    <xf numFmtId="166" fontId="5" fillId="2" borderId="0" xfId="3" applyNumberFormat="1" applyFont="1" applyFill="1" applyAlignment="1">
      <alignment horizontal="left" vertical="center" wrapText="1" indent="3"/>
    </xf>
    <xf numFmtId="166" fontId="5" fillId="2" borderId="0" xfId="3" applyNumberFormat="1" applyFont="1" applyFill="1" applyAlignment="1">
      <alignment horizontal="left" vertical="center" wrapText="1" indent="2"/>
    </xf>
    <xf numFmtId="166" fontId="16" fillId="0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14" applyNumberFormat="1" applyFont="1" applyFill="1" applyBorder="1" applyAlignment="1">
      <alignment horizontal="left" vertical="center" indent="1"/>
    </xf>
    <xf numFmtId="166" fontId="8" fillId="2" borderId="0" xfId="14" applyNumberFormat="1" applyFont="1" applyFill="1" applyBorder="1" applyAlignment="1">
      <alignment horizontal="left" vertical="center"/>
    </xf>
    <xf numFmtId="166" fontId="0" fillId="0" borderId="0" xfId="0" applyNumberFormat="1" applyAlignment="1">
      <alignment horizontal="left" vertical="center" indent="1"/>
    </xf>
    <xf numFmtId="166" fontId="1" fillId="0" borderId="1" xfId="3" applyNumberFormat="1" applyBorder="1"/>
    <xf numFmtId="166" fontId="0" fillId="0" borderId="1" xfId="0" applyNumberFormat="1" applyBorder="1"/>
    <xf numFmtId="166" fontId="22" fillId="0" borderId="0" xfId="3" applyNumberFormat="1" applyFont="1" applyAlignment="1">
      <alignment vertical="center"/>
    </xf>
    <xf numFmtId="166" fontId="33" fillId="0" borderId="0" xfId="0" applyNumberFormat="1" applyFont="1"/>
    <xf numFmtId="166" fontId="5" fillId="2" borderId="0" xfId="3" applyNumberFormat="1" applyFont="1" applyFill="1" applyAlignment="1">
      <alignment horizontal="right"/>
    </xf>
    <xf numFmtId="166" fontId="30" fillId="0" borderId="0" xfId="3" applyNumberFormat="1" applyFont="1" applyAlignment="1">
      <alignment vertical="center" wrapText="1"/>
    </xf>
    <xf numFmtId="166" fontId="32" fillId="2" borderId="0" xfId="3" applyNumberFormat="1" applyFont="1" applyFill="1" applyAlignment="1">
      <alignment horizontal="right"/>
    </xf>
    <xf numFmtId="166" fontId="6" fillId="0" borderId="0" xfId="0" applyNumberFormat="1" applyFont="1"/>
    <xf numFmtId="166" fontId="24" fillId="2" borderId="0" xfId="1" applyNumberFormat="1" applyFont="1" applyFill="1" applyAlignment="1">
      <alignment horizontal="right" vertical="center"/>
    </xf>
    <xf numFmtId="166" fontId="5" fillId="0" borderId="0" xfId="3" applyNumberFormat="1" applyFont="1" applyAlignment="1">
      <alignment horizontal="left" vertical="center" indent="2"/>
    </xf>
    <xf numFmtId="166" fontId="5" fillId="0" borderId="0" xfId="3" applyNumberFormat="1" applyFont="1" applyAlignment="1">
      <alignment horizontal="left" vertical="center" indent="1"/>
    </xf>
    <xf numFmtId="166" fontId="5" fillId="2" borderId="0" xfId="3" applyNumberFormat="1" applyFont="1" applyFill="1" applyAlignment="1">
      <alignment horizontal="left" vertical="center" indent="2"/>
    </xf>
    <xf numFmtId="166" fontId="5" fillId="2" borderId="0" xfId="3" applyNumberFormat="1" applyFont="1" applyFill="1" applyAlignment="1">
      <alignment horizontal="left" vertical="center" indent="1"/>
    </xf>
    <xf numFmtId="166" fontId="5" fillId="2" borderId="0" xfId="3" applyNumberFormat="1" applyFont="1" applyFill="1" applyAlignment="1">
      <alignment horizontal="left" wrapText="1"/>
    </xf>
    <xf numFmtId="166" fontId="8" fillId="2" borderId="0" xfId="3" applyNumberFormat="1" applyFont="1" applyFill="1" applyAlignment="1">
      <alignment horizontal="right"/>
    </xf>
    <xf numFmtId="166" fontId="8" fillId="2" borderId="0" xfId="26" applyNumberFormat="1" applyFont="1" applyFill="1" applyBorder="1" applyAlignment="1">
      <alignment horizontal="left" vertical="center" indent="1"/>
    </xf>
    <xf numFmtId="166" fontId="8" fillId="2" borderId="0" xfId="26" applyNumberFormat="1" applyFont="1" applyFill="1" applyBorder="1" applyAlignment="1">
      <alignment horizontal="left" vertical="center"/>
    </xf>
    <xf numFmtId="166" fontId="8" fillId="2" borderId="0" xfId="26" applyNumberFormat="1" applyFont="1" applyFill="1" applyBorder="1" applyAlignment="1">
      <alignment horizontal="left"/>
    </xf>
    <xf numFmtId="166" fontId="18" fillId="3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16" fillId="3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11" fillId="0" borderId="1" xfId="3" applyNumberFormat="1" applyFont="1" applyBorder="1"/>
    <xf numFmtId="166" fontId="5" fillId="2" borderId="1" xfId="3" applyNumberFormat="1" applyFont="1" applyFill="1" applyBorder="1" applyAlignment="1">
      <alignment horizontal="right"/>
    </xf>
    <xf numFmtId="166" fontId="11" fillId="0" borderId="0" xfId="3" applyNumberFormat="1" applyFont="1"/>
    <xf numFmtId="166" fontId="5" fillId="0" borderId="0" xfId="3" applyNumberFormat="1" applyFont="1" applyAlignment="1">
      <alignment horizontal="left" vertical="center"/>
    </xf>
    <xf numFmtId="166" fontId="5" fillId="2" borderId="0" xfId="3" applyNumberFormat="1" applyFont="1" applyFill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6" fontId="30" fillId="2" borderId="0" xfId="3" applyNumberFormat="1" applyFont="1" applyFill="1" applyAlignment="1">
      <alignment horizontal="left" vertical="center"/>
    </xf>
    <xf numFmtId="166" fontId="8" fillId="2" borderId="0" xfId="3" applyNumberFormat="1" applyFont="1" applyFill="1" applyAlignment="1">
      <alignment horizontal="left" vertical="center" wrapText="1" indent="2"/>
    </xf>
    <xf numFmtId="166" fontId="5" fillId="2" borderId="0" xfId="3" applyNumberFormat="1" applyFont="1" applyFill="1" applyAlignment="1">
      <alignment horizontal="left" vertical="center" wrapText="1" indent="1"/>
    </xf>
    <xf numFmtId="166" fontId="26" fillId="0" borderId="0" xfId="3" applyNumberFormat="1" applyFont="1"/>
    <xf numFmtId="166" fontId="8" fillId="2" borderId="0" xfId="17" applyNumberFormat="1" applyFont="1" applyFill="1" applyBorder="1" applyAlignment="1">
      <alignment horizontal="left" vertical="center" indent="1"/>
    </xf>
    <xf numFmtId="166" fontId="8" fillId="2" borderId="0" xfId="17" applyNumberFormat="1" applyFont="1" applyFill="1" applyBorder="1" applyAlignment="1">
      <alignment horizontal="left" vertical="center"/>
    </xf>
    <xf numFmtId="166" fontId="5" fillId="2" borderId="1" xfId="3" applyNumberFormat="1" applyFont="1" applyFill="1" applyBorder="1" applyAlignment="1">
      <alignment horizontal="left"/>
    </xf>
    <xf numFmtId="166" fontId="5" fillId="2" borderId="0" xfId="3" applyNumberFormat="1" applyFont="1" applyFill="1" applyAlignment="1">
      <alignment horizontal="left"/>
    </xf>
    <xf numFmtId="166" fontId="5" fillId="0" borderId="0" xfId="3" applyNumberFormat="1" applyFont="1"/>
    <xf numFmtId="166" fontId="10" fillId="0" borderId="0" xfId="3" applyNumberFormat="1" applyFont="1"/>
    <xf numFmtId="166" fontId="38" fillId="0" borderId="0" xfId="0" applyNumberFormat="1" applyFont="1"/>
    <xf numFmtId="166" fontId="21" fillId="2" borderId="0" xfId="3" applyNumberFormat="1" applyFont="1" applyFill="1"/>
    <xf numFmtId="166" fontId="34" fillId="2" borderId="0" xfId="3" applyNumberFormat="1" applyFont="1" applyFill="1" applyAlignment="1">
      <alignment vertical="center" wrapText="1"/>
    </xf>
    <xf numFmtId="166" fontId="34" fillId="2" borderId="0" xfId="3" applyNumberFormat="1" applyFont="1" applyFill="1" applyAlignment="1">
      <alignment horizontal="left" vertical="center" wrapText="1"/>
    </xf>
    <xf numFmtId="166" fontId="15" fillId="2" borderId="0" xfId="3" applyNumberFormat="1" applyFont="1" applyFill="1" applyAlignment="1">
      <alignment horizontal="center" vertical="center" wrapText="1"/>
    </xf>
    <xf numFmtId="166" fontId="17" fillId="2" borderId="0" xfId="3" applyNumberFormat="1" applyFont="1" applyFill="1" applyAlignment="1">
      <alignment horizontal="left" vertical="center" wrapText="1"/>
    </xf>
    <xf numFmtId="166" fontId="17" fillId="2" borderId="0" xfId="3" applyNumberFormat="1" applyFont="1" applyFill="1" applyAlignment="1">
      <alignment horizontal="left" vertical="center" wrapText="1" indent="1"/>
    </xf>
    <xf numFmtId="166" fontId="5" fillId="2" borderId="0" xfId="3" applyNumberFormat="1" applyFont="1" applyFill="1" applyAlignment="1">
      <alignment horizontal="left" wrapText="1" indent="2"/>
    </xf>
    <xf numFmtId="166" fontId="17" fillId="2" borderId="0" xfId="3" applyNumberFormat="1" applyFont="1" applyFill="1" applyAlignment="1">
      <alignment horizontal="left" wrapText="1" indent="1"/>
    </xf>
    <xf numFmtId="166" fontId="18" fillId="0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18" applyNumberFormat="1" applyFont="1" applyFill="1" applyBorder="1" applyAlignment="1">
      <alignment horizontal="left" vertical="center" indent="1"/>
    </xf>
    <xf numFmtId="166" fontId="8" fillId="2" borderId="0" xfId="18" applyNumberFormat="1" applyFont="1" applyFill="1" applyBorder="1" applyAlignment="1">
      <alignment horizontal="left" vertical="center"/>
    </xf>
    <xf numFmtId="166" fontId="8" fillId="2" borderId="0" xfId="18" applyNumberFormat="1" applyFont="1" applyFill="1" applyBorder="1" applyAlignment="1">
      <alignment horizontal="left"/>
    </xf>
    <xf numFmtId="166" fontId="15" fillId="2" borderId="1" xfId="3" applyNumberFormat="1" applyFont="1" applyFill="1" applyBorder="1" applyAlignment="1">
      <alignment horizontal="left"/>
    </xf>
    <xf numFmtId="166" fontId="17" fillId="2" borderId="1" xfId="3" applyNumberFormat="1" applyFont="1" applyFill="1" applyBorder="1" applyAlignment="1">
      <alignment horizontal="left"/>
    </xf>
    <xf numFmtId="166" fontId="1" fillId="2" borderId="1" xfId="3" applyNumberFormat="1" applyFill="1" applyBorder="1"/>
    <xf numFmtId="166" fontId="1" fillId="2" borderId="0" xfId="3" applyNumberFormat="1" applyFill="1"/>
    <xf numFmtId="166" fontId="17" fillId="0" borderId="0" xfId="3" applyNumberFormat="1" applyFont="1" applyAlignment="1">
      <alignment horizontal="left" vertical="center"/>
    </xf>
    <xf numFmtId="166" fontId="19" fillId="2" borderId="0" xfId="3" applyNumberFormat="1" applyFont="1" applyFill="1"/>
    <xf numFmtId="166" fontId="30" fillId="2" borderId="0" xfId="3" applyNumberFormat="1" applyFont="1" applyFill="1" applyAlignment="1">
      <alignment vertical="center" wrapText="1"/>
    </xf>
    <xf numFmtId="166" fontId="17" fillId="2" borderId="0" xfId="3" applyNumberFormat="1" applyFont="1" applyFill="1" applyAlignment="1">
      <alignment horizontal="left" wrapText="1"/>
    </xf>
    <xf numFmtId="166" fontId="8" fillId="2" borderId="0" xfId="19" applyNumberFormat="1" applyFont="1" applyFill="1" applyBorder="1" applyAlignment="1">
      <alignment horizontal="left" vertical="center" indent="1"/>
    </xf>
    <xf numFmtId="166" fontId="8" fillId="2" borderId="0" xfId="19" applyNumberFormat="1" applyFont="1" applyFill="1" applyBorder="1" applyAlignment="1">
      <alignment horizontal="left" vertical="center"/>
    </xf>
    <xf numFmtId="166" fontId="8" fillId="2" borderId="1" xfId="19" applyNumberFormat="1" applyFont="1" applyFill="1" applyBorder="1" applyAlignment="1">
      <alignment horizontal="left" vertical="center"/>
    </xf>
    <xf numFmtId="166" fontId="16" fillId="0" borderId="1" xfId="1" applyNumberFormat="1" applyFont="1" applyBorder="1" applyAlignment="1" applyProtection="1">
      <alignment horizontal="right" vertical="center" wrapText="1" readingOrder="1"/>
      <protection locked="0"/>
    </xf>
    <xf numFmtId="166" fontId="18" fillId="0" borderId="1" xfId="1" applyNumberFormat="1" applyFont="1" applyBorder="1" applyAlignment="1" applyProtection="1">
      <alignment horizontal="right" vertical="center" wrapText="1" readingOrder="1"/>
      <protection locked="0"/>
    </xf>
    <xf numFmtId="166" fontId="30" fillId="0" borderId="0" xfId="2" applyNumberFormat="1" applyFont="1" applyAlignment="1">
      <alignment vertical="center" wrapText="1"/>
    </xf>
    <xf numFmtId="166" fontId="16" fillId="0" borderId="0" xfId="1" applyNumberFormat="1" applyFont="1" applyFill="1" applyAlignment="1">
      <alignment horizontal="right" vertical="center" readingOrder="1"/>
    </xf>
    <xf numFmtId="166" fontId="8" fillId="0" borderId="2" xfId="0" applyNumberFormat="1" applyFont="1" applyBorder="1" applyAlignment="1" applyProtection="1">
      <alignment horizontal="right" vertical="center" wrapText="1" readingOrder="1"/>
      <protection locked="0"/>
    </xf>
    <xf numFmtId="166" fontId="8" fillId="2" borderId="0" xfId="2" applyNumberFormat="1" applyFont="1" applyFill="1" applyAlignment="1">
      <alignment horizontal="left" vertical="center" wrapText="1" indent="1"/>
    </xf>
    <xf numFmtId="166" fontId="5" fillId="2" borderId="0" xfId="2" applyNumberFormat="1" applyFont="1" applyFill="1" applyAlignment="1">
      <alignment horizontal="left" vertical="center" indent="3"/>
    </xf>
    <xf numFmtId="166" fontId="18" fillId="0" borderId="0" xfId="1" applyNumberFormat="1" applyFont="1" applyFill="1" applyAlignment="1">
      <alignment horizontal="right" vertical="center" readingOrder="1"/>
    </xf>
    <xf numFmtId="166" fontId="5" fillId="2" borderId="0" xfId="2" applyNumberFormat="1" applyFont="1" applyFill="1" applyAlignment="1">
      <alignment horizontal="left" vertical="center" wrapText="1" indent="1"/>
    </xf>
    <xf numFmtId="166" fontId="8" fillId="2" borderId="0" xfId="20" applyNumberFormat="1" applyFont="1" applyFill="1" applyBorder="1" applyAlignment="1">
      <alignment horizontal="left" vertical="center" indent="1"/>
    </xf>
    <xf numFmtId="166" fontId="8" fillId="2" borderId="0" xfId="20" applyNumberFormat="1" applyFont="1" applyFill="1" applyBorder="1" applyAlignment="1">
      <alignment horizontal="left" vertical="center"/>
    </xf>
    <xf numFmtId="166" fontId="10" fillId="2" borderId="1" xfId="2" applyNumberFormat="1" applyFont="1" applyFill="1" applyBorder="1"/>
    <xf numFmtId="166" fontId="11" fillId="2" borderId="1" xfId="2" applyNumberFormat="1" applyFont="1" applyFill="1" applyBorder="1"/>
    <xf numFmtId="166" fontId="10" fillId="2" borderId="0" xfId="2" applyNumberFormat="1" applyFont="1" applyFill="1"/>
    <xf numFmtId="166" fontId="11" fillId="2" borderId="0" xfId="2" applyNumberFormat="1" applyFont="1" applyFill="1"/>
    <xf numFmtId="166" fontId="5" fillId="2" borderId="0" xfId="2" applyNumberFormat="1" applyFont="1" applyFill="1" applyAlignment="1">
      <alignment horizontal="left" vertical="center"/>
    </xf>
    <xf numFmtId="166" fontId="11" fillId="2" borderId="0" xfId="2" applyNumberFormat="1" applyFont="1" applyFill="1" applyAlignment="1">
      <alignment horizontal="right"/>
    </xf>
    <xf numFmtId="166" fontId="28" fillId="2" borderId="0" xfId="3" applyNumberFormat="1" applyFont="1" applyFill="1" applyAlignment="1">
      <alignment horizontal="left"/>
    </xf>
    <xf numFmtId="166" fontId="3" fillId="2" borderId="0" xfId="3" applyNumberFormat="1" applyFont="1" applyFill="1" applyAlignment="1">
      <alignment vertical="center" wrapText="1"/>
    </xf>
    <xf numFmtId="166" fontId="8" fillId="2" borderId="0" xfId="3" applyNumberFormat="1" applyFont="1" applyFill="1" applyAlignment="1">
      <alignment horizontal="left" vertical="center" wrapText="1" indent="1"/>
    </xf>
    <xf numFmtId="166" fontId="5" fillId="0" borderId="0" xfId="3" applyNumberFormat="1" applyFont="1" applyAlignment="1">
      <alignment horizontal="left" vertical="center" indent="3"/>
    </xf>
    <xf numFmtId="166" fontId="5" fillId="0" borderId="0" xfId="3" applyNumberFormat="1" applyFont="1" applyAlignment="1">
      <alignment horizontal="left" vertical="center" wrapText="1" indent="3"/>
    </xf>
    <xf numFmtId="166" fontId="8" fillId="0" borderId="0" xfId="0" applyNumberFormat="1" applyFont="1" applyAlignment="1">
      <alignment horizontal="right" vertical="center" wrapText="1"/>
    </xf>
    <xf numFmtId="166" fontId="8" fillId="2" borderId="0" xfId="21" applyNumberFormat="1" applyFont="1" applyFill="1" applyBorder="1" applyAlignment="1">
      <alignment horizontal="left" vertical="center" indent="1"/>
    </xf>
    <xf numFmtId="166" fontId="8" fillId="2" borderId="0" xfId="21" applyNumberFormat="1" applyFont="1" applyFill="1" applyBorder="1" applyAlignment="1">
      <alignment horizontal="left" vertical="center"/>
    </xf>
    <xf numFmtId="166" fontId="16" fillId="0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0" fillId="0" borderId="1" xfId="3" applyNumberFormat="1" applyFont="1" applyBorder="1"/>
    <xf numFmtId="166" fontId="5" fillId="0" borderId="0" xfId="6" applyNumberFormat="1" applyFont="1" applyAlignment="1">
      <alignment horizontal="left" vertical="center"/>
    </xf>
    <xf numFmtId="166" fontId="5" fillId="0" borderId="0" xfId="3" applyNumberFormat="1" applyFont="1" applyAlignment="1">
      <alignment horizontal="left" vertical="center" wrapText="1" indent="2"/>
    </xf>
    <xf numFmtId="166" fontId="18" fillId="0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22" applyNumberFormat="1" applyFont="1" applyFill="1" applyBorder="1" applyAlignment="1">
      <alignment horizontal="left" vertical="center" indent="1"/>
    </xf>
    <xf numFmtId="166" fontId="8" fillId="2" borderId="0" xfId="22" applyNumberFormat="1" applyFont="1" applyFill="1" applyBorder="1" applyAlignment="1">
      <alignment horizontal="left" vertical="center"/>
    </xf>
    <xf numFmtId="166" fontId="8" fillId="2" borderId="0" xfId="22" applyNumberFormat="1" applyFont="1" applyFill="1" applyBorder="1" applyAlignment="1">
      <alignment horizontal="left"/>
    </xf>
    <xf numFmtId="166" fontId="17" fillId="2" borderId="0" xfId="3" applyNumberFormat="1" applyFont="1" applyFill="1" applyAlignment="1">
      <alignment horizontal="right"/>
    </xf>
    <xf numFmtId="166" fontId="27" fillId="2" borderId="0" xfId="3" applyNumberFormat="1" applyFont="1" applyFill="1" applyAlignment="1">
      <alignment vertical="center"/>
    </xf>
    <xf numFmtId="166" fontId="17" fillId="2" borderId="0" xfId="3" applyNumberFormat="1" applyFont="1" applyFill="1" applyAlignment="1">
      <alignment horizontal="left" wrapText="1" indent="2"/>
    </xf>
    <xf numFmtId="166" fontId="17" fillId="0" borderId="0" xfId="3" applyNumberFormat="1" applyFont="1" applyAlignment="1">
      <alignment horizontal="left" wrapText="1" indent="2"/>
    </xf>
    <xf numFmtId="166" fontId="17" fillId="0" borderId="0" xfId="5" applyNumberFormat="1" applyFont="1"/>
    <xf numFmtId="166" fontId="8" fillId="2" borderId="0" xfId="23" applyNumberFormat="1" applyFont="1" applyFill="1" applyBorder="1" applyAlignment="1">
      <alignment horizontal="left" vertical="center"/>
    </xf>
    <xf numFmtId="166" fontId="8" fillId="2" borderId="0" xfId="23" applyNumberFormat="1" applyFont="1" applyFill="1" applyBorder="1" applyAlignment="1">
      <alignment horizontal="left"/>
    </xf>
    <xf numFmtId="166" fontId="18" fillId="3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6" fillId="3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7" fillId="2" borderId="1" xfId="3" applyNumberFormat="1" applyFont="1" applyFill="1" applyBorder="1" applyAlignment="1">
      <alignment horizontal="left" wrapText="1"/>
    </xf>
    <xf numFmtId="166" fontId="22" fillId="2" borderId="3" xfId="5" applyNumberFormat="1" applyFont="1" applyFill="1" applyBorder="1" applyAlignment="1" applyProtection="1">
      <alignment horizontal="right" wrapText="1" readingOrder="1"/>
      <protection locked="0"/>
    </xf>
    <xf numFmtId="166" fontId="22" fillId="2" borderId="0" xfId="5" applyNumberFormat="1" applyFont="1" applyFill="1" applyAlignment="1" applyProtection="1">
      <alignment horizontal="right" wrapText="1" readingOrder="1"/>
      <protection locked="0"/>
    </xf>
    <xf numFmtId="166" fontId="19" fillId="2" borderId="0" xfId="3" applyNumberFormat="1" applyFont="1" applyFill="1" applyAlignment="1">
      <alignment horizontal="left"/>
    </xf>
    <xf numFmtId="166" fontId="4" fillId="0" borderId="0" xfId="3" applyNumberFormat="1" applyFont="1"/>
    <xf numFmtId="166" fontId="30" fillId="0" borderId="0" xfId="3" applyNumberFormat="1" applyFont="1" applyAlignment="1">
      <alignment wrapText="1"/>
    </xf>
    <xf numFmtId="166" fontId="4" fillId="0" borderId="0" xfId="3" applyNumberFormat="1" applyFont="1" applyAlignment="1">
      <alignment wrapText="1"/>
    </xf>
    <xf numFmtId="166" fontId="5" fillId="2" borderId="0" xfId="3" applyNumberFormat="1" applyFont="1" applyFill="1" applyAlignment="1">
      <alignment horizontal="left" wrapText="1" indent="1"/>
    </xf>
    <xf numFmtId="166" fontId="8" fillId="2" borderId="0" xfId="24" applyNumberFormat="1" applyFont="1" applyFill="1" applyBorder="1" applyAlignment="1">
      <alignment horizontal="left" vertical="center" indent="1"/>
    </xf>
    <xf numFmtId="166" fontId="8" fillId="2" borderId="0" xfId="24" applyNumberFormat="1" applyFont="1" applyFill="1" applyBorder="1" applyAlignment="1">
      <alignment horizontal="left" vertical="center"/>
    </xf>
    <xf numFmtId="166" fontId="8" fillId="2" borderId="0" xfId="24" applyNumberFormat="1" applyFont="1" applyFill="1" applyBorder="1" applyAlignment="1">
      <alignment horizontal="left"/>
    </xf>
    <xf numFmtId="166" fontId="11" fillId="2" borderId="0" xfId="3" applyNumberFormat="1" applyFont="1" applyFill="1"/>
    <xf numFmtId="166" fontId="8" fillId="2" borderId="0" xfId="25" applyNumberFormat="1" applyFont="1" applyFill="1" applyBorder="1" applyAlignment="1">
      <alignment horizontal="left" vertical="center" indent="1"/>
    </xf>
    <xf numFmtId="166" fontId="8" fillId="2" borderId="0" xfId="25" applyNumberFormat="1" applyFont="1" applyFill="1" applyBorder="1" applyAlignment="1">
      <alignment horizontal="left" vertical="center"/>
    </xf>
    <xf numFmtId="166" fontId="8" fillId="2" borderId="0" xfId="25" applyNumberFormat="1" applyFont="1" applyFill="1" applyBorder="1" applyAlignment="1">
      <alignment horizontal="left"/>
    </xf>
    <xf numFmtId="166" fontId="15" fillId="2" borderId="1" xfId="3" applyNumberFormat="1" applyFont="1" applyFill="1" applyBorder="1" applyAlignment="1">
      <alignment horizontal="right" wrapText="1"/>
    </xf>
    <xf numFmtId="166" fontId="17" fillId="2" borderId="1" xfId="3" applyNumberFormat="1" applyFont="1" applyFill="1" applyBorder="1" applyAlignment="1">
      <alignment horizontal="right" wrapText="1"/>
    </xf>
    <xf numFmtId="166" fontId="15" fillId="2" borderId="0" xfId="3" applyNumberFormat="1" applyFont="1" applyFill="1" applyAlignment="1">
      <alignment horizontal="right" wrapText="1"/>
    </xf>
    <xf numFmtId="166" fontId="17" fillId="2" borderId="0" xfId="3" applyNumberFormat="1" applyFont="1" applyFill="1" applyAlignment="1">
      <alignment horizontal="right" wrapText="1"/>
    </xf>
    <xf numFmtId="166" fontId="10" fillId="2" borderId="0" xfId="3" applyNumberFormat="1" applyFont="1" applyFill="1"/>
    <xf numFmtId="0" fontId="30" fillId="2" borderId="0" xfId="3" applyFont="1" applyFill="1"/>
    <xf numFmtId="167" fontId="8" fillId="2" borderId="0" xfId="23" applyNumberFormat="1" applyFont="1" applyFill="1" applyBorder="1" applyAlignment="1">
      <alignment horizontal="left" vertical="center" indent="1"/>
    </xf>
    <xf numFmtId="167" fontId="8" fillId="2" borderId="0" xfId="23" applyNumberFormat="1" applyFont="1" applyFill="1" applyBorder="1" applyAlignment="1">
      <alignment horizontal="left" vertical="center"/>
    </xf>
    <xf numFmtId="167" fontId="8" fillId="2" borderId="0" xfId="23" applyNumberFormat="1" applyFont="1" applyFill="1" applyBorder="1" applyAlignment="1">
      <alignment horizontal="left"/>
    </xf>
    <xf numFmtId="0" fontId="5" fillId="2" borderId="0" xfId="5" applyFont="1" applyFill="1" applyAlignment="1">
      <alignment horizontal="left" vertical="center" wrapText="1" indent="2"/>
    </xf>
    <xf numFmtId="0" fontId="5" fillId="2" borderId="0" xfId="5" applyFont="1" applyFill="1" applyAlignment="1">
      <alignment horizontal="left" vertical="center" wrapText="1" indent="3"/>
    </xf>
    <xf numFmtId="0" fontId="5" fillId="2" borderId="0" xfId="3" applyFont="1" applyFill="1" applyAlignment="1">
      <alignment horizontal="left" wrapText="1"/>
    </xf>
    <xf numFmtId="166" fontId="47" fillId="5" borderId="6" xfId="8" applyNumberFormat="1" applyFont="1" applyFill="1" applyBorder="1" applyAlignment="1">
      <alignment horizontal="center" vertical="center"/>
    </xf>
    <xf numFmtId="166" fontId="47" fillId="5" borderId="7" xfId="8" applyNumberFormat="1" applyFont="1" applyFill="1" applyBorder="1" applyAlignment="1">
      <alignment horizontal="center" vertical="center"/>
    </xf>
    <xf numFmtId="166" fontId="44" fillId="0" borderId="0" xfId="3" applyNumberFormat="1" applyFont="1" applyAlignment="1">
      <alignment horizontal="center" vertical="center"/>
    </xf>
    <xf numFmtId="166" fontId="45" fillId="0" borderId="0" xfId="3" applyNumberFormat="1" applyFont="1" applyAlignment="1">
      <alignment horizontal="center" vertical="center"/>
    </xf>
    <xf numFmtId="166" fontId="53" fillId="4" borderId="0" xfId="51" applyNumberFormat="1" applyFont="1" applyFill="1" applyAlignment="1">
      <alignment horizontal="center" vertical="center"/>
    </xf>
    <xf numFmtId="166" fontId="48" fillId="0" borderId="0" xfId="51" applyNumberFormat="1" applyFont="1" applyAlignment="1">
      <alignment horizontal="center" vertical="center"/>
    </xf>
    <xf numFmtId="166" fontId="48" fillId="0" borderId="0" xfId="8" applyNumberFormat="1" applyFont="1" applyAlignment="1">
      <alignment horizontal="right"/>
    </xf>
    <xf numFmtId="166" fontId="42" fillId="0" borderId="10" xfId="8" applyNumberFormat="1" applyFont="1" applyBorder="1" applyAlignment="1">
      <alignment horizontal="left" vertical="center" wrapText="1" indent="1"/>
    </xf>
    <xf numFmtId="166" fontId="42" fillId="0" borderId="11" xfId="8" applyNumberFormat="1" applyFont="1" applyBorder="1" applyAlignment="1">
      <alignment horizontal="left" vertical="center" wrapText="1" indent="1"/>
    </xf>
    <xf numFmtId="166" fontId="42" fillId="0" borderId="12" xfId="8" applyNumberFormat="1" applyFont="1" applyBorder="1" applyAlignment="1">
      <alignment horizontal="left" vertical="center" wrapText="1" indent="1"/>
    </xf>
    <xf numFmtId="166" fontId="42" fillId="0" borderId="17" xfId="8" applyNumberFormat="1" applyFont="1" applyBorder="1" applyAlignment="1">
      <alignment horizontal="left" vertical="center" wrapText="1" indent="1"/>
    </xf>
    <xf numFmtId="166" fontId="42" fillId="0" borderId="18" xfId="8" applyNumberFormat="1" applyFont="1" applyBorder="1" applyAlignment="1">
      <alignment horizontal="left" vertical="center" wrapText="1" indent="1"/>
    </xf>
    <xf numFmtId="166" fontId="42" fillId="0" borderId="19" xfId="8" applyNumberFormat="1" applyFont="1" applyBorder="1" applyAlignment="1">
      <alignment horizontal="left" vertical="center" wrapText="1" indent="1"/>
    </xf>
    <xf numFmtId="166" fontId="49" fillId="0" borderId="8" xfId="7" applyNumberFormat="1" applyFont="1" applyFill="1" applyBorder="1" applyAlignment="1">
      <alignment horizontal="center" vertical="center" wrapText="1"/>
    </xf>
    <xf numFmtId="166" fontId="49" fillId="0" borderId="13" xfId="7" applyNumberFormat="1" applyFont="1" applyFill="1" applyBorder="1" applyAlignment="1">
      <alignment horizontal="center" vertical="center" wrapText="1"/>
    </xf>
    <xf numFmtId="166" fontId="49" fillId="0" borderId="15" xfId="7" applyNumberFormat="1" applyFont="1" applyFill="1" applyBorder="1" applyAlignment="1">
      <alignment horizontal="left" vertical="center" wrapText="1" readingOrder="1"/>
    </xf>
    <xf numFmtId="166" fontId="52" fillId="0" borderId="10" xfId="8" applyNumberFormat="1" applyFont="1" applyBorder="1" applyAlignment="1">
      <alignment horizontal="left" vertical="center" wrapText="1" indent="1"/>
    </xf>
    <xf numFmtId="166" fontId="52" fillId="0" borderId="11" xfId="8" applyNumberFormat="1" applyFont="1" applyBorder="1" applyAlignment="1">
      <alignment horizontal="left" vertical="center" wrapText="1" indent="1"/>
    </xf>
    <xf numFmtId="166" fontId="52" fillId="0" borderId="12" xfId="8" applyNumberFormat="1" applyFont="1" applyBorder="1" applyAlignment="1">
      <alignment horizontal="left" vertical="center" wrapText="1" indent="1"/>
    </xf>
    <xf numFmtId="166" fontId="22" fillId="0" borderId="0" xfId="0" applyNumberFormat="1" applyFont="1" applyAlignment="1">
      <alignment horizontal="left" vertical="center" wrapText="1"/>
    </xf>
    <xf numFmtId="166" fontId="15" fillId="0" borderId="20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6" fontId="15" fillId="0" borderId="4" xfId="0" applyNumberFormat="1" applyFont="1" applyBorder="1" applyAlignment="1">
      <alignment horizontal="center" vertical="center"/>
    </xf>
    <xf numFmtId="166" fontId="8" fillId="2" borderId="20" xfId="3" applyNumberFormat="1" applyFont="1" applyFill="1" applyBorder="1" applyAlignment="1">
      <alignment horizontal="left" vertical="center" wrapText="1"/>
    </xf>
    <xf numFmtId="166" fontId="8" fillId="2" borderId="0" xfId="3" applyNumberFormat="1" applyFont="1" applyFill="1" applyAlignment="1">
      <alignment horizontal="left" vertical="center" wrapText="1"/>
    </xf>
    <xf numFmtId="166" fontId="8" fillId="2" borderId="1" xfId="3" applyNumberFormat="1" applyFont="1" applyFill="1" applyBorder="1" applyAlignment="1">
      <alignment horizontal="left" vertical="center" wrapText="1"/>
    </xf>
    <xf numFmtId="166" fontId="8" fillId="2" borderId="22" xfId="3" applyNumberFormat="1" applyFont="1" applyFill="1" applyBorder="1" applyAlignment="1">
      <alignment horizontal="left" vertical="center" wrapText="1"/>
    </xf>
    <xf numFmtId="166" fontId="15" fillId="0" borderId="22" xfId="0" applyNumberFormat="1" applyFont="1" applyBorder="1" applyAlignment="1">
      <alignment horizontal="center" vertical="center" wrapText="1"/>
    </xf>
    <xf numFmtId="166" fontId="5" fillId="0" borderId="0" xfId="3" applyNumberFormat="1" applyFont="1" applyAlignment="1">
      <alignment horizontal="left" vertical="center" wrapText="1"/>
    </xf>
    <xf numFmtId="166" fontId="30" fillId="0" borderId="0" xfId="3" applyNumberFormat="1" applyFont="1" applyAlignment="1">
      <alignment horizontal="left" vertical="center" wrapText="1"/>
    </xf>
    <xf numFmtId="166" fontId="4" fillId="2" borderId="0" xfId="3" applyNumberFormat="1" applyFont="1" applyFill="1"/>
    <xf numFmtId="166" fontId="30" fillId="2" borderId="0" xfId="3" applyNumberFormat="1" applyFont="1" applyFill="1" applyAlignment="1">
      <alignment horizontal="left" vertical="center" wrapText="1"/>
    </xf>
    <xf numFmtId="166" fontId="3" fillId="2" borderId="0" xfId="3" applyNumberFormat="1" applyFont="1" applyFill="1" applyAlignment="1">
      <alignment horizontal="left" vertical="center" wrapText="1"/>
    </xf>
    <xf numFmtId="0" fontId="8" fillId="2" borderId="22" xfId="3" applyFont="1" applyFill="1" applyBorder="1" applyAlignment="1">
      <alignment horizontal="left" vertical="center" wrapText="1"/>
    </xf>
    <xf numFmtId="0" fontId="8" fillId="2" borderId="0" xfId="3" applyFont="1" applyFill="1" applyAlignment="1">
      <alignment horizontal="left" vertical="center" wrapText="1"/>
    </xf>
    <xf numFmtId="0" fontId="8" fillId="2" borderId="1" xfId="3" applyFont="1" applyFill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4" fillId="6" borderId="0" xfId="0" applyFont="1" applyFill="1" applyAlignment="1">
      <alignment vertical="center"/>
    </xf>
  </cellXfs>
  <cellStyles count="52">
    <cellStyle name="Hipervínculo" xfId="1" builtinId="8"/>
    <cellStyle name="Hipervínculo 2" xfId="7" xr:uid="{00000000-0005-0000-0000-000001000000}"/>
    <cellStyle name="Hipervínculo 2 4" xfId="50" xr:uid="{7E0434E9-1F2C-4524-B338-C18E7306CE3C}"/>
    <cellStyle name="Millares" xfId="26" builtinId="3"/>
    <cellStyle name="Millares 10" xfId="20" xr:uid="{30C082B7-DD97-42AC-83AE-3127BB04C7DA}"/>
    <cellStyle name="Millares 10 2" xfId="39" xr:uid="{BDD42D7C-7EA5-4269-9233-DC0BFA22AD3F}"/>
    <cellStyle name="Millares 11" xfId="21" xr:uid="{87024B6A-96BB-46CA-8347-93B09F029BCA}"/>
    <cellStyle name="Millares 11 2" xfId="40" xr:uid="{85200013-8E76-4A0E-AAD8-B3E368A8BFB9}"/>
    <cellStyle name="Millares 12" xfId="22" xr:uid="{CEEC1FCD-E499-4509-BB21-9BBA4678FB69}"/>
    <cellStyle name="Millares 12 2" xfId="41" xr:uid="{EA53E91E-864A-426D-9E16-2ACE003B83CD}"/>
    <cellStyle name="Millares 13" xfId="23" xr:uid="{49FD4A9E-D0A4-4819-834A-E154A7CFC154}"/>
    <cellStyle name="Millares 13 2" xfId="42" xr:uid="{6605ED8C-9E15-4C15-B181-CD454F6AF22F}"/>
    <cellStyle name="Millares 14" xfId="24" xr:uid="{F35065A6-B044-44AF-BC76-93EDECD09466}"/>
    <cellStyle name="Millares 14 2" xfId="43" xr:uid="{2CD02600-F4DA-46B6-AB46-64D836E20BBD}"/>
    <cellStyle name="Millares 15" xfId="25" xr:uid="{EE414736-59E9-4B45-A27F-88B99FF3C905}"/>
    <cellStyle name="Millares 15 2" xfId="44" xr:uid="{C5BC2147-B525-49D2-9937-42F0B60855D9}"/>
    <cellStyle name="Millares 16" xfId="45" xr:uid="{55E08483-C5B6-43FA-BF85-D3E74DF495B3}"/>
    <cellStyle name="Millares 17" xfId="46" xr:uid="{8D58C056-F61B-47B8-9943-6D2DD0AE569A}"/>
    <cellStyle name="Millares 18" xfId="47" xr:uid="{7CBB301F-4DD5-41FE-8A17-433126E3928D}"/>
    <cellStyle name="Millares 19" xfId="27" xr:uid="{00000000-0005-0000-0000-000049000000}"/>
    <cellStyle name="Millares 2" xfId="12" xr:uid="{658A6B07-071B-490F-97D4-F7E82F09E929}"/>
    <cellStyle name="Millares 2 2" xfId="31" xr:uid="{D75BA76C-65ED-49EC-865F-46102B65DB68}"/>
    <cellStyle name="Millares 3" xfId="13" xr:uid="{3D0C72A3-C50E-4A4D-986D-11CD4288FB1F}"/>
    <cellStyle name="Millares 3 2" xfId="32" xr:uid="{91DC82B8-276B-4C2D-826B-66127FC3BD10}"/>
    <cellStyle name="Millares 4" xfId="14" xr:uid="{783660D4-9043-4900-8196-357C72D0EECE}"/>
    <cellStyle name="Millares 4 2" xfId="33" xr:uid="{8AA23C57-8DAC-4261-9D91-E67B7B84F9F3}"/>
    <cellStyle name="Millares 5" xfId="15" xr:uid="{B57D5CC6-3E09-430F-A228-16DCADFFCC15}"/>
    <cellStyle name="Millares 5 2" xfId="34" xr:uid="{1C4CCF02-C474-4B34-A5FE-45EA9F227AFA}"/>
    <cellStyle name="Millares 6" xfId="16" xr:uid="{A45D0FD3-703F-4989-B64E-47E0756210C5}"/>
    <cellStyle name="Millares 6 2" xfId="35" xr:uid="{6A594710-EC3E-4A46-9BD3-44BD39E3566E}"/>
    <cellStyle name="Millares 7" xfId="17" xr:uid="{2CA3CCA7-2ACE-4C7B-B71C-AD3C0D227AEB}"/>
    <cellStyle name="Millares 7 2" xfId="36" xr:uid="{8BE98190-932E-4A71-9F27-D89A5B5FA111}"/>
    <cellStyle name="Millares 8" xfId="18" xr:uid="{94DAA2C0-6A35-4BAC-9F9E-7D698DD79A3F}"/>
    <cellStyle name="Millares 8 2" xfId="37" xr:uid="{C1D7ABC8-C95D-4FF1-80C0-39A34ABCA6D0}"/>
    <cellStyle name="Millares 9" xfId="19" xr:uid="{5CAE7653-68EB-4E84-A455-991A59C2DEB9}"/>
    <cellStyle name="Millares 9 2" xfId="38" xr:uid="{4F7698AD-390F-4379-A991-F842C867C3C4}"/>
    <cellStyle name="Normal" xfId="0" builtinId="0"/>
    <cellStyle name="Normal 10 3 3" xfId="11" xr:uid="{00000000-0005-0000-0000-000004000000}"/>
    <cellStyle name="Normal 2 2 2" xfId="10" xr:uid="{00000000-0005-0000-0000-000005000000}"/>
    <cellStyle name="Normal 3" xfId="48" xr:uid="{F9BFAA47-FAFB-4166-807B-58DA4256919E}"/>
    <cellStyle name="Normal 3 2 5" xfId="30" xr:uid="{00000000-0005-0000-0000-000005000000}"/>
    <cellStyle name="Normal 4 2" xfId="29" xr:uid="{00000000-0005-0000-0000-000006000000}"/>
    <cellStyle name="Normal 4 2 2" xfId="4" xr:uid="{00000000-0005-0000-0000-000006000000}"/>
    <cellStyle name="Normal 5 2" xfId="5" xr:uid="{00000000-0005-0000-0000-000007000000}"/>
    <cellStyle name="Normal 6" xfId="9" xr:uid="{00000000-0005-0000-0000-000008000000}"/>
    <cellStyle name="Normal 6 2" xfId="51" xr:uid="{372CDF21-ACD0-4C3F-85B7-3653F71E9F80}"/>
    <cellStyle name="Normal 6 2 2" xfId="3" xr:uid="{00000000-0005-0000-0000-000009000000}"/>
    <cellStyle name="Normal 7 2 2" xfId="8" xr:uid="{00000000-0005-0000-0000-00000A000000}"/>
    <cellStyle name="Normal 8" xfId="6" xr:uid="{00000000-0005-0000-0000-00000B000000}"/>
    <cellStyle name="Normal 9" xfId="28" xr:uid="{00000000-0005-0000-0000-00000C000000}"/>
    <cellStyle name="Normal 9 2" xfId="2" xr:uid="{00000000-0005-0000-0000-00000C000000}"/>
    <cellStyle name="Normal 9 3" xfId="49" xr:uid="{6AAE5B11-F429-4765-B61A-DFA329EE80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AD45574C-7E18-4556-9E00-2DA5C3DD7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46E0-A65A-4E16-AEDC-CDF3B492ED44}">
  <dimension ref="A1:T27"/>
  <sheetViews>
    <sheetView showGridLines="0" tabSelected="1" workbookViewId="0"/>
  </sheetViews>
  <sheetFormatPr baseColWidth="10" defaultColWidth="11.42578125" defaultRowHeight="14.25"/>
  <cols>
    <col min="1" max="1" width="1.7109375" style="6" customWidth="1"/>
    <col min="2" max="2" width="20.28515625" style="6" customWidth="1"/>
    <col min="3" max="3" width="17.42578125" style="6" customWidth="1"/>
    <col min="4" max="14" width="11.42578125" style="6"/>
    <col min="15" max="15" width="1.5703125" style="6" customWidth="1"/>
    <col min="16" max="16384" width="11.42578125" style="6"/>
  </cols>
  <sheetData>
    <row r="1" spans="1:20" s="1" customFormat="1" ht="20.100000000000001" customHeight="1">
      <c r="A1" s="7"/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s="1" customFormat="1" ht="20.100000000000001" customHeight="1">
      <c r="A2" s="9"/>
      <c r="B2" s="237" t="s">
        <v>114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9"/>
      <c r="P2" s="9"/>
      <c r="Q2" s="9"/>
      <c r="R2" s="9"/>
      <c r="S2" s="9"/>
      <c r="T2" s="9"/>
    </row>
    <row r="3" spans="1:20" s="1" customFormat="1" ht="20.100000000000001" customHeight="1">
      <c r="A3" s="9"/>
      <c r="B3" s="238" t="s">
        <v>115</v>
      </c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9"/>
      <c r="P3" s="9"/>
      <c r="Q3" s="9"/>
      <c r="R3" s="9"/>
      <c r="S3" s="9"/>
      <c r="T3" s="9"/>
    </row>
    <row r="4" spans="1:20" ht="6.95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</row>
    <row r="5" spans="1:20" ht="20.100000000000001" customHeight="1">
      <c r="A5" s="239" t="s">
        <v>157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12"/>
      <c r="P5" s="10"/>
      <c r="Q5" s="10"/>
      <c r="R5" s="10"/>
      <c r="S5" s="10"/>
      <c r="T5" s="10"/>
    </row>
    <row r="6" spans="1:20" ht="6.95" customHeight="1">
      <c r="A6" s="13"/>
      <c r="B6" s="12" t="s">
        <v>116</v>
      </c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10"/>
      <c r="Q6" s="10"/>
      <c r="R6" s="10"/>
      <c r="S6" s="10"/>
      <c r="T6" s="15"/>
    </row>
    <row r="7" spans="1:20" ht="20.100000000000001" customHeight="1">
      <c r="A7" s="13"/>
      <c r="B7" s="240" t="s">
        <v>116</v>
      </c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13"/>
      <c r="P7" s="10"/>
      <c r="Q7" s="10"/>
      <c r="R7" s="10"/>
      <c r="S7" s="10"/>
      <c r="T7" s="10"/>
    </row>
    <row r="8" spans="1:20" ht="20.100000000000001" customHeight="1">
      <c r="A8" s="16"/>
      <c r="B8" s="17" t="s">
        <v>166</v>
      </c>
      <c r="C8" s="18"/>
      <c r="D8" s="16"/>
      <c r="E8" s="16"/>
      <c r="F8" s="16"/>
      <c r="G8" s="16"/>
      <c r="H8" s="16"/>
      <c r="I8" s="16"/>
      <c r="J8" s="16"/>
      <c r="K8" s="16"/>
      <c r="L8" s="16"/>
      <c r="M8" s="241" t="str">
        <f>CONCATENATE("Total de tabulados: ", COUNTIF(C11:C23,"&lt;&gt;"))</f>
        <v>Total de tabulados: 13</v>
      </c>
      <c r="N8" s="241"/>
      <c r="O8" s="16"/>
      <c r="P8" s="10"/>
      <c r="Q8" s="10"/>
      <c r="R8" s="10"/>
      <c r="S8" s="10"/>
      <c r="T8" s="10"/>
    </row>
    <row r="9" spans="1:20" ht="6.95" customHeight="1" thickBo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15.75" thickBot="1">
      <c r="A10" s="10"/>
      <c r="B10" s="19" t="s">
        <v>117</v>
      </c>
      <c r="C10" s="20" t="s">
        <v>118</v>
      </c>
      <c r="D10" s="235" t="s">
        <v>119</v>
      </c>
      <c r="E10" s="235"/>
      <c r="F10" s="235"/>
      <c r="G10" s="235"/>
      <c r="H10" s="235"/>
      <c r="I10" s="235"/>
      <c r="J10" s="235"/>
      <c r="K10" s="235"/>
      <c r="L10" s="235"/>
      <c r="M10" s="235"/>
      <c r="N10" s="236"/>
      <c r="O10" s="10"/>
      <c r="P10" s="10"/>
      <c r="Q10" s="10"/>
      <c r="R10" s="10"/>
      <c r="S10" s="10"/>
      <c r="T10" s="10"/>
    </row>
    <row r="11" spans="1:20" ht="39.950000000000003" customHeight="1">
      <c r="A11" s="10"/>
      <c r="B11" s="248" t="s">
        <v>120</v>
      </c>
      <c r="C11" s="21" t="s">
        <v>121</v>
      </c>
      <c r="D11" s="242" t="s">
        <v>127</v>
      </c>
      <c r="E11" s="243"/>
      <c r="F11" s="243"/>
      <c r="G11" s="243"/>
      <c r="H11" s="243"/>
      <c r="I11" s="243"/>
      <c r="J11" s="243"/>
      <c r="K11" s="243"/>
      <c r="L11" s="243"/>
      <c r="M11" s="243"/>
      <c r="N11" s="244"/>
      <c r="O11" s="22"/>
      <c r="P11" s="22"/>
      <c r="Q11" s="22"/>
      <c r="R11" s="22"/>
      <c r="S11" s="22"/>
      <c r="T11" s="22"/>
    </row>
    <row r="12" spans="1:20" ht="39.950000000000003" customHeight="1">
      <c r="A12" s="10"/>
      <c r="B12" s="249"/>
      <c r="C12" s="23" t="s">
        <v>122</v>
      </c>
      <c r="D12" s="242" t="s">
        <v>128</v>
      </c>
      <c r="E12" s="243"/>
      <c r="F12" s="243"/>
      <c r="G12" s="243"/>
      <c r="H12" s="243"/>
      <c r="I12" s="243"/>
      <c r="J12" s="243"/>
      <c r="K12" s="243"/>
      <c r="L12" s="243"/>
      <c r="M12" s="243"/>
      <c r="N12" s="244"/>
      <c r="O12" s="22"/>
      <c r="P12" s="22"/>
      <c r="Q12" s="22"/>
      <c r="R12" s="22"/>
      <c r="S12" s="22"/>
      <c r="T12" s="22"/>
    </row>
    <row r="13" spans="1:20" ht="39.950000000000003" customHeight="1">
      <c r="A13" s="10"/>
      <c r="B13" s="249"/>
      <c r="C13" s="23" t="s">
        <v>53</v>
      </c>
      <c r="D13" s="242" t="s">
        <v>129</v>
      </c>
      <c r="E13" s="243"/>
      <c r="F13" s="243"/>
      <c r="G13" s="243"/>
      <c r="H13" s="243"/>
      <c r="I13" s="243"/>
      <c r="J13" s="243"/>
      <c r="K13" s="243"/>
      <c r="L13" s="243"/>
      <c r="M13" s="243"/>
      <c r="N13" s="244"/>
      <c r="O13" s="22"/>
      <c r="P13" s="22"/>
      <c r="Q13" s="22"/>
      <c r="R13" s="22"/>
      <c r="S13" s="22"/>
      <c r="T13" s="22"/>
    </row>
    <row r="14" spans="1:20" ht="39.950000000000003" customHeight="1">
      <c r="A14" s="10"/>
      <c r="B14" s="249"/>
      <c r="C14" s="23" t="s">
        <v>54</v>
      </c>
      <c r="D14" s="242" t="s">
        <v>136</v>
      </c>
      <c r="E14" s="243"/>
      <c r="F14" s="243"/>
      <c r="G14" s="243"/>
      <c r="H14" s="243"/>
      <c r="I14" s="243"/>
      <c r="J14" s="243"/>
      <c r="K14" s="243"/>
      <c r="L14" s="243"/>
      <c r="M14" s="243"/>
      <c r="N14" s="244"/>
      <c r="O14" s="22"/>
      <c r="P14" s="22"/>
      <c r="Q14" s="22"/>
      <c r="R14" s="22"/>
      <c r="S14" s="22"/>
      <c r="T14" s="22"/>
    </row>
    <row r="15" spans="1:20" ht="39.950000000000003" customHeight="1">
      <c r="A15" s="10"/>
      <c r="B15" s="249"/>
      <c r="C15" s="23" t="s">
        <v>55</v>
      </c>
      <c r="D15" s="242" t="s">
        <v>139</v>
      </c>
      <c r="E15" s="243"/>
      <c r="F15" s="243"/>
      <c r="G15" s="243"/>
      <c r="H15" s="243"/>
      <c r="I15" s="243"/>
      <c r="J15" s="243"/>
      <c r="K15" s="243"/>
      <c r="L15" s="243"/>
      <c r="M15" s="243"/>
      <c r="N15" s="244"/>
      <c r="O15" s="22"/>
      <c r="P15" s="22"/>
      <c r="Q15" s="22"/>
      <c r="R15" s="22"/>
      <c r="S15" s="22"/>
      <c r="T15" s="22"/>
    </row>
    <row r="16" spans="1:20" ht="39.950000000000003" customHeight="1">
      <c r="A16" s="10"/>
      <c r="B16" s="249"/>
      <c r="C16" s="23" t="s">
        <v>56</v>
      </c>
      <c r="D16" s="251" t="s">
        <v>140</v>
      </c>
      <c r="E16" s="252"/>
      <c r="F16" s="252"/>
      <c r="G16" s="252"/>
      <c r="H16" s="252"/>
      <c r="I16" s="252"/>
      <c r="J16" s="252"/>
      <c r="K16" s="252"/>
      <c r="L16" s="252"/>
      <c r="M16" s="252"/>
      <c r="N16" s="253"/>
      <c r="O16" s="22"/>
      <c r="P16" s="22"/>
      <c r="Q16" s="22"/>
      <c r="R16" s="22"/>
      <c r="S16" s="22"/>
      <c r="T16" s="22"/>
    </row>
    <row r="17" spans="1:20" ht="39.950000000000003" customHeight="1">
      <c r="A17" s="10"/>
      <c r="B17" s="249"/>
      <c r="C17" s="23" t="s">
        <v>57</v>
      </c>
      <c r="D17" s="251" t="s">
        <v>142</v>
      </c>
      <c r="E17" s="252"/>
      <c r="F17" s="252"/>
      <c r="G17" s="252"/>
      <c r="H17" s="252"/>
      <c r="I17" s="252"/>
      <c r="J17" s="252"/>
      <c r="K17" s="252"/>
      <c r="L17" s="252"/>
      <c r="M17" s="252"/>
      <c r="N17" s="253"/>
      <c r="O17" s="22"/>
      <c r="P17" s="22"/>
      <c r="Q17" s="22"/>
      <c r="R17" s="22"/>
      <c r="S17" s="22"/>
      <c r="T17" s="22"/>
    </row>
    <row r="18" spans="1:20" ht="39.950000000000003" customHeight="1">
      <c r="A18" s="10"/>
      <c r="B18" s="249"/>
      <c r="C18" s="23" t="s">
        <v>58</v>
      </c>
      <c r="D18" s="242" t="s">
        <v>146</v>
      </c>
      <c r="E18" s="243"/>
      <c r="F18" s="243"/>
      <c r="G18" s="243"/>
      <c r="H18" s="243"/>
      <c r="I18" s="243"/>
      <c r="J18" s="243"/>
      <c r="K18" s="243"/>
      <c r="L18" s="243"/>
      <c r="M18" s="243"/>
      <c r="N18" s="244"/>
      <c r="O18" s="22"/>
      <c r="P18" s="22"/>
      <c r="Q18" s="22"/>
      <c r="R18" s="22"/>
      <c r="S18" s="22"/>
      <c r="T18" s="22"/>
    </row>
    <row r="19" spans="1:20" ht="39.950000000000003" customHeight="1">
      <c r="A19" s="10"/>
      <c r="B19" s="249"/>
      <c r="C19" s="23" t="s">
        <v>59</v>
      </c>
      <c r="D19" s="242" t="s">
        <v>149</v>
      </c>
      <c r="E19" s="243"/>
      <c r="F19" s="243"/>
      <c r="G19" s="243"/>
      <c r="H19" s="243"/>
      <c r="I19" s="243"/>
      <c r="J19" s="243"/>
      <c r="K19" s="243"/>
      <c r="L19" s="243"/>
      <c r="M19" s="243"/>
      <c r="N19" s="244"/>
      <c r="O19" s="22"/>
      <c r="P19" s="22"/>
      <c r="Q19" s="22"/>
      <c r="R19" s="22"/>
      <c r="S19" s="22"/>
      <c r="T19" s="22"/>
    </row>
    <row r="20" spans="1:20" ht="39.950000000000003" customHeight="1">
      <c r="A20" s="10"/>
      <c r="B20" s="249"/>
      <c r="C20" s="23" t="s">
        <v>60</v>
      </c>
      <c r="D20" s="242" t="s">
        <v>150</v>
      </c>
      <c r="E20" s="243"/>
      <c r="F20" s="243"/>
      <c r="G20" s="243"/>
      <c r="H20" s="243"/>
      <c r="I20" s="243"/>
      <c r="J20" s="243"/>
      <c r="K20" s="243"/>
      <c r="L20" s="243"/>
      <c r="M20" s="243"/>
      <c r="N20" s="244"/>
      <c r="O20" s="22"/>
      <c r="P20" s="22"/>
      <c r="Q20" s="22"/>
      <c r="R20" s="22"/>
      <c r="S20" s="22"/>
      <c r="T20" s="22"/>
    </row>
    <row r="21" spans="1:20" ht="39.950000000000003" customHeight="1">
      <c r="A21" s="10"/>
      <c r="B21" s="249"/>
      <c r="C21" s="23" t="s">
        <v>61</v>
      </c>
      <c r="D21" s="242" t="s">
        <v>130</v>
      </c>
      <c r="E21" s="243"/>
      <c r="F21" s="243"/>
      <c r="G21" s="243"/>
      <c r="H21" s="243"/>
      <c r="I21" s="243"/>
      <c r="J21" s="243"/>
      <c r="K21" s="243"/>
      <c r="L21" s="243"/>
      <c r="M21" s="243"/>
      <c r="N21" s="244"/>
      <c r="O21" s="22"/>
      <c r="P21" s="22"/>
      <c r="Q21" s="22"/>
      <c r="R21" s="22"/>
      <c r="S21" s="22"/>
      <c r="T21" s="22"/>
    </row>
    <row r="22" spans="1:20" ht="39.950000000000003" customHeight="1">
      <c r="A22" s="10"/>
      <c r="B22" s="249"/>
      <c r="C22" s="23" t="s">
        <v>62</v>
      </c>
      <c r="D22" s="242" t="s">
        <v>123</v>
      </c>
      <c r="E22" s="243"/>
      <c r="F22" s="243"/>
      <c r="G22" s="243"/>
      <c r="H22" s="243"/>
      <c r="I22" s="243"/>
      <c r="J22" s="243"/>
      <c r="K22" s="243"/>
      <c r="L22" s="243"/>
      <c r="M22" s="243"/>
      <c r="N22" s="244"/>
      <c r="O22" s="22"/>
      <c r="P22" s="22"/>
      <c r="Q22" s="22"/>
      <c r="R22" s="22"/>
      <c r="S22" s="22"/>
      <c r="T22" s="22"/>
    </row>
    <row r="23" spans="1:20" ht="39.950000000000003" customHeight="1" thickBot="1">
      <c r="A23" s="10"/>
      <c r="B23" s="250"/>
      <c r="C23" s="24" t="s">
        <v>63</v>
      </c>
      <c r="D23" s="245" t="s">
        <v>154</v>
      </c>
      <c r="E23" s="246"/>
      <c r="F23" s="246"/>
      <c r="G23" s="246"/>
      <c r="H23" s="246"/>
      <c r="I23" s="246"/>
      <c r="J23" s="246"/>
      <c r="K23" s="246"/>
      <c r="L23" s="246"/>
      <c r="M23" s="246"/>
      <c r="N23" s="247"/>
      <c r="O23" s="10"/>
      <c r="P23" s="10"/>
      <c r="Q23" s="10"/>
      <c r="R23" s="10"/>
      <c r="S23" s="10"/>
      <c r="T23" s="10"/>
    </row>
    <row r="24" spans="1:20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>
      <c r="A25" s="10"/>
      <c r="B25" s="2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>
      <c r="A26" s="10"/>
      <c r="B26" s="2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>
      <c r="A27" s="10"/>
      <c r="B27" s="26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</sheetData>
  <mergeCells count="20">
    <mergeCell ref="D20:N20"/>
    <mergeCell ref="D21:N21"/>
    <mergeCell ref="D22:N22"/>
    <mergeCell ref="D23:N23"/>
    <mergeCell ref="B11:B23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10:N10"/>
    <mergeCell ref="B2:N2"/>
    <mergeCell ref="B3:N3"/>
    <mergeCell ref="A5:N5"/>
    <mergeCell ref="B7:N7"/>
    <mergeCell ref="M8:N8"/>
  </mergeCells>
  <hyperlinks>
    <hyperlink ref="C11" location="'Cuadro 6.1'!A1" tooltip="Ir a Cuadro 6.1" display="Cuadro 6.1" xr:uid="{07491854-1FB7-4901-8018-4530F899151D}"/>
    <hyperlink ref="C23" location="'Cuadro 6.13'!A1" tooltip="Ir a Cuadro 6.13" display="Cuadro 6.13" xr:uid="{8EC1AB7A-DA20-461C-BD7D-28667FD15716}"/>
    <hyperlink ref="C12" location="'Cuadro 6.2'!A1" tooltip="Ir a Cuadro 6.2" display="Cuadro 6.2" xr:uid="{C93663A3-61CB-41A7-B3EC-AC326FEB81C1}"/>
    <hyperlink ref="C13" location="'Cuadro 6.3'!A1" tooltip="Ir a Cuadro 6.3" display="Cuadro 6.3" xr:uid="{88DA6A03-8617-4E73-9462-89FBA52D29A4}"/>
    <hyperlink ref="C14" location="'Cuadro 6.4'!A1" tooltip="Ir a Cuadro 6.4" display="Cuadro 6.4" xr:uid="{184F9A69-9C92-41A2-A5FA-63BA559946B0}"/>
    <hyperlink ref="C15" location="'Cuadro 6.5'!A1" tooltip="Ir a Cuadro 6.5" display="Cuadro 6.5" xr:uid="{FC0B092A-D180-413A-91EA-3E5E34BCFFC0}"/>
    <hyperlink ref="C16" location="'Cuadro 6.6'!A1" tooltip="Ir a Cuadro 6.6" display="Cuadro 6.6" xr:uid="{35F5CC27-B1AF-4125-AB2E-CBFBCE80D14D}"/>
    <hyperlink ref="C17" location="'Cuadro 6.7'!A1" tooltip="Ir a Cuadro 6.7" display="Cuadro 6.7" xr:uid="{F1DCBCBC-EC15-4E79-85F3-7B925DADDBF0}"/>
    <hyperlink ref="C18" location="'Cuadro 6.8'!A1" tooltip="Ir a Cuadro 6.8" display="Cuadro 6.8" xr:uid="{3C3BC9EB-AA8F-4016-BC32-A6FE31FC0833}"/>
    <hyperlink ref="C19" location="'Cuadro 6.9'!A1" tooltip="Ir a Cuadro 6.9" display="Cuadro 6.9" xr:uid="{9F58FF4D-2EFF-46C8-B874-665992364BB7}"/>
    <hyperlink ref="C20" location="'Cuadro 6.10'!A1" tooltip="Ir a Cuadro 6.10" display="Cuadro 6.10" xr:uid="{10B945F1-16C2-466B-B081-7DD7CBFD8543}"/>
    <hyperlink ref="C21" location="'Cuadro 6.11'!A1" tooltip="Ir a Cuadro 6.11" display="Cuadro 6.11" xr:uid="{55A051A9-1F60-47EA-9A68-0FBADB3FE2AC}"/>
    <hyperlink ref="C22" location="'Cuadro 6.12'!A1" tooltip="Ir a Cuadro 6.12" display="Cuadro 6.12" xr:uid="{DC16CBAD-3C1A-4544-B1BB-D4684997980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3B8B-2A49-48F3-A236-6366C3995495}">
  <dimension ref="A1:W4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32"/>
      <c r="C4" s="32"/>
      <c r="D4" s="32"/>
      <c r="E4" s="32"/>
      <c r="F4" s="32"/>
      <c r="G4" s="33"/>
      <c r="H4" s="33"/>
      <c r="I4" s="33"/>
      <c r="J4" s="33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>
      <c r="A5" s="30"/>
      <c r="B5" s="34" t="s">
        <v>127</v>
      </c>
      <c r="C5" s="34"/>
      <c r="D5" s="34"/>
      <c r="E5" s="34"/>
      <c r="F5" s="34"/>
      <c r="G5" s="33"/>
      <c r="H5" s="33"/>
      <c r="I5" s="33"/>
      <c r="J5" s="33"/>
      <c r="K5" s="35" t="s">
        <v>51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30"/>
      <c r="C6" s="30"/>
      <c r="D6" s="30"/>
      <c r="E6" s="30"/>
      <c r="F6" s="30"/>
      <c r="G6" s="36"/>
      <c r="H6" s="36"/>
      <c r="I6" s="36"/>
      <c r="J6" s="36"/>
      <c r="K6" s="37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58" t="s">
        <v>101</v>
      </c>
      <c r="C7" s="38"/>
      <c r="D7" s="255" t="s">
        <v>131</v>
      </c>
      <c r="E7" s="255"/>
      <c r="F7" s="39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44"/>
      <c r="C10" s="44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46" t="s">
        <v>1</v>
      </c>
      <c r="C11" s="46"/>
      <c r="D11" s="47">
        <v>88168959.549554095</v>
      </c>
      <c r="E11" s="48">
        <v>100</v>
      </c>
      <c r="F11" s="49"/>
      <c r="G11" s="47">
        <v>47788866.463474698</v>
      </c>
      <c r="H11" s="48">
        <v>100</v>
      </c>
      <c r="I11" s="50"/>
      <c r="J11" s="47">
        <v>41315778.788891397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46"/>
      <c r="C12" s="46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52" t="s">
        <v>2</v>
      </c>
      <c r="C13" s="52"/>
      <c r="D13" s="47">
        <v>48309566.1250939</v>
      </c>
      <c r="E13" s="48">
        <v>55.590516389439799</v>
      </c>
      <c r="F13" s="49"/>
      <c r="G13" s="47">
        <v>25725369.195678402</v>
      </c>
      <c r="H13" s="48">
        <v>54.837961554803599</v>
      </c>
      <c r="I13" s="50"/>
      <c r="J13" s="47">
        <v>23256423.4844262</v>
      </c>
      <c r="K13" s="48">
        <v>57.365948477948898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52"/>
      <c r="C14" s="52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55" t="s">
        <v>3</v>
      </c>
      <c r="C15" s="55"/>
      <c r="D15" s="53">
        <v>15592638.816571601</v>
      </c>
      <c r="E15" s="54">
        <v>32.819114119588498</v>
      </c>
      <c r="F15" s="56"/>
      <c r="G15" s="53">
        <v>8604580.7540504206</v>
      </c>
      <c r="H15" s="54">
        <v>34.2527044121383</v>
      </c>
      <c r="I15" s="30"/>
      <c r="J15" s="53">
        <v>7356477.3869581996</v>
      </c>
      <c r="K15" s="54">
        <v>32.465405467617899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55" t="s">
        <v>4</v>
      </c>
      <c r="C16" s="55"/>
      <c r="D16" s="53">
        <v>22916099.072471902</v>
      </c>
      <c r="E16" s="54">
        <v>48.340231977090397</v>
      </c>
      <c r="F16" s="56"/>
      <c r="G16" s="53">
        <v>12138203.4428859</v>
      </c>
      <c r="H16" s="54">
        <v>48.550331356375203</v>
      </c>
      <c r="I16" s="30"/>
      <c r="J16" s="53">
        <v>11182031.4060778</v>
      </c>
      <c r="K16" s="54">
        <v>49.385843535454597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55" t="s">
        <v>5</v>
      </c>
      <c r="C17" s="55"/>
      <c r="D17" s="53">
        <v>10897459.219055099</v>
      </c>
      <c r="E17" s="54">
        <v>23.0019698569631</v>
      </c>
      <c r="F17" s="56"/>
      <c r="G17" s="53">
        <v>5744080.3403431801</v>
      </c>
      <c r="H17" s="54">
        <v>23.0038259372844</v>
      </c>
      <c r="I17" s="30"/>
      <c r="J17" s="53">
        <v>5414799.6085248701</v>
      </c>
      <c r="K17" s="54">
        <v>24.025036277733001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55"/>
      <c r="C18" s="55"/>
      <c r="D18" s="53"/>
      <c r="E18" s="54"/>
      <c r="F18" s="56"/>
      <c r="G18" s="53"/>
      <c r="H18" s="54"/>
      <c r="I18" s="30"/>
      <c r="J18" s="53"/>
      <c r="K18" s="54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52" t="s">
        <v>6</v>
      </c>
      <c r="C19" s="52"/>
      <c r="D19" s="47">
        <v>40880836.3963992</v>
      </c>
      <c r="E19" s="48">
        <v>46.812402661346198</v>
      </c>
      <c r="F19" s="49"/>
      <c r="G19" s="47">
        <v>22724163.012420401</v>
      </c>
      <c r="H19" s="48">
        <v>48.329339511472</v>
      </c>
      <c r="I19" s="50"/>
      <c r="J19" s="47">
        <v>18656779.6688619</v>
      </c>
      <c r="K19" s="48">
        <v>45.958892497932602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57"/>
      <c r="C20" s="57"/>
      <c r="D20" s="22"/>
      <c r="E20" s="58"/>
      <c r="F20" s="57"/>
      <c r="G20" s="22"/>
      <c r="H20" s="58"/>
      <c r="I20" s="58"/>
      <c r="J20" s="22"/>
      <c r="K20" s="58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59" t="s">
        <v>7</v>
      </c>
      <c r="C21" s="46"/>
      <c r="D21" s="47">
        <v>31876327.629939102</v>
      </c>
      <c r="E21" s="48">
        <v>100</v>
      </c>
      <c r="F21" s="49"/>
      <c r="G21" s="47">
        <v>17557347.996399298</v>
      </c>
      <c r="H21" s="48">
        <v>100</v>
      </c>
      <c r="I21" s="50"/>
      <c r="J21" s="47">
        <v>14624214.675651999</v>
      </c>
      <c r="K21" s="48">
        <v>100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46"/>
      <c r="C22" s="46"/>
      <c r="D22" s="30"/>
      <c r="E22" s="30"/>
      <c r="F22" s="51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52" t="s">
        <v>2</v>
      </c>
      <c r="C23" s="52"/>
      <c r="D23" s="47">
        <v>14990369.042065401</v>
      </c>
      <c r="E23" s="48">
        <v>48.7486764200114</v>
      </c>
      <c r="F23" s="49"/>
      <c r="G23" s="47">
        <v>8243632.8785766698</v>
      </c>
      <c r="H23" s="48">
        <v>48.840311285350097</v>
      </c>
      <c r="I23" s="50"/>
      <c r="J23" s="47">
        <v>7019289.19234249</v>
      </c>
      <c r="K23" s="48">
        <v>50.229896999638697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52"/>
      <c r="C24" s="52"/>
      <c r="D24" s="53"/>
      <c r="E24" s="54"/>
      <c r="F24" s="49"/>
      <c r="G24" s="53"/>
      <c r="H24" s="54"/>
      <c r="I24" s="50"/>
      <c r="J24" s="53"/>
      <c r="K24" s="54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55" t="s">
        <v>3</v>
      </c>
      <c r="C25" s="55"/>
      <c r="D25" s="53">
        <v>6663585.1466269204</v>
      </c>
      <c r="E25" s="54">
        <v>46.817890299468601</v>
      </c>
      <c r="F25" s="56"/>
      <c r="G25" s="53">
        <v>3512043.4478755798</v>
      </c>
      <c r="H25" s="54">
        <v>45.209850797798502</v>
      </c>
      <c r="I25" s="30"/>
      <c r="J25" s="53">
        <v>3321988.3690645699</v>
      </c>
      <c r="K25" s="54">
        <v>50.389020348241701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55" t="s">
        <v>4</v>
      </c>
      <c r="C26" s="55"/>
      <c r="D26" s="53">
        <v>5299088.3696313901</v>
      </c>
      <c r="E26" s="54">
        <v>37.252311568925002</v>
      </c>
      <c r="F26" s="56"/>
      <c r="G26" s="53">
        <v>3006189.5459353798</v>
      </c>
      <c r="H26" s="54">
        <v>39.264927599944301</v>
      </c>
      <c r="I26" s="30"/>
      <c r="J26" s="53">
        <v>2468394.9487787401</v>
      </c>
      <c r="K26" s="54">
        <v>37.185977658856899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55" t="s">
        <v>5</v>
      </c>
      <c r="C27" s="55"/>
      <c r="D27" s="53">
        <v>3491867.8277889201</v>
      </c>
      <c r="E27" s="54">
        <v>24.248287556716701</v>
      </c>
      <c r="F27" s="56"/>
      <c r="G27" s="53">
        <v>2051739.46600057</v>
      </c>
      <c r="H27" s="54">
        <v>26.04500174524</v>
      </c>
      <c r="I27" s="30"/>
      <c r="J27" s="53">
        <v>1569472.66433151</v>
      </c>
      <c r="K27" s="54">
        <v>24.116408027151099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55"/>
      <c r="C28" s="55"/>
      <c r="D28" s="53"/>
      <c r="E28" s="54"/>
      <c r="F28" s="56"/>
      <c r="G28" s="53"/>
      <c r="H28" s="54"/>
      <c r="I28" s="30"/>
      <c r="J28" s="53"/>
      <c r="K28" s="54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52" t="s">
        <v>6</v>
      </c>
      <c r="C29" s="52"/>
      <c r="D29" s="47">
        <v>17363474.812582899</v>
      </c>
      <c r="E29" s="48">
        <v>56.105071488749601</v>
      </c>
      <c r="F29" s="49"/>
      <c r="G29" s="47">
        <v>9669739.4400355909</v>
      </c>
      <c r="H29" s="48">
        <v>57.224151584068402</v>
      </c>
      <c r="I29" s="50"/>
      <c r="J29" s="47">
        <v>7926203.6713364199</v>
      </c>
      <c r="K29" s="48">
        <v>56.345933143791903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57"/>
      <c r="C30" s="57"/>
      <c r="D30" s="22"/>
      <c r="E30" s="58"/>
      <c r="F30" s="57"/>
      <c r="G30" s="22"/>
      <c r="H30" s="58"/>
      <c r="I30" s="58"/>
      <c r="J30" s="22"/>
      <c r="K30" s="58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59" t="s">
        <v>8</v>
      </c>
      <c r="C31" s="46"/>
      <c r="D31" s="47">
        <v>58722602.216376103</v>
      </c>
      <c r="E31" s="48">
        <v>100</v>
      </c>
      <c r="F31" s="49"/>
      <c r="G31" s="47">
        <v>31539784.224373799</v>
      </c>
      <c r="H31" s="48">
        <v>100</v>
      </c>
      <c r="I31" s="50"/>
      <c r="J31" s="47">
        <v>27745562.505176</v>
      </c>
      <c r="K31" s="48">
        <v>100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46"/>
      <c r="C32" s="46"/>
      <c r="D32" s="30"/>
      <c r="E32" s="30"/>
      <c r="F32" s="5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52" t="s">
        <v>2</v>
      </c>
      <c r="C33" s="52"/>
      <c r="D33" s="47">
        <v>34597904.468652703</v>
      </c>
      <c r="E33" s="48">
        <v>59.9804550349237</v>
      </c>
      <c r="F33" s="49"/>
      <c r="G33" s="47">
        <v>18242092.079031799</v>
      </c>
      <c r="H33" s="48">
        <v>59.125211597903203</v>
      </c>
      <c r="I33" s="50"/>
      <c r="J33" s="47">
        <v>16808331.7405602</v>
      </c>
      <c r="K33" s="48">
        <v>62.067797532061199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52"/>
      <c r="C34" s="60"/>
      <c r="D34" s="53"/>
      <c r="E34" s="54"/>
      <c r="F34" s="49"/>
      <c r="G34" s="53"/>
      <c r="H34" s="54"/>
      <c r="I34" s="5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.75" customHeight="1">
      <c r="A35" s="30"/>
      <c r="B35" s="55" t="s">
        <v>3</v>
      </c>
      <c r="C35" s="55"/>
      <c r="D35" s="53">
        <v>9441968.1809504498</v>
      </c>
      <c r="E35" s="54">
        <v>27.895833176202501</v>
      </c>
      <c r="F35" s="56"/>
      <c r="G35" s="53">
        <v>5423610.6871099696</v>
      </c>
      <c r="H35" s="54">
        <v>30.648334723833599</v>
      </c>
      <c r="I35" s="30"/>
      <c r="J35" s="53">
        <v>4306353.7153255101</v>
      </c>
      <c r="K35" s="54">
        <v>26.475249569667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55" t="s">
        <v>4</v>
      </c>
      <c r="C36" s="55"/>
      <c r="D36" s="53">
        <v>18128191.9753589</v>
      </c>
      <c r="E36" s="54">
        <v>53.799209434847803</v>
      </c>
      <c r="F36" s="56"/>
      <c r="G36" s="53">
        <v>9459515.0995517708</v>
      </c>
      <c r="H36" s="54">
        <v>53.795630617130399</v>
      </c>
      <c r="I36" s="30"/>
      <c r="J36" s="53">
        <v>8992793.1087346394</v>
      </c>
      <c r="K36" s="54">
        <v>55.317467459031903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55" t="s">
        <v>5</v>
      </c>
      <c r="C37" s="55"/>
      <c r="D37" s="53">
        <v>7786477.9406473497</v>
      </c>
      <c r="E37" s="54">
        <v>23.196271349121901</v>
      </c>
      <c r="F37" s="56"/>
      <c r="G37" s="53">
        <v>3931772.0168545502</v>
      </c>
      <c r="H37" s="54">
        <v>22.575040175257399</v>
      </c>
      <c r="I37" s="30"/>
      <c r="J37" s="53">
        <v>4055521.2390632401</v>
      </c>
      <c r="K37" s="54">
        <v>25.015262554289201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55"/>
      <c r="C38" s="55"/>
      <c r="D38" s="53"/>
      <c r="E38" s="54"/>
      <c r="F38" s="56"/>
      <c r="G38" s="53"/>
      <c r="H38" s="54"/>
      <c r="I38" s="30"/>
      <c r="J38" s="53"/>
      <c r="K38" s="54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52" t="s">
        <v>6</v>
      </c>
      <c r="C39" s="52"/>
      <c r="D39" s="47">
        <v>24635272.235896099</v>
      </c>
      <c r="E39" s="48">
        <v>42.698100092917898</v>
      </c>
      <c r="F39" s="49"/>
      <c r="G39" s="47">
        <v>13684007.6597171</v>
      </c>
      <c r="H39" s="48">
        <v>44.535696243573199</v>
      </c>
      <c r="I39" s="50"/>
      <c r="J39" s="47">
        <v>11313419.061619001</v>
      </c>
      <c r="K39" s="48">
        <v>41.733110245710499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61"/>
      <c r="C40" s="61"/>
      <c r="D40" s="61"/>
      <c r="E40" s="61"/>
      <c r="F40" s="61"/>
      <c r="G40" s="62"/>
      <c r="H40" s="62"/>
      <c r="I40" s="62"/>
      <c r="J40" s="62"/>
      <c r="K40" s="62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6.95" customHeight="1">
      <c r="A41" s="30"/>
      <c r="B41" s="63"/>
      <c r="C41" s="63"/>
      <c r="D41" s="63"/>
      <c r="E41" s="63"/>
      <c r="F41" s="63"/>
      <c r="G41" s="64"/>
      <c r="H41" s="64"/>
      <c r="I41" s="64"/>
      <c r="J41" s="64"/>
      <c r="K41" s="64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2" customHeight="1">
      <c r="A42" s="30"/>
      <c r="B42" s="254" t="s">
        <v>102</v>
      </c>
      <c r="C42" s="254"/>
      <c r="D42" s="254"/>
      <c r="E42" s="254"/>
      <c r="F42" s="254"/>
      <c r="G42" s="254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</sheetData>
  <mergeCells count="6">
    <mergeCell ref="B42:G42"/>
    <mergeCell ref="D7:E8"/>
    <mergeCell ref="G7:K7"/>
    <mergeCell ref="G8:H8"/>
    <mergeCell ref="J8:K8"/>
    <mergeCell ref="B7:B9"/>
  </mergeCells>
  <hyperlinks>
    <hyperlink ref="K1" location="Índice!A1" tooltip="Ir a ÍNDICE" display="INDICE" xr:uid="{FCDD443C-56B9-4702-B4B9-5FDE28D26B96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31A0-EFB7-4056-8D75-6719CCC47088}">
  <dimension ref="A1:W49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65"/>
      <c r="F4" s="66"/>
      <c r="G4" s="66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67" t="s">
        <v>71</v>
      </c>
      <c r="C5" s="67"/>
      <c r="D5" s="67"/>
      <c r="E5" s="67"/>
      <c r="F5" s="66"/>
      <c r="G5" s="66"/>
      <c r="H5" s="30"/>
      <c r="I5" s="30"/>
      <c r="J5" s="30"/>
      <c r="K5" s="35" t="s">
        <v>52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68"/>
      <c r="C6" s="68"/>
      <c r="D6" s="68"/>
      <c r="E6" s="68"/>
      <c r="F6" s="69"/>
      <c r="G6" s="6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103</v>
      </c>
      <c r="C7" s="70"/>
      <c r="D7" s="262" t="s">
        <v>131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88168959.549554095</v>
      </c>
      <c r="E11" s="48">
        <v>100</v>
      </c>
      <c r="F11" s="49"/>
      <c r="G11" s="47">
        <v>47788866.463474698</v>
      </c>
      <c r="H11" s="48">
        <v>100</v>
      </c>
      <c r="I11" s="50"/>
      <c r="J11" s="47">
        <v>41315778.788891397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2"/>
      <c r="C12" s="72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74" t="s">
        <v>9</v>
      </c>
      <c r="C13" s="75"/>
      <c r="D13" s="47">
        <v>26028543.504664201</v>
      </c>
      <c r="E13" s="48">
        <v>29.960452671841502</v>
      </c>
      <c r="F13" s="49"/>
      <c r="G13" s="47">
        <v>14048298.3525832</v>
      </c>
      <c r="H13" s="48">
        <v>30.0088580538781</v>
      </c>
      <c r="I13" s="50"/>
      <c r="J13" s="47">
        <v>12452611.3465089</v>
      </c>
      <c r="K13" s="48">
        <v>30.777749696845099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75"/>
      <c r="C14" s="75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76" t="s">
        <v>10</v>
      </c>
      <c r="C15" s="77"/>
      <c r="D15" s="53">
        <v>5550437.7481503598</v>
      </c>
      <c r="E15" s="54">
        <v>21.9171662687185</v>
      </c>
      <c r="F15" s="56"/>
      <c r="G15" s="53">
        <v>2567118.23538402</v>
      </c>
      <c r="H15" s="54">
        <v>19.072824346654901</v>
      </c>
      <c r="I15" s="30"/>
      <c r="J15" s="53">
        <v>3177846.0453709499</v>
      </c>
      <c r="K15" s="54">
        <v>26.533513873938801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76" t="s">
        <v>11</v>
      </c>
      <c r="C16" s="77"/>
      <c r="D16" s="53">
        <v>2519281.74719497</v>
      </c>
      <c r="E16" s="54">
        <v>10.0554145769025</v>
      </c>
      <c r="F16" s="56"/>
      <c r="G16" s="53">
        <v>1368955.51764973</v>
      </c>
      <c r="H16" s="54">
        <v>10.307907971812501</v>
      </c>
      <c r="I16" s="30"/>
      <c r="J16" s="53">
        <v>1277102.7124371801</v>
      </c>
      <c r="K16" s="54">
        <v>10.795851818691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76" t="s">
        <v>64</v>
      </c>
      <c r="C17" s="77"/>
      <c r="D17" s="53">
        <v>10397991.8083273</v>
      </c>
      <c r="E17" s="54">
        <v>41.194882948195399</v>
      </c>
      <c r="F17" s="56"/>
      <c r="G17" s="53">
        <v>5133647.6774194399</v>
      </c>
      <c r="H17" s="54">
        <v>38.378853773500097</v>
      </c>
      <c r="I17" s="30"/>
      <c r="J17" s="53">
        <v>5504943.4070159998</v>
      </c>
      <c r="K17" s="54">
        <v>46.018352563952099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76" t="s">
        <v>12</v>
      </c>
      <c r="C18" s="77"/>
      <c r="D18" s="53">
        <v>18124978.045937601</v>
      </c>
      <c r="E18" s="54">
        <v>70.896319841110696</v>
      </c>
      <c r="F18" s="56"/>
      <c r="G18" s="53">
        <v>10206403.781584401</v>
      </c>
      <c r="H18" s="54">
        <v>74.402701723127805</v>
      </c>
      <c r="I18" s="30"/>
      <c r="J18" s="53">
        <v>8283443.4161358103</v>
      </c>
      <c r="K18" s="54">
        <v>68.614807710512196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76" t="s">
        <v>13</v>
      </c>
      <c r="C19" s="77"/>
      <c r="D19" s="53">
        <v>148596.49632917001</v>
      </c>
      <c r="E19" s="54">
        <v>0.59242432896761199</v>
      </c>
      <c r="F19" s="56"/>
      <c r="G19" s="53">
        <v>122513.534699097</v>
      </c>
      <c r="H19" s="54">
        <v>0.92359138672442098</v>
      </c>
      <c r="I19" s="30"/>
      <c r="J19" s="53">
        <v>40848.939183720802</v>
      </c>
      <c r="K19" s="54">
        <v>0.347272201816958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77"/>
      <c r="C20" s="77"/>
      <c r="D20" s="22"/>
      <c r="E20" s="78"/>
      <c r="F20" s="79"/>
      <c r="G20" s="22"/>
      <c r="H20" s="78"/>
      <c r="I20" s="79"/>
      <c r="J20" s="22"/>
      <c r="K20" s="78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74" t="s">
        <v>14</v>
      </c>
      <c r="C21" s="80"/>
      <c r="D21" s="47">
        <v>63070981.202014603</v>
      </c>
      <c r="E21" s="48">
        <v>72.166949538298795</v>
      </c>
      <c r="F21" s="49"/>
      <c r="G21" s="47">
        <v>34376235.899842702</v>
      </c>
      <c r="H21" s="48">
        <v>72.953039664229607</v>
      </c>
      <c r="I21" s="50"/>
      <c r="J21" s="47">
        <v>29375132.341669101</v>
      </c>
      <c r="K21" s="48">
        <v>72.1297245552053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81"/>
      <c r="C22" s="81"/>
      <c r="D22" s="22"/>
      <c r="E22" s="30"/>
      <c r="F22" s="82"/>
      <c r="G22" s="22"/>
      <c r="H22" s="30"/>
      <c r="I22" s="30"/>
      <c r="J22" s="22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83" t="s">
        <v>7</v>
      </c>
      <c r="C23" s="84"/>
      <c r="D23" s="47">
        <v>31876327.629939102</v>
      </c>
      <c r="E23" s="48">
        <v>100</v>
      </c>
      <c r="F23" s="49"/>
      <c r="G23" s="47">
        <v>17557347.996399298</v>
      </c>
      <c r="H23" s="48">
        <v>100</v>
      </c>
      <c r="I23" s="50"/>
      <c r="J23" s="47">
        <v>14624214.675651999</v>
      </c>
      <c r="K23" s="48">
        <v>100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84"/>
      <c r="C24" s="84"/>
      <c r="D24" s="30"/>
      <c r="E24" s="30"/>
      <c r="F24" s="51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74" t="s">
        <v>9</v>
      </c>
      <c r="C25" s="75"/>
      <c r="D25" s="47">
        <v>9945527.5430950206</v>
      </c>
      <c r="E25" s="48">
        <v>32.53704850842</v>
      </c>
      <c r="F25" s="49"/>
      <c r="G25" s="47">
        <v>5456326.0848903898</v>
      </c>
      <c r="H25" s="48">
        <v>32.576534534955101</v>
      </c>
      <c r="I25" s="50"/>
      <c r="J25" s="47">
        <v>4707259.8843229199</v>
      </c>
      <c r="K25" s="48">
        <v>33.916626657721103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75"/>
      <c r="C26" s="75"/>
      <c r="D26" s="53"/>
      <c r="E26" s="54"/>
      <c r="F26" s="49"/>
      <c r="G26" s="53"/>
      <c r="H26" s="54"/>
      <c r="I26" s="50"/>
      <c r="J26" s="53"/>
      <c r="K26" s="54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76" t="s">
        <v>10</v>
      </c>
      <c r="C27" s="77"/>
      <c r="D27" s="53">
        <v>1714758.05596968</v>
      </c>
      <c r="E27" s="54">
        <v>18.281680495019302</v>
      </c>
      <c r="F27" s="56"/>
      <c r="G27" s="53">
        <v>782396.38559498696</v>
      </c>
      <c r="H27" s="54">
        <v>15.585214795016199</v>
      </c>
      <c r="I27" s="30"/>
      <c r="J27" s="53">
        <v>1025802.2410681</v>
      </c>
      <c r="K27" s="54">
        <v>23.576839714048599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76" t="s">
        <v>11</v>
      </c>
      <c r="C28" s="77"/>
      <c r="D28" s="53">
        <v>502516.04566109902</v>
      </c>
      <c r="E28" s="54">
        <v>5.52113665853323</v>
      </c>
      <c r="F28" s="56"/>
      <c r="G28" s="53">
        <v>312066.34570938902</v>
      </c>
      <c r="H28" s="54">
        <v>6.43734736381474</v>
      </c>
      <c r="I28" s="30"/>
      <c r="J28" s="53">
        <v>222896.77756916801</v>
      </c>
      <c r="K28" s="54">
        <v>5.2159000067831096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76" t="s">
        <v>64</v>
      </c>
      <c r="C29" s="77"/>
      <c r="D29" s="53">
        <v>4561153.02757461</v>
      </c>
      <c r="E29" s="54">
        <v>48.104244261672399</v>
      </c>
      <c r="F29" s="56"/>
      <c r="G29" s="53">
        <v>2270896.3488539699</v>
      </c>
      <c r="H29" s="54">
        <v>45.585236426712001</v>
      </c>
      <c r="I29" s="30"/>
      <c r="J29" s="53">
        <v>2391891.4130093302</v>
      </c>
      <c r="K29" s="54">
        <v>53.913419008133999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76" t="s">
        <v>12</v>
      </c>
      <c r="C30" s="77"/>
      <c r="D30" s="53">
        <v>7489473.8331259498</v>
      </c>
      <c r="E30" s="54">
        <v>77.566683242990806</v>
      </c>
      <c r="F30" s="56"/>
      <c r="G30" s="53">
        <v>4194625.0835432401</v>
      </c>
      <c r="H30" s="54">
        <v>79.885149592776202</v>
      </c>
      <c r="I30" s="30"/>
      <c r="J30" s="53">
        <v>3495351.7466286402</v>
      </c>
      <c r="K30" s="54">
        <v>77.557906729505603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76" t="s">
        <v>13</v>
      </c>
      <c r="C31" s="77"/>
      <c r="D31" s="53">
        <v>55110.428919290098</v>
      </c>
      <c r="E31" s="54">
        <v>0.60774837866355802</v>
      </c>
      <c r="F31" s="56"/>
      <c r="G31" s="53">
        <v>41750.007622748002</v>
      </c>
      <c r="H31" s="54">
        <v>0.86309525498249495</v>
      </c>
      <c r="I31" s="30"/>
      <c r="J31" s="53">
        <v>22959.974335565701</v>
      </c>
      <c r="K31" s="54">
        <v>0.54309431825575705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77"/>
      <c r="C32" s="77"/>
      <c r="D32" s="22"/>
      <c r="E32" s="78"/>
      <c r="F32" s="79"/>
      <c r="G32" s="22"/>
      <c r="H32" s="78"/>
      <c r="I32" s="79"/>
      <c r="J32" s="22"/>
      <c r="K32" s="78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74" t="s">
        <v>14</v>
      </c>
      <c r="C33" s="80"/>
      <c r="D33" s="47">
        <v>22370348.400337599</v>
      </c>
      <c r="E33" s="48">
        <v>71.836049366937004</v>
      </c>
      <c r="F33" s="49"/>
      <c r="G33" s="47">
        <v>12467398.9863417</v>
      </c>
      <c r="H33" s="48">
        <v>73.336257953900002</v>
      </c>
      <c r="I33" s="50"/>
      <c r="J33" s="47">
        <v>10165353.898125701</v>
      </c>
      <c r="K33" s="48">
        <v>71.452204794226205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80"/>
      <c r="C34" s="80"/>
      <c r="D34" s="22"/>
      <c r="E34" s="30"/>
      <c r="F34" s="85"/>
      <c r="G34" s="22"/>
      <c r="H34" s="30"/>
      <c r="I34" s="30"/>
      <c r="J34" s="22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83" t="s">
        <v>8</v>
      </c>
      <c r="C35" s="84"/>
      <c r="D35" s="47">
        <v>58722602.216376103</v>
      </c>
      <c r="E35" s="48">
        <v>100</v>
      </c>
      <c r="F35" s="49"/>
      <c r="G35" s="47">
        <v>31539784.224373799</v>
      </c>
      <c r="H35" s="48">
        <v>100</v>
      </c>
      <c r="I35" s="50"/>
      <c r="J35" s="47">
        <v>27745562.505176</v>
      </c>
      <c r="K35" s="48">
        <v>100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84"/>
      <c r="C36" s="84"/>
      <c r="D36" s="30"/>
      <c r="E36" s="30"/>
      <c r="F36" s="5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74" t="s">
        <v>9</v>
      </c>
      <c r="C37" s="75"/>
      <c r="D37" s="47">
        <v>16904397.4580198</v>
      </c>
      <c r="E37" s="48">
        <v>29.367850714000699</v>
      </c>
      <c r="F37" s="49"/>
      <c r="G37" s="47">
        <v>9116670.0088043008</v>
      </c>
      <c r="H37" s="48">
        <v>29.666983911110101</v>
      </c>
      <c r="I37" s="50"/>
      <c r="J37" s="47">
        <v>8124602.1131545696</v>
      </c>
      <c r="K37" s="48">
        <v>30.1180099522117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75"/>
      <c r="C38" s="75"/>
      <c r="D38" s="53"/>
      <c r="E38" s="54"/>
      <c r="F38" s="49"/>
      <c r="G38" s="53"/>
      <c r="H38" s="54"/>
      <c r="I38" s="50"/>
      <c r="J38" s="53"/>
      <c r="K38" s="54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76" t="s">
        <v>10</v>
      </c>
      <c r="C39" s="77"/>
      <c r="D39" s="53">
        <v>4083717.7698905002</v>
      </c>
      <c r="E39" s="54">
        <v>25.236648923356402</v>
      </c>
      <c r="F39" s="56"/>
      <c r="G39" s="53">
        <v>1921907.3458070301</v>
      </c>
      <c r="H39" s="54">
        <v>22.3727273639625</v>
      </c>
      <c r="I39" s="30"/>
      <c r="J39" s="53">
        <v>2322331.8509601699</v>
      </c>
      <c r="K39" s="54">
        <v>30.096153086510601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15" customHeight="1">
      <c r="A40" s="30"/>
      <c r="B40" s="76" t="s">
        <v>11</v>
      </c>
      <c r="C40" s="77"/>
      <c r="D40" s="53">
        <v>2098141.3372994601</v>
      </c>
      <c r="E40" s="54">
        <v>13.051022146002</v>
      </c>
      <c r="F40" s="56"/>
      <c r="G40" s="53">
        <v>1116125.0459666699</v>
      </c>
      <c r="H40" s="54">
        <v>13.1624261161798</v>
      </c>
      <c r="I40" s="30"/>
      <c r="J40" s="53">
        <v>1103339.4189000099</v>
      </c>
      <c r="K40" s="54">
        <v>14.506595640250501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76" t="s">
        <v>64</v>
      </c>
      <c r="C41" s="77"/>
      <c r="D41" s="53">
        <v>6250546.0265554003</v>
      </c>
      <c r="E41" s="54">
        <v>38.594094422114999</v>
      </c>
      <c r="F41" s="56"/>
      <c r="G41" s="53">
        <v>3114202.4312951001</v>
      </c>
      <c r="H41" s="54">
        <v>36.104813513716103</v>
      </c>
      <c r="I41" s="30"/>
      <c r="J41" s="53">
        <v>3342322.9993666401</v>
      </c>
      <c r="K41" s="54">
        <v>43.4490522449683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76" t="s">
        <v>12</v>
      </c>
      <c r="C42" s="77"/>
      <c r="D42" s="53">
        <v>11231572.0816609</v>
      </c>
      <c r="E42" s="54">
        <v>68.257863107904001</v>
      </c>
      <c r="F42" s="56"/>
      <c r="G42" s="53">
        <v>6418001.6175081804</v>
      </c>
      <c r="H42" s="54">
        <v>72.782048843864402</v>
      </c>
      <c r="I42" s="30"/>
      <c r="J42" s="53">
        <v>5070288.7336382298</v>
      </c>
      <c r="K42" s="54">
        <v>65.219288768880006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76" t="s">
        <v>13</v>
      </c>
      <c r="C43" s="77"/>
      <c r="D43" s="53">
        <v>111063.285140287</v>
      </c>
      <c r="E43" s="54">
        <v>0.69271388982308602</v>
      </c>
      <c r="F43" s="56"/>
      <c r="G43" s="53">
        <v>95677.517590976</v>
      </c>
      <c r="H43" s="54">
        <v>1.13461666378348</v>
      </c>
      <c r="I43" s="30"/>
      <c r="J43" s="53">
        <v>25428.8761300892</v>
      </c>
      <c r="K43" s="54">
        <v>0.337652666748187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6.95" customHeight="1">
      <c r="A44" s="30"/>
      <c r="B44" s="77"/>
      <c r="C44" s="77"/>
      <c r="D44" s="22"/>
      <c r="E44" s="78"/>
      <c r="F44" s="79"/>
      <c r="G44" s="22"/>
      <c r="H44" s="78"/>
      <c r="I44" s="79"/>
      <c r="J44" s="22"/>
      <c r="K44" s="78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74" t="s">
        <v>14</v>
      </c>
      <c r="C45" s="77"/>
      <c r="D45" s="47">
        <v>42292789.417913802</v>
      </c>
      <c r="E45" s="48">
        <v>73.106842166525993</v>
      </c>
      <c r="F45" s="49"/>
      <c r="G45" s="47">
        <v>22784256.571622498</v>
      </c>
      <c r="H45" s="48">
        <v>73.796488215698105</v>
      </c>
      <c r="I45" s="50"/>
      <c r="J45" s="47">
        <v>19981628.909445401</v>
      </c>
      <c r="K45" s="48">
        <v>73.414355279550506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86"/>
      <c r="C46" s="87"/>
      <c r="D46" s="87"/>
      <c r="E46" s="87"/>
      <c r="F46" s="88"/>
      <c r="G46" s="88"/>
      <c r="H46" s="89"/>
      <c r="I46" s="88"/>
      <c r="J46" s="88"/>
      <c r="K46" s="89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6.95" customHeight="1">
      <c r="A47" s="30"/>
      <c r="B47" s="90"/>
      <c r="C47" s="91"/>
      <c r="D47" s="91"/>
      <c r="E47" s="91"/>
      <c r="F47" s="9"/>
      <c r="G47" s="9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2" customHeight="1">
      <c r="A48" s="30"/>
      <c r="B48" s="92" t="s">
        <v>73</v>
      </c>
      <c r="C48" s="92"/>
      <c r="D48" s="92"/>
      <c r="E48" s="92"/>
      <c r="F48" s="93"/>
      <c r="G48" s="93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2" customHeight="1">
      <c r="A49" s="30"/>
      <c r="B49" s="254" t="s">
        <v>102</v>
      </c>
      <c r="C49" s="254"/>
      <c r="D49" s="254"/>
      <c r="E49" s="254"/>
      <c r="F49" s="254"/>
      <c r="G49" s="254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INDICE" xr:uid="{E498FE70-BDA2-421E-A353-E92339EC6EF9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503D-FEB8-4219-9D13-4C4816CFC38F}">
  <dimension ref="A1:W61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66"/>
      <c r="F4" s="66"/>
      <c r="G4" s="66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>
      <c r="A5" s="30"/>
      <c r="B5" s="67" t="s">
        <v>129</v>
      </c>
      <c r="C5" s="67"/>
      <c r="D5" s="67"/>
      <c r="E5" s="66"/>
      <c r="F5" s="66"/>
      <c r="G5" s="66"/>
      <c r="H5" s="30"/>
      <c r="I5" s="30"/>
      <c r="J5" s="30"/>
      <c r="K5" s="35" t="s">
        <v>53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94"/>
      <c r="C6" s="95"/>
      <c r="D6" s="95"/>
      <c r="E6" s="96"/>
      <c r="F6" s="96"/>
      <c r="G6" s="96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104</v>
      </c>
      <c r="C7" s="70"/>
      <c r="D7" s="262" t="s">
        <v>131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16</v>
      </c>
      <c r="C11" s="98"/>
      <c r="D11" s="47">
        <v>88168959.549554095</v>
      </c>
      <c r="E11" s="48">
        <v>100</v>
      </c>
      <c r="F11" s="49"/>
      <c r="G11" s="47">
        <v>47788866.463474698</v>
      </c>
      <c r="H11" s="48">
        <v>100</v>
      </c>
      <c r="I11" s="50"/>
      <c r="J11" s="47">
        <v>41315778.788891397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99" t="s">
        <v>17</v>
      </c>
      <c r="C13" s="80"/>
      <c r="D13" s="47">
        <v>33367016.851553898</v>
      </c>
      <c r="E13" s="48">
        <v>38.510577508726797</v>
      </c>
      <c r="F13" s="49"/>
      <c r="G13" s="47">
        <v>17562200.6267302</v>
      </c>
      <c r="H13" s="48">
        <v>37.6125463924011</v>
      </c>
      <c r="I13" s="50"/>
      <c r="J13" s="47">
        <v>16300009.401280399</v>
      </c>
      <c r="K13" s="48">
        <v>40.417637617620599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80"/>
      <c r="C14" s="80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30" customHeight="1">
      <c r="A15" s="30"/>
      <c r="B15" s="100" t="s">
        <v>105</v>
      </c>
      <c r="C15" s="101"/>
      <c r="D15" s="53">
        <v>20440597.1060073</v>
      </c>
      <c r="E15" s="54">
        <v>62.374778373649598</v>
      </c>
      <c r="F15" s="56"/>
      <c r="G15" s="53">
        <v>11588634.488460399</v>
      </c>
      <c r="H15" s="54">
        <v>67.437151902678195</v>
      </c>
      <c r="I15" s="30"/>
      <c r="J15" s="53">
        <v>9215235.4869450293</v>
      </c>
      <c r="K15" s="54">
        <v>58.276690368262898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00" t="s">
        <v>18</v>
      </c>
      <c r="C16" s="101"/>
      <c r="D16" s="53">
        <v>14241789.590974201</v>
      </c>
      <c r="E16" s="54">
        <v>43.5793370336214</v>
      </c>
      <c r="F16" s="56"/>
      <c r="G16" s="53">
        <v>6835663.4853084702</v>
      </c>
      <c r="H16" s="54">
        <v>40.1679229401458</v>
      </c>
      <c r="I16" s="30"/>
      <c r="J16" s="53">
        <v>7696145.2999387896</v>
      </c>
      <c r="K16" s="54">
        <v>48.581303218023301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76" t="s">
        <v>19</v>
      </c>
      <c r="C17" s="77"/>
      <c r="D17" s="53">
        <v>3102035.4491749699</v>
      </c>
      <c r="E17" s="54">
        <v>9.5563465248673403</v>
      </c>
      <c r="F17" s="56"/>
      <c r="G17" s="53">
        <v>1359821.3628768099</v>
      </c>
      <c r="H17" s="54">
        <v>8.0717354235862402</v>
      </c>
      <c r="I17" s="30"/>
      <c r="J17" s="53">
        <v>1856908.1571339399</v>
      </c>
      <c r="K17" s="54">
        <v>11.8575364009612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76" t="s">
        <v>20</v>
      </c>
      <c r="C18" s="77"/>
      <c r="D18" s="53">
        <v>4149081.8264588499</v>
      </c>
      <c r="E18" s="54">
        <v>12.7788385246625</v>
      </c>
      <c r="F18" s="56"/>
      <c r="G18" s="53">
        <v>2130086.1465679202</v>
      </c>
      <c r="H18" s="54">
        <v>12.5839199654207</v>
      </c>
      <c r="I18" s="30"/>
      <c r="J18" s="53">
        <v>2182978.9115972598</v>
      </c>
      <c r="K18" s="54">
        <v>13.953972913897699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76" t="s">
        <v>21</v>
      </c>
      <c r="C19" s="77"/>
      <c r="D19" s="53">
        <v>1794290.80991249</v>
      </c>
      <c r="E19" s="54">
        <v>5.5399033486437999</v>
      </c>
      <c r="F19" s="56"/>
      <c r="G19" s="53">
        <v>725468.26910568203</v>
      </c>
      <c r="H19" s="54">
        <v>4.3114839506129803</v>
      </c>
      <c r="I19" s="30"/>
      <c r="J19" s="53">
        <v>1159842.3897275401</v>
      </c>
      <c r="K19" s="54">
        <v>7.4363645639816003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76" t="s">
        <v>22</v>
      </c>
      <c r="C20" s="77"/>
      <c r="D20" s="53">
        <v>5240174.3321917504</v>
      </c>
      <c r="E20" s="54">
        <v>16.1441716064259</v>
      </c>
      <c r="F20" s="56"/>
      <c r="G20" s="53">
        <v>2208785.8302024798</v>
      </c>
      <c r="H20" s="54">
        <v>13.114466152802599</v>
      </c>
      <c r="I20" s="30"/>
      <c r="J20" s="53">
        <v>3167593.7904380299</v>
      </c>
      <c r="K20" s="54">
        <v>20.255438300985301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76" t="s">
        <v>23</v>
      </c>
      <c r="C21" s="77"/>
      <c r="D21" s="53">
        <v>2425805.9518325799</v>
      </c>
      <c r="E21" s="54">
        <v>7.4711617265191199</v>
      </c>
      <c r="F21" s="56"/>
      <c r="G21" s="53">
        <v>1881005.59928363</v>
      </c>
      <c r="H21" s="54">
        <v>11.121717447622901</v>
      </c>
      <c r="I21" s="30"/>
      <c r="J21" s="53">
        <v>728238.27196249401</v>
      </c>
      <c r="K21" s="54">
        <v>4.6568976451735304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30" customHeight="1">
      <c r="A22" s="30"/>
      <c r="B22" s="100" t="s">
        <v>86</v>
      </c>
      <c r="C22" s="101"/>
      <c r="D22" s="53">
        <v>1368537.34613542</v>
      </c>
      <c r="E22" s="54">
        <v>4.2164976302329302</v>
      </c>
      <c r="F22" s="56"/>
      <c r="G22" s="53">
        <v>547438.20327944297</v>
      </c>
      <c r="H22" s="54">
        <v>3.24273476232332</v>
      </c>
      <c r="I22" s="30"/>
      <c r="J22" s="53">
        <v>895010.52777596703</v>
      </c>
      <c r="K22" s="54">
        <v>5.7214833795831099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76" t="s">
        <v>24</v>
      </c>
      <c r="C23" s="77"/>
      <c r="D23" s="53">
        <v>48117.024990665399</v>
      </c>
      <c r="E23" s="54">
        <v>0.14868249612538201</v>
      </c>
      <c r="F23" s="56"/>
      <c r="G23" s="53">
        <v>48117.024990665399</v>
      </c>
      <c r="H23" s="54">
        <v>0.286515045035099</v>
      </c>
      <c r="I23" s="30"/>
      <c r="J23" s="53">
        <v>0</v>
      </c>
      <c r="K23" s="54">
        <v>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77"/>
      <c r="C24" s="77"/>
      <c r="D24" s="79"/>
      <c r="E24" s="78"/>
      <c r="F24" s="79"/>
      <c r="G24" s="79"/>
      <c r="H24" s="78"/>
      <c r="I24" s="79"/>
      <c r="J24" s="79"/>
      <c r="K24" s="78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99" t="s">
        <v>25</v>
      </c>
      <c r="C25" s="80"/>
      <c r="D25" s="47">
        <v>55849239.696697302</v>
      </c>
      <c r="E25" s="48">
        <v>63.8182464211189</v>
      </c>
      <c r="F25" s="49"/>
      <c r="G25" s="47">
        <v>30867436.538811799</v>
      </c>
      <c r="H25" s="48">
        <v>65.381015393011495</v>
      </c>
      <c r="I25" s="50"/>
      <c r="J25" s="47">
        <v>25630013.0257666</v>
      </c>
      <c r="K25" s="48">
        <v>62.874755735361497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81"/>
      <c r="C26" s="81"/>
      <c r="D26" s="22"/>
      <c r="E26" s="30"/>
      <c r="F26" s="102"/>
      <c r="G26" s="22"/>
      <c r="H26" s="30"/>
      <c r="I26" s="30"/>
      <c r="J26" s="22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03" t="s">
        <v>7</v>
      </c>
      <c r="C27" s="104"/>
      <c r="D27" s="47">
        <v>31876327.629939102</v>
      </c>
      <c r="E27" s="48">
        <v>100</v>
      </c>
      <c r="F27" s="49"/>
      <c r="G27" s="47">
        <v>17557347.996399298</v>
      </c>
      <c r="H27" s="48">
        <v>100</v>
      </c>
      <c r="I27" s="50"/>
      <c r="J27" s="47">
        <v>14624214.675651999</v>
      </c>
      <c r="K27" s="48">
        <v>100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98"/>
      <c r="C28" s="98"/>
      <c r="D28" s="30"/>
      <c r="E28" s="30"/>
      <c r="F28" s="51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99" t="s">
        <v>17</v>
      </c>
      <c r="C29" s="80"/>
      <c r="D29" s="47">
        <v>8593366.3622750808</v>
      </c>
      <c r="E29" s="48">
        <v>28.1042782403009</v>
      </c>
      <c r="F29" s="49"/>
      <c r="G29" s="47">
        <v>4889022.8251879103</v>
      </c>
      <c r="H29" s="48">
        <v>29.0409994988051</v>
      </c>
      <c r="I29" s="50"/>
      <c r="J29" s="47">
        <v>3883257.3074392802</v>
      </c>
      <c r="K29" s="48">
        <v>28.089161889543099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80"/>
      <c r="C30" s="80"/>
      <c r="D30" s="53"/>
      <c r="E30" s="54"/>
      <c r="F30" s="49"/>
      <c r="G30" s="53"/>
      <c r="H30" s="54"/>
      <c r="I30" s="50"/>
      <c r="J30" s="53"/>
      <c r="K30" s="54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100" t="s">
        <v>105</v>
      </c>
      <c r="C31" s="101"/>
      <c r="D31" s="53">
        <v>5766326.6073514102</v>
      </c>
      <c r="E31" s="54">
        <v>69.577239173490796</v>
      </c>
      <c r="F31" s="56"/>
      <c r="G31" s="53">
        <v>3457145.9865726498</v>
      </c>
      <c r="H31" s="54">
        <v>73.167849210590703</v>
      </c>
      <c r="I31" s="30"/>
      <c r="J31" s="53">
        <v>2474358.3541646702</v>
      </c>
      <c r="K31" s="54">
        <v>67.590398593041996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100" t="s">
        <v>18</v>
      </c>
      <c r="C32" s="101"/>
      <c r="D32" s="53">
        <v>2494231.2842061999</v>
      </c>
      <c r="E32" s="54">
        <v>30.923991558147002</v>
      </c>
      <c r="F32" s="56"/>
      <c r="G32" s="53">
        <v>1302275.3770586499</v>
      </c>
      <c r="H32" s="54">
        <v>28.523375890663502</v>
      </c>
      <c r="I32" s="30"/>
      <c r="J32" s="53">
        <v>1321050.39048893</v>
      </c>
      <c r="K32" s="54">
        <v>37.104385896436099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76" t="s">
        <v>19</v>
      </c>
      <c r="C33" s="77"/>
      <c r="D33" s="53">
        <v>792302.81717385096</v>
      </c>
      <c r="E33" s="54">
        <v>10.044865416945401</v>
      </c>
      <c r="F33" s="56"/>
      <c r="G33" s="53">
        <v>363939.93435281498</v>
      </c>
      <c r="H33" s="54">
        <v>8.2871324188320603</v>
      </c>
      <c r="I33" s="30"/>
      <c r="J33" s="53">
        <v>477133.01037961198</v>
      </c>
      <c r="K33" s="54">
        <v>13.651551520198399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76" t="s">
        <v>20</v>
      </c>
      <c r="C34" s="77"/>
      <c r="D34" s="53">
        <v>1209559.58764695</v>
      </c>
      <c r="E34" s="54">
        <v>15.1104020423757</v>
      </c>
      <c r="F34" s="56"/>
      <c r="G34" s="53">
        <v>690916.78724967805</v>
      </c>
      <c r="H34" s="54">
        <v>15.4219894555709</v>
      </c>
      <c r="I34" s="30"/>
      <c r="J34" s="53">
        <v>593388.89915243105</v>
      </c>
      <c r="K34" s="54">
        <v>16.996109151450401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76" t="s">
        <v>21</v>
      </c>
      <c r="C35" s="77"/>
      <c r="D35" s="53">
        <v>221027.819401296</v>
      </c>
      <c r="E35" s="54">
        <v>2.8195360673171002</v>
      </c>
      <c r="F35" s="56"/>
      <c r="G35" s="53">
        <v>86106.348690856496</v>
      </c>
      <c r="H35" s="54">
        <v>1.97569588802909</v>
      </c>
      <c r="I35" s="30"/>
      <c r="J35" s="53">
        <v>159795.554040207</v>
      </c>
      <c r="K35" s="54">
        <v>4.60844820928933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76" t="s">
        <v>22</v>
      </c>
      <c r="C36" s="77"/>
      <c r="D36" s="53">
        <v>464767.06889933901</v>
      </c>
      <c r="E36" s="54">
        <v>5.9375316216057303</v>
      </c>
      <c r="F36" s="56"/>
      <c r="G36" s="53">
        <v>227541.39262049401</v>
      </c>
      <c r="H36" s="54">
        <v>5.1963916666096202</v>
      </c>
      <c r="I36" s="30"/>
      <c r="J36" s="53">
        <v>273651.86933008599</v>
      </c>
      <c r="K36" s="54">
        <v>7.9086242778247504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76" t="s">
        <v>23</v>
      </c>
      <c r="C37" s="77"/>
      <c r="D37" s="53">
        <v>1006971.22983757</v>
      </c>
      <c r="E37" s="54">
        <v>12.588772446497901</v>
      </c>
      <c r="F37" s="56"/>
      <c r="G37" s="53">
        <v>881026.613463772</v>
      </c>
      <c r="H37" s="54">
        <v>19.780356702359398</v>
      </c>
      <c r="I37" s="30"/>
      <c r="J37" s="53">
        <v>178552.08491158101</v>
      </c>
      <c r="K37" s="54">
        <v>5.2224674887833702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30" customHeight="1">
      <c r="A38" s="30"/>
      <c r="B38" s="100" t="s">
        <v>86</v>
      </c>
      <c r="C38" s="101"/>
      <c r="D38" s="53">
        <v>210317.58151419499</v>
      </c>
      <c r="E38" s="54">
        <v>2.6624681534314698</v>
      </c>
      <c r="F38" s="56"/>
      <c r="G38" s="53">
        <v>123848.685356848</v>
      </c>
      <c r="H38" s="54">
        <v>2.7965994208597098</v>
      </c>
      <c r="I38" s="30"/>
      <c r="J38" s="53">
        <v>117643.194287476</v>
      </c>
      <c r="K38" s="54">
        <v>3.4019513674379702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76" t="s">
        <v>24</v>
      </c>
      <c r="C39" s="77"/>
      <c r="D39" s="53">
        <v>0</v>
      </c>
      <c r="E39" s="54">
        <v>0</v>
      </c>
      <c r="F39" s="56"/>
      <c r="G39" s="53">
        <v>0</v>
      </c>
      <c r="H39" s="54">
        <v>0</v>
      </c>
      <c r="I39" s="30"/>
      <c r="J39" s="53">
        <v>0</v>
      </c>
      <c r="K39" s="54">
        <v>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77"/>
      <c r="C40" s="77"/>
      <c r="D40" s="79"/>
      <c r="E40" s="78"/>
      <c r="F40" s="79"/>
      <c r="G40" s="79"/>
      <c r="H40" s="78"/>
      <c r="I40" s="79"/>
      <c r="J40" s="79"/>
      <c r="K40" s="78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99" t="s">
        <v>25</v>
      </c>
      <c r="C41" s="80"/>
      <c r="D41" s="47">
        <v>23705441.6913695</v>
      </c>
      <c r="E41" s="48">
        <v>76.092081331791704</v>
      </c>
      <c r="F41" s="49"/>
      <c r="G41" s="47">
        <v>12924370.543191699</v>
      </c>
      <c r="H41" s="48">
        <v>75.756951097731999</v>
      </c>
      <c r="I41" s="50"/>
      <c r="J41" s="47">
        <v>11033146.206448101</v>
      </c>
      <c r="K41" s="48">
        <v>77.612377578724306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6.95" customHeight="1">
      <c r="A42" s="30"/>
      <c r="B42" s="81"/>
      <c r="C42" s="81"/>
      <c r="D42" s="22"/>
      <c r="E42" s="30"/>
      <c r="F42" s="102"/>
      <c r="G42" s="22"/>
      <c r="H42" s="30"/>
      <c r="I42" s="30"/>
      <c r="J42" s="22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s="5" customFormat="1" ht="15" customHeight="1">
      <c r="A43" s="105"/>
      <c r="B43" s="103" t="s">
        <v>8</v>
      </c>
      <c r="C43" s="103"/>
      <c r="D43" s="47">
        <v>58722602.216376103</v>
      </c>
      <c r="E43" s="48">
        <v>100</v>
      </c>
      <c r="F43" s="49"/>
      <c r="G43" s="47">
        <v>31539784.224373799</v>
      </c>
      <c r="H43" s="48">
        <v>100</v>
      </c>
      <c r="I43" s="50"/>
      <c r="J43" s="47">
        <v>27745562.505176</v>
      </c>
      <c r="K43" s="48">
        <v>100</v>
      </c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</row>
    <row r="44" spans="1:23" ht="6.95" customHeight="1">
      <c r="A44" s="30"/>
      <c r="B44" s="98"/>
      <c r="C44" s="98"/>
      <c r="D44" s="47"/>
      <c r="E44" s="48"/>
      <c r="F44" s="49"/>
      <c r="G44" s="47"/>
      <c r="H44" s="48"/>
      <c r="I44" s="50"/>
      <c r="J44" s="47"/>
      <c r="K44" s="48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99" t="s">
        <v>17</v>
      </c>
      <c r="C45" s="80"/>
      <c r="D45" s="47">
        <v>25596950.102660902</v>
      </c>
      <c r="E45" s="48">
        <v>44.729942749572402</v>
      </c>
      <c r="F45" s="49"/>
      <c r="G45" s="47">
        <v>13168191.121520599</v>
      </c>
      <c r="H45" s="48">
        <v>43.195082302374097</v>
      </c>
      <c r="I45" s="50"/>
      <c r="J45" s="47">
        <v>12818038.385053599</v>
      </c>
      <c r="K45" s="48">
        <v>47.666710049644998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80"/>
      <c r="C46" s="80"/>
      <c r="D46" s="53"/>
      <c r="E46" s="54"/>
      <c r="F46" s="56"/>
      <c r="G46" s="53"/>
      <c r="H46" s="54"/>
      <c r="I46" s="30"/>
      <c r="J46" s="53"/>
      <c r="K46" s="54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30" customHeight="1">
      <c r="A47" s="30"/>
      <c r="B47" s="100" t="s">
        <v>105</v>
      </c>
      <c r="C47" s="101"/>
      <c r="D47" s="53">
        <v>15230172.1806229</v>
      </c>
      <c r="E47" s="54">
        <v>60.877347058464501</v>
      </c>
      <c r="F47" s="56"/>
      <c r="G47" s="53">
        <v>8505489.6952357795</v>
      </c>
      <c r="H47" s="54">
        <v>66.482333067668193</v>
      </c>
      <c r="I47" s="30"/>
      <c r="J47" s="53">
        <v>7014279.0302265203</v>
      </c>
      <c r="K47" s="54">
        <v>56.747184133544501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100" t="s">
        <v>18</v>
      </c>
      <c r="C48" s="101"/>
      <c r="D48" s="53">
        <v>12050175.926825101</v>
      </c>
      <c r="E48" s="54">
        <v>48.3035346347081</v>
      </c>
      <c r="F48" s="56"/>
      <c r="G48" s="53">
        <v>5734871.1526432103</v>
      </c>
      <c r="H48" s="54">
        <v>45.302884350314599</v>
      </c>
      <c r="I48" s="30"/>
      <c r="J48" s="53">
        <v>6552797.0033627003</v>
      </c>
      <c r="K48" s="54">
        <v>52.819675497343901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5" customHeight="1">
      <c r="A49" s="30"/>
      <c r="B49" s="76" t="s">
        <v>19</v>
      </c>
      <c r="C49" s="77"/>
      <c r="D49" s="53">
        <v>2444068.4480320299</v>
      </c>
      <c r="E49" s="54">
        <v>9.9070152704922201</v>
      </c>
      <c r="F49" s="56"/>
      <c r="G49" s="53">
        <v>1065234.8823989199</v>
      </c>
      <c r="H49" s="54">
        <v>8.5317901161948395</v>
      </c>
      <c r="I49" s="30"/>
      <c r="J49" s="53">
        <v>1479597.7668079699</v>
      </c>
      <c r="K49" s="54">
        <v>12.109857749086499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15" customHeight="1">
      <c r="A50" s="30"/>
      <c r="B50" s="76" t="s">
        <v>20</v>
      </c>
      <c r="C50" s="77"/>
      <c r="D50" s="53">
        <v>3128762.5460051699</v>
      </c>
      <c r="E50" s="54">
        <v>12.664500462027901</v>
      </c>
      <c r="F50" s="56"/>
      <c r="G50" s="53">
        <v>1579002.9503318099</v>
      </c>
      <c r="H50" s="54">
        <v>12.5794782569939</v>
      </c>
      <c r="I50" s="30"/>
      <c r="J50" s="53">
        <v>1685931.6174780701</v>
      </c>
      <c r="K50" s="54">
        <v>13.7780332969261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5" customHeight="1">
      <c r="A51" s="30"/>
      <c r="B51" s="76" t="s">
        <v>21</v>
      </c>
      <c r="C51" s="77"/>
      <c r="D51" s="53">
        <v>1630117.8299843301</v>
      </c>
      <c r="E51" s="54">
        <v>6.6263348341696</v>
      </c>
      <c r="F51" s="56"/>
      <c r="G51" s="53">
        <v>669459.29919220705</v>
      </c>
      <c r="H51" s="54">
        <v>5.3704351793067202</v>
      </c>
      <c r="I51" s="30"/>
      <c r="J51" s="53">
        <v>1047104.34688923</v>
      </c>
      <c r="K51" s="54">
        <v>8.6097145531530597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15" customHeight="1">
      <c r="A52" s="30"/>
      <c r="B52" s="76" t="s">
        <v>22</v>
      </c>
      <c r="C52" s="77"/>
      <c r="D52" s="53">
        <v>4881452.6995821698</v>
      </c>
      <c r="E52" s="54">
        <v>19.785202795766299</v>
      </c>
      <c r="F52" s="56"/>
      <c r="G52" s="53">
        <v>2036831.8117821999</v>
      </c>
      <c r="H52" s="54">
        <v>16.327916080082002</v>
      </c>
      <c r="I52" s="30"/>
      <c r="J52" s="53">
        <v>2972505.86683298</v>
      </c>
      <c r="K52" s="54">
        <v>24.3462855304054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15" customHeight="1">
      <c r="A53" s="30"/>
      <c r="B53" s="76" t="s">
        <v>23</v>
      </c>
      <c r="C53" s="77"/>
      <c r="D53" s="53">
        <v>1602125.2894764801</v>
      </c>
      <c r="E53" s="54">
        <v>6.4653261193155496</v>
      </c>
      <c r="F53" s="56"/>
      <c r="G53" s="53">
        <v>1137172.9868948699</v>
      </c>
      <c r="H53" s="54">
        <v>9.0235814609934497</v>
      </c>
      <c r="I53" s="30"/>
      <c r="J53" s="53">
        <v>605491.37808100705</v>
      </c>
      <c r="K53" s="54">
        <v>4.9401415444510102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30" customHeight="1">
      <c r="A54" s="30"/>
      <c r="B54" s="100" t="s">
        <v>86</v>
      </c>
      <c r="C54" s="101"/>
      <c r="D54" s="53">
        <v>1221197.9665568401</v>
      </c>
      <c r="E54" s="54">
        <v>4.9407848671618098</v>
      </c>
      <c r="F54" s="56"/>
      <c r="G54" s="53">
        <v>470853.51030349202</v>
      </c>
      <c r="H54" s="54">
        <v>3.7591307907926699</v>
      </c>
      <c r="I54" s="30"/>
      <c r="J54" s="53">
        <v>817798.32825191796</v>
      </c>
      <c r="K54" s="54">
        <v>6.6944587681451599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spans="1:23" ht="15" customHeight="1">
      <c r="A55" s="30"/>
      <c r="B55" s="76" t="s">
        <v>24</v>
      </c>
      <c r="C55" s="77"/>
      <c r="D55" s="53">
        <v>48117.024990665399</v>
      </c>
      <c r="E55" s="54">
        <v>0.19571903721616199</v>
      </c>
      <c r="F55" s="56"/>
      <c r="G55" s="53">
        <v>48117.024990665399</v>
      </c>
      <c r="H55" s="54">
        <v>0.38692982293653699</v>
      </c>
      <c r="I55" s="30"/>
      <c r="J55" s="53">
        <v>0</v>
      </c>
      <c r="K55" s="54">
        <v>0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spans="1:23" ht="6.95" customHeight="1">
      <c r="A56" s="30"/>
      <c r="B56" s="77"/>
      <c r="C56" s="77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spans="1:23" ht="15" customHeight="1">
      <c r="A57" s="30"/>
      <c r="B57" s="99" t="s">
        <v>25</v>
      </c>
      <c r="C57" s="80"/>
      <c r="D57" s="47">
        <v>33687462.492506899</v>
      </c>
      <c r="E57" s="48">
        <v>58.083276128624497</v>
      </c>
      <c r="F57" s="49"/>
      <c r="G57" s="47">
        <v>18805557.146970399</v>
      </c>
      <c r="H57" s="48">
        <v>60.682337768761201</v>
      </c>
      <c r="I57" s="50"/>
      <c r="J57" s="47">
        <v>15342309.237643</v>
      </c>
      <c r="K57" s="48">
        <v>56.334244781825298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spans="1:23" ht="6.95" customHeight="1">
      <c r="A58" s="30"/>
      <c r="B58" s="106"/>
      <c r="C58" s="106"/>
      <c r="D58" s="106"/>
      <c r="E58" s="106"/>
      <c r="F58" s="106"/>
      <c r="G58" s="106"/>
      <c r="H58" s="107"/>
      <c r="I58" s="107"/>
      <c r="J58" s="107"/>
      <c r="K58" s="107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spans="1:23" ht="6.95" customHeight="1">
      <c r="A59" s="30"/>
      <c r="B59" s="9"/>
      <c r="C59" s="9"/>
      <c r="D59" s="9"/>
      <c r="E59" s="9"/>
      <c r="F59" s="9"/>
      <c r="G59" s="9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spans="1:23" ht="12" customHeight="1">
      <c r="A60" s="30"/>
      <c r="B60" s="108" t="s">
        <v>74</v>
      </c>
      <c r="C60" s="108"/>
      <c r="D60" s="108"/>
      <c r="E60" s="93"/>
      <c r="F60" s="93"/>
      <c r="G60" s="93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spans="1:23" ht="12" customHeight="1">
      <c r="A61" s="30"/>
      <c r="B61" s="254" t="s">
        <v>102</v>
      </c>
      <c r="C61" s="254"/>
      <c r="D61" s="254"/>
      <c r="E61" s="254"/>
      <c r="F61" s="254"/>
      <c r="G61" s="254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</sheetData>
  <mergeCells count="6">
    <mergeCell ref="B61:G61"/>
    <mergeCell ref="B7:B9"/>
    <mergeCell ref="D7:E8"/>
    <mergeCell ref="G7:K7"/>
    <mergeCell ref="G8:H8"/>
    <mergeCell ref="J8:K8"/>
  </mergeCells>
  <hyperlinks>
    <hyperlink ref="K1" location="Índice!A1" tooltip="Ir a ÍNDICE" display="INDICE" xr:uid="{0FF14746-6604-40CC-BE80-50CDCBE924F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56E8-284D-48A3-9B7B-69169C0F4CD0}">
  <dimension ref="A1:W3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  <col min="13" max="13" width="11.85546875" bestFit="1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109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110"/>
      <c r="F4" s="110"/>
      <c r="G4" s="110"/>
      <c r="H4" s="110"/>
      <c r="I4" s="110"/>
      <c r="J4" s="11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4" t="s">
        <v>106</v>
      </c>
      <c r="C5" s="264"/>
      <c r="D5" s="264"/>
      <c r="E5" s="264"/>
      <c r="F5" s="264"/>
      <c r="G5" s="264"/>
      <c r="H5" s="111"/>
      <c r="I5" s="111"/>
      <c r="J5" s="111"/>
      <c r="K5" s="112" t="s">
        <v>54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135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33367016.851553898</v>
      </c>
      <c r="E11" s="48">
        <v>100</v>
      </c>
      <c r="F11" s="49"/>
      <c r="G11" s="47">
        <v>17562200.6267302</v>
      </c>
      <c r="H11" s="48">
        <v>100</v>
      </c>
      <c r="I11" s="50"/>
      <c r="J11" s="47">
        <v>16300009.401280399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15" t="s">
        <v>32</v>
      </c>
      <c r="C13" s="116"/>
      <c r="D13" s="53">
        <v>7767590.2171897497</v>
      </c>
      <c r="E13" s="54">
        <v>23.835683307779998</v>
      </c>
      <c r="F13" s="56"/>
      <c r="G13" s="53">
        <v>4019118.33994966</v>
      </c>
      <c r="H13" s="54">
        <v>23.701210842151401</v>
      </c>
      <c r="I13" s="30"/>
      <c r="J13" s="53">
        <v>3944547.0846689702</v>
      </c>
      <c r="K13" s="54">
        <v>25.088466281596698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117" t="s">
        <v>97</v>
      </c>
      <c r="C14" s="118"/>
      <c r="D14" s="53">
        <v>26014863.870500799</v>
      </c>
      <c r="E14" s="54">
        <v>79.119109338062401</v>
      </c>
      <c r="F14" s="56"/>
      <c r="G14" s="53">
        <v>13822103.069896201</v>
      </c>
      <c r="H14" s="54">
        <v>80.2563137055201</v>
      </c>
      <c r="I14" s="30"/>
      <c r="J14" s="53">
        <v>12626205.05662</v>
      </c>
      <c r="K14" s="54">
        <v>79.002386208733299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17" t="s">
        <v>96</v>
      </c>
      <c r="C15" s="118"/>
      <c r="D15" s="53">
        <v>63384.958154152497</v>
      </c>
      <c r="E15" s="54">
        <v>0.195856979313663</v>
      </c>
      <c r="F15" s="56"/>
      <c r="G15" s="53">
        <v>48307.531368589698</v>
      </c>
      <c r="H15" s="54">
        <v>0.28753357359294801</v>
      </c>
      <c r="I15" s="30"/>
      <c r="J15" s="53">
        <v>24121.070555071899</v>
      </c>
      <c r="K15" s="54">
        <v>0.155006739304235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6.95" customHeight="1">
      <c r="A16" s="30"/>
      <c r="B16" s="119"/>
      <c r="C16" s="119"/>
      <c r="D16" s="22"/>
      <c r="E16" s="120"/>
      <c r="F16" s="58"/>
      <c r="G16" s="22"/>
      <c r="H16" s="120"/>
      <c r="I16" s="120"/>
      <c r="J16" s="22"/>
      <c r="K16" s="12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21" t="s">
        <v>7</v>
      </c>
      <c r="C17" s="122"/>
      <c r="D17" s="47">
        <v>8593366.3622750808</v>
      </c>
      <c r="E17" s="48">
        <v>100</v>
      </c>
      <c r="F17" s="49"/>
      <c r="G17" s="47">
        <v>4889022.8251879103</v>
      </c>
      <c r="H17" s="48">
        <v>100</v>
      </c>
      <c r="I17" s="50"/>
      <c r="J17" s="47">
        <v>3883257.3074392802</v>
      </c>
      <c r="K17" s="48">
        <v>100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122"/>
      <c r="C18" s="122"/>
      <c r="D18" s="53"/>
      <c r="E18" s="54"/>
      <c r="F18" s="49"/>
      <c r="G18" s="53"/>
      <c r="H18" s="54"/>
      <c r="I18" s="50"/>
      <c r="J18" s="53"/>
      <c r="K18" s="54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15" t="s">
        <v>32</v>
      </c>
      <c r="C19" s="116"/>
      <c r="D19" s="53">
        <v>2160791.1634636</v>
      </c>
      <c r="E19" s="54">
        <v>26.880774087905799</v>
      </c>
      <c r="F19" s="56"/>
      <c r="G19" s="53">
        <v>1362370.65043523</v>
      </c>
      <c r="H19" s="54">
        <v>30.035555193091199</v>
      </c>
      <c r="I19" s="30"/>
      <c r="J19" s="53">
        <v>880507.24609584303</v>
      </c>
      <c r="K19" s="54">
        <v>24.920883687413902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17" t="s">
        <v>97</v>
      </c>
      <c r="C20" s="118"/>
      <c r="D20" s="53">
        <v>6631980.6372920005</v>
      </c>
      <c r="E20" s="54">
        <v>80.560538194026407</v>
      </c>
      <c r="F20" s="56"/>
      <c r="G20" s="53">
        <v>3668238.5561589198</v>
      </c>
      <c r="H20" s="54">
        <v>79.184466561995194</v>
      </c>
      <c r="I20" s="30"/>
      <c r="J20" s="53">
        <v>3119109.3709541801</v>
      </c>
      <c r="K20" s="54">
        <v>84.394781313361193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17" t="s">
        <v>96</v>
      </c>
      <c r="C21" s="118"/>
      <c r="D21" s="53">
        <v>35085.869570868002</v>
      </c>
      <c r="E21" s="54">
        <v>0.45010477011045402</v>
      </c>
      <c r="F21" s="56"/>
      <c r="G21" s="53">
        <v>20337.926975628499</v>
      </c>
      <c r="H21" s="54">
        <v>0.46639824246426798</v>
      </c>
      <c r="I21" s="30"/>
      <c r="J21" s="53">
        <v>21640.737106684501</v>
      </c>
      <c r="K21" s="54">
        <v>0.63256964290727902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123"/>
      <c r="C22" s="123"/>
      <c r="D22" s="22"/>
      <c r="E22" s="124"/>
      <c r="F22" s="125"/>
      <c r="G22" s="22"/>
      <c r="H22" s="124"/>
      <c r="I22" s="124"/>
      <c r="J22" s="22"/>
      <c r="K22" s="124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121" t="s">
        <v>8</v>
      </c>
      <c r="C23" s="122"/>
      <c r="D23" s="47">
        <v>25596950.102660902</v>
      </c>
      <c r="E23" s="48">
        <v>100</v>
      </c>
      <c r="F23" s="49"/>
      <c r="G23" s="47">
        <v>13168191.121520599</v>
      </c>
      <c r="H23" s="48">
        <v>100</v>
      </c>
      <c r="I23" s="50"/>
      <c r="J23" s="47">
        <v>12818038.385053599</v>
      </c>
      <c r="K23" s="48">
        <v>100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122"/>
      <c r="C24" s="122"/>
      <c r="D24" s="53"/>
      <c r="E24" s="54"/>
      <c r="F24" s="49"/>
      <c r="G24" s="53"/>
      <c r="H24" s="54"/>
      <c r="I24" s="50"/>
      <c r="J24" s="53"/>
      <c r="K24" s="54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15" t="s">
        <v>32</v>
      </c>
      <c r="C25" s="116"/>
      <c r="D25" s="53">
        <v>5878452.5503670899</v>
      </c>
      <c r="E25" s="54">
        <v>23.656807211136901</v>
      </c>
      <c r="F25" s="56"/>
      <c r="G25" s="53">
        <v>2831214.8118126802</v>
      </c>
      <c r="H25" s="54">
        <v>22.485313789515398</v>
      </c>
      <c r="I25" s="30"/>
      <c r="J25" s="53">
        <v>3214964.4925496201</v>
      </c>
      <c r="K25" s="54">
        <v>26.138918756549099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17" t="s">
        <v>97</v>
      </c>
      <c r="C26" s="118"/>
      <c r="D26" s="53">
        <v>20011010.353963401</v>
      </c>
      <c r="E26" s="54">
        <v>79.446503391006203</v>
      </c>
      <c r="F26" s="56"/>
      <c r="G26" s="53">
        <v>10533164.464611501</v>
      </c>
      <c r="H26" s="54">
        <v>81.636173190455494</v>
      </c>
      <c r="I26" s="30"/>
      <c r="J26" s="53">
        <v>9837662.4013257101</v>
      </c>
      <c r="K26" s="54">
        <v>78.487731276379407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17" t="s">
        <v>96</v>
      </c>
      <c r="C27" s="118"/>
      <c r="D27" s="53">
        <v>38337.353875328197</v>
      </c>
      <c r="E27" s="54">
        <v>0.155978150794228</v>
      </c>
      <c r="F27" s="56"/>
      <c r="G27" s="53">
        <v>35991.2359672194</v>
      </c>
      <c r="H27" s="54">
        <v>0.28931900845337499</v>
      </c>
      <c r="I27" s="30"/>
      <c r="J27" s="53">
        <v>5363.7631554575801</v>
      </c>
      <c r="K27" s="54">
        <v>4.41720428223428E-2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26"/>
      <c r="C28" s="126"/>
      <c r="D28" s="126"/>
      <c r="E28" s="126"/>
      <c r="F28" s="126"/>
      <c r="G28" s="126"/>
      <c r="H28" s="127"/>
      <c r="I28" s="127"/>
      <c r="J28" s="127"/>
      <c r="K28" s="127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6.95" customHeight="1">
      <c r="A29" s="30"/>
      <c r="B29" s="128"/>
      <c r="C29" s="128"/>
      <c r="D29" s="128"/>
      <c r="E29" s="128"/>
      <c r="F29" s="128"/>
      <c r="G29" s="128"/>
      <c r="H29" s="110"/>
      <c r="I29" s="110"/>
      <c r="J29" s="110"/>
      <c r="K29" s="11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2" customHeight="1">
      <c r="A30" s="30"/>
      <c r="B30" s="129" t="s">
        <v>76</v>
      </c>
      <c r="C30" s="129"/>
      <c r="D30" s="129"/>
      <c r="E30" s="129"/>
      <c r="F30" s="129"/>
      <c r="G30" s="129"/>
      <c r="H30" s="129"/>
      <c r="I30" s="129"/>
      <c r="J30" s="129"/>
      <c r="K30" s="1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24" customHeight="1">
      <c r="A31" s="30"/>
      <c r="B31" s="263" t="s">
        <v>87</v>
      </c>
      <c r="C31" s="263"/>
      <c r="D31" s="263"/>
      <c r="E31" s="263"/>
      <c r="F31" s="263"/>
      <c r="G31" s="263"/>
      <c r="H31" s="263"/>
      <c r="I31" s="263"/>
      <c r="J31" s="263"/>
      <c r="K31" s="263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2" customHeight="1">
      <c r="A32" s="30"/>
      <c r="B32" s="254" t="s">
        <v>102</v>
      </c>
      <c r="C32" s="254"/>
      <c r="D32" s="254"/>
      <c r="E32" s="254"/>
      <c r="F32" s="254"/>
      <c r="G32" s="254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</sheetData>
  <mergeCells count="8">
    <mergeCell ref="B31:K31"/>
    <mergeCell ref="B32:G32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19CD55ED-249D-4EAA-B885-3C1EF520C83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7DF9-17EB-4825-B9A8-9F08C1D5C8DB}">
  <dimension ref="A1:W93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265"/>
      <c r="C4" s="265"/>
      <c r="D4" s="265"/>
      <c r="E4" s="265"/>
      <c r="F4" s="265"/>
      <c r="G4" s="265"/>
      <c r="H4" s="265"/>
      <c r="I4" s="65"/>
      <c r="J4" s="65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s="2" customFormat="1" ht="30" customHeight="1">
      <c r="A5" s="131"/>
      <c r="B5" s="266" t="s">
        <v>137</v>
      </c>
      <c r="C5" s="266"/>
      <c r="D5" s="266"/>
      <c r="E5" s="266"/>
      <c r="F5" s="266"/>
      <c r="G5" s="266"/>
      <c r="H5" s="266"/>
      <c r="I5" s="132"/>
      <c r="J5" s="132"/>
      <c r="K5" s="112" t="s">
        <v>55</v>
      </c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20.100000000000001" customHeight="1">
      <c r="A7" s="30"/>
      <c r="B7" s="261" t="s">
        <v>138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20.100000000000001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20.100000000000001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33367016.851553898</v>
      </c>
      <c r="E11" s="48">
        <v>100</v>
      </c>
      <c r="F11" s="49"/>
      <c r="G11" s="47">
        <v>17562200.6267302</v>
      </c>
      <c r="H11" s="48">
        <v>100</v>
      </c>
      <c r="I11" s="50"/>
      <c r="J11" s="47">
        <v>16300009.401280399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33" t="s">
        <v>90</v>
      </c>
      <c r="C13" s="98"/>
      <c r="D13" s="47"/>
      <c r="E13" s="48"/>
      <c r="F13" s="49"/>
      <c r="G13" s="47"/>
      <c r="H13" s="48"/>
      <c r="I13" s="50"/>
      <c r="J13" s="47"/>
      <c r="K13" s="48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98"/>
      <c r="C14" s="98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00" t="s">
        <v>98</v>
      </c>
      <c r="C15" s="98"/>
      <c r="D15" s="53">
        <v>18386530.488339599</v>
      </c>
      <c r="E15" s="54">
        <v>56.187585235791502</v>
      </c>
      <c r="F15" s="56"/>
      <c r="G15" s="53">
        <v>9065970.11791653</v>
      </c>
      <c r="H15" s="54">
        <v>53.241323160953002</v>
      </c>
      <c r="I15" s="30"/>
      <c r="J15" s="53">
        <v>9682553.8928571399</v>
      </c>
      <c r="K15" s="54">
        <v>60.906151483248799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00" t="s">
        <v>99</v>
      </c>
      <c r="C16" s="98"/>
      <c r="D16" s="53">
        <v>14641910.857576</v>
      </c>
      <c r="E16" s="54">
        <v>44.742696219208597</v>
      </c>
      <c r="F16" s="56"/>
      <c r="G16" s="53">
        <v>8296278.8352760701</v>
      </c>
      <c r="H16" s="54">
        <v>48.467348746470897</v>
      </c>
      <c r="I16" s="30"/>
      <c r="J16" s="53">
        <v>6656591.9496988496</v>
      </c>
      <c r="K16" s="54">
        <v>42.217740775227497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00" t="s">
        <v>100</v>
      </c>
      <c r="C17" s="98"/>
      <c r="D17" s="53">
        <v>1007386.37633794</v>
      </c>
      <c r="E17" s="54">
        <v>3.1118846251678298</v>
      </c>
      <c r="F17" s="56"/>
      <c r="G17" s="53">
        <v>667554.50535149896</v>
      </c>
      <c r="H17" s="54">
        <v>3.95583676045251</v>
      </c>
      <c r="I17" s="30"/>
      <c r="J17" s="53">
        <v>400506.69099871902</v>
      </c>
      <c r="K17" s="54">
        <v>2.5762627173671602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134"/>
      <c r="C18" s="98"/>
      <c r="D18" s="22"/>
      <c r="E18" s="22"/>
      <c r="F18" s="22"/>
      <c r="G18" s="22"/>
      <c r="H18" s="22"/>
      <c r="I18" s="30"/>
      <c r="J18" s="22"/>
      <c r="K18" s="22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33" t="s">
        <v>91</v>
      </c>
      <c r="C19" s="98"/>
      <c r="D19" s="47"/>
      <c r="E19" s="48"/>
      <c r="F19" s="49"/>
      <c r="G19" s="47"/>
      <c r="H19" s="48"/>
      <c r="I19" s="50"/>
      <c r="J19" s="47"/>
      <c r="K19" s="48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98"/>
      <c r="C20" s="98"/>
      <c r="D20" s="53"/>
      <c r="E20" s="54"/>
      <c r="F20" s="49"/>
      <c r="G20" s="53"/>
      <c r="H20" s="54"/>
      <c r="I20" s="50"/>
      <c r="J20" s="53"/>
      <c r="K20" s="54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00" t="s">
        <v>98</v>
      </c>
      <c r="C21" s="98"/>
      <c r="D21" s="53">
        <v>21360159.420901299</v>
      </c>
      <c r="E21" s="54">
        <v>65.125172857688696</v>
      </c>
      <c r="F21" s="56"/>
      <c r="G21" s="53">
        <v>10604465.5425949</v>
      </c>
      <c r="H21" s="54">
        <v>62.062443326595996</v>
      </c>
      <c r="I21" s="30"/>
      <c r="J21" s="53">
        <v>11125645.2772021</v>
      </c>
      <c r="K21" s="54">
        <v>69.728868764830807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100" t="s">
        <v>99</v>
      </c>
      <c r="C22" s="98"/>
      <c r="D22" s="53">
        <v>12093854.9140156</v>
      </c>
      <c r="E22" s="54">
        <v>37.033074642977397</v>
      </c>
      <c r="F22" s="56"/>
      <c r="G22" s="53">
        <v>7020140.7475718101</v>
      </c>
      <c r="H22" s="54">
        <v>41.050994957974602</v>
      </c>
      <c r="I22" s="30"/>
      <c r="J22" s="53">
        <v>5339819.4927633703</v>
      </c>
      <c r="K22" s="54">
        <v>33.972550635382099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100" t="s">
        <v>100</v>
      </c>
      <c r="C23" s="98"/>
      <c r="D23" s="53">
        <v>527472.506939666</v>
      </c>
      <c r="E23" s="54">
        <v>1.63018276838702</v>
      </c>
      <c r="F23" s="56"/>
      <c r="G23" s="53">
        <v>347672.71667674498</v>
      </c>
      <c r="H23" s="54">
        <v>2.06585135167962</v>
      </c>
      <c r="I23" s="30"/>
      <c r="J23" s="53">
        <v>223467.573720343</v>
      </c>
      <c r="K23" s="54">
        <v>1.4378021480035701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134"/>
      <c r="C24" s="98"/>
      <c r="D24" s="22"/>
      <c r="E24" s="22"/>
      <c r="F24" s="22"/>
      <c r="G24" s="22"/>
      <c r="H24" s="22"/>
      <c r="I24" s="30"/>
      <c r="J24" s="22"/>
      <c r="K24" s="22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33" t="s">
        <v>92</v>
      </c>
      <c r="C25" s="98"/>
      <c r="D25" s="47"/>
      <c r="E25" s="48"/>
      <c r="F25" s="49"/>
      <c r="G25" s="47"/>
      <c r="H25" s="48"/>
      <c r="I25" s="50"/>
      <c r="J25" s="47"/>
      <c r="K25" s="48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98"/>
      <c r="C26" s="98"/>
      <c r="D26" s="53"/>
      <c r="E26" s="54"/>
      <c r="F26" s="49"/>
      <c r="G26" s="53"/>
      <c r="H26" s="54"/>
      <c r="I26" s="50"/>
      <c r="J26" s="53"/>
      <c r="K26" s="54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00" t="s">
        <v>98</v>
      </c>
      <c r="C27" s="98"/>
      <c r="D27" s="53">
        <v>20339014.427075401</v>
      </c>
      <c r="E27" s="54">
        <v>62.065605418143498</v>
      </c>
      <c r="F27" s="56"/>
      <c r="G27" s="53">
        <v>10326271.200363699</v>
      </c>
      <c r="H27" s="54">
        <v>60.346296482449503</v>
      </c>
      <c r="I27" s="30"/>
      <c r="J27" s="53">
        <v>10391331.7467691</v>
      </c>
      <c r="K27" s="54">
        <v>65.3287376613807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100" t="s">
        <v>99</v>
      </c>
      <c r="C28" s="98"/>
      <c r="D28" s="53">
        <v>13148644.0280517</v>
      </c>
      <c r="E28" s="54">
        <v>40.223117256298998</v>
      </c>
      <c r="F28" s="56"/>
      <c r="G28" s="53">
        <v>7353368.7652133601</v>
      </c>
      <c r="H28" s="54">
        <v>43.110200132715399</v>
      </c>
      <c r="I28" s="30"/>
      <c r="J28" s="53">
        <v>6073278.7969965301</v>
      </c>
      <c r="K28" s="54">
        <v>38.498343744095301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00" t="s">
        <v>100</v>
      </c>
      <c r="C29" s="98"/>
      <c r="D29" s="53">
        <v>477256.60274553898</v>
      </c>
      <c r="E29" s="54">
        <v>1.47454638095733</v>
      </c>
      <c r="F29" s="56"/>
      <c r="G29" s="53">
        <v>292536.36057177698</v>
      </c>
      <c r="H29" s="54">
        <v>1.73510712864134</v>
      </c>
      <c r="I29" s="30"/>
      <c r="J29" s="53">
        <v>230651.596172722</v>
      </c>
      <c r="K29" s="54">
        <v>1.4843740226190201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134"/>
      <c r="C30" s="98"/>
      <c r="D30" s="22"/>
      <c r="E30" s="22"/>
      <c r="F30" s="22"/>
      <c r="G30" s="22"/>
      <c r="H30" s="22"/>
      <c r="I30" s="30"/>
      <c r="J30" s="22"/>
      <c r="K30" s="22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133" t="s">
        <v>107</v>
      </c>
      <c r="C31" s="98"/>
      <c r="D31" s="47"/>
      <c r="E31" s="48"/>
      <c r="F31" s="49"/>
      <c r="G31" s="47"/>
      <c r="H31" s="48"/>
      <c r="I31" s="50"/>
      <c r="J31" s="47"/>
      <c r="K31" s="48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98"/>
      <c r="C32" s="98"/>
      <c r="D32" s="53"/>
      <c r="E32" s="54"/>
      <c r="F32" s="49"/>
      <c r="G32" s="53"/>
      <c r="H32" s="54"/>
      <c r="I32" s="50"/>
      <c r="J32" s="53"/>
      <c r="K32" s="54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00" t="s">
        <v>98</v>
      </c>
      <c r="C33" s="98"/>
      <c r="D33" s="53">
        <v>20572484.3026063</v>
      </c>
      <c r="E33" s="54">
        <v>62.739470006511901</v>
      </c>
      <c r="F33" s="56"/>
      <c r="G33" s="53">
        <v>10067047.4133322</v>
      </c>
      <c r="H33" s="54">
        <v>58.980417977884798</v>
      </c>
      <c r="I33" s="30"/>
      <c r="J33" s="53">
        <v>10874187.563237101</v>
      </c>
      <c r="K33" s="54">
        <v>68.106923956923893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100" t="s">
        <v>99</v>
      </c>
      <c r="C34" s="98"/>
      <c r="D34" s="53">
        <v>12973111.867116701</v>
      </c>
      <c r="E34" s="54">
        <v>39.686124224979302</v>
      </c>
      <c r="F34" s="56"/>
      <c r="G34" s="53">
        <v>7646705.2178998403</v>
      </c>
      <c r="H34" s="54">
        <v>44.631216301849797</v>
      </c>
      <c r="I34" s="30"/>
      <c r="J34" s="53">
        <v>5602032.3605668703</v>
      </c>
      <c r="K34" s="54">
        <v>35.6524931818753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100" t="s">
        <v>100</v>
      </c>
      <c r="C35" s="98"/>
      <c r="D35" s="53">
        <v>375613.50126653002</v>
      </c>
      <c r="E35" s="54">
        <v>1.1630007357678001</v>
      </c>
      <c r="F35" s="56"/>
      <c r="G35" s="53">
        <v>212466.37597189701</v>
      </c>
      <c r="H35" s="54">
        <v>1.2671959503801999</v>
      </c>
      <c r="I35" s="30"/>
      <c r="J35" s="53">
        <v>195869.27061507199</v>
      </c>
      <c r="K35" s="54">
        <v>1.2601289150274999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119"/>
      <c r="C36" s="119"/>
      <c r="D36" s="22"/>
      <c r="E36" s="135"/>
      <c r="F36" s="135"/>
      <c r="G36" s="22"/>
      <c r="H36" s="135"/>
      <c r="I36" s="135"/>
      <c r="J36" s="22"/>
      <c r="K36" s="135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36" t="s">
        <v>7</v>
      </c>
      <c r="C37" s="137"/>
      <c r="D37" s="47">
        <v>8593366.3622750808</v>
      </c>
      <c r="E37" s="48">
        <v>100</v>
      </c>
      <c r="F37" s="49"/>
      <c r="G37" s="47">
        <v>4889022.8251879103</v>
      </c>
      <c r="H37" s="48">
        <v>100</v>
      </c>
      <c r="I37" s="50"/>
      <c r="J37" s="47">
        <v>3883257.3074392802</v>
      </c>
      <c r="K37" s="48">
        <v>100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98"/>
      <c r="C38" s="98"/>
      <c r="D38" s="30"/>
      <c r="E38" s="30"/>
      <c r="F38" s="5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33" t="s">
        <v>90</v>
      </c>
      <c r="C39" s="98"/>
      <c r="D39" s="47"/>
      <c r="E39" s="48"/>
      <c r="F39" s="49"/>
      <c r="G39" s="47"/>
      <c r="H39" s="48"/>
      <c r="I39" s="50"/>
      <c r="J39" s="47"/>
      <c r="K39" s="48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98"/>
      <c r="C40" s="98"/>
      <c r="D40" s="53"/>
      <c r="E40" s="54"/>
      <c r="F40" s="49"/>
      <c r="G40" s="53"/>
      <c r="H40" s="54"/>
      <c r="I40" s="50"/>
      <c r="J40" s="53"/>
      <c r="K40" s="54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00" t="s">
        <v>98</v>
      </c>
      <c r="C41" s="98"/>
      <c r="D41" s="53">
        <v>4339584.9265737999</v>
      </c>
      <c r="E41" s="54">
        <v>53.326995484602598</v>
      </c>
      <c r="F41" s="56"/>
      <c r="G41" s="53">
        <v>2399651.5756000099</v>
      </c>
      <c r="H41" s="54">
        <v>52.410852820555696</v>
      </c>
      <c r="I41" s="30"/>
      <c r="J41" s="53">
        <v>2097534.68463556</v>
      </c>
      <c r="K41" s="54">
        <v>58.282941185177201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00" t="s">
        <v>99</v>
      </c>
      <c r="C42" s="98"/>
      <c r="D42" s="53">
        <v>4108757.3461029399</v>
      </c>
      <c r="E42" s="54">
        <v>50.271987859655297</v>
      </c>
      <c r="F42" s="56"/>
      <c r="G42" s="53">
        <v>2414080.57077921</v>
      </c>
      <c r="H42" s="54">
        <v>53.107074820129199</v>
      </c>
      <c r="I42" s="30"/>
      <c r="J42" s="53">
        <v>1827239.13069714</v>
      </c>
      <c r="K42" s="54">
        <v>50.404128609830998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100" t="s">
        <v>100</v>
      </c>
      <c r="C43" s="98"/>
      <c r="D43" s="53">
        <v>454152.63276617602</v>
      </c>
      <c r="E43" s="54">
        <v>5.8158014527127904</v>
      </c>
      <c r="F43" s="56"/>
      <c r="G43" s="53">
        <v>346239.96603956702</v>
      </c>
      <c r="H43" s="54">
        <v>7.8489000379219798</v>
      </c>
      <c r="I43" s="30"/>
      <c r="J43" s="53">
        <v>141870.83650254799</v>
      </c>
      <c r="K43" s="54">
        <v>4.1429709783391404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6.95" customHeight="1">
      <c r="A44" s="30"/>
      <c r="B44" s="134"/>
      <c r="C44" s="98"/>
      <c r="D44" s="22"/>
      <c r="E44" s="22"/>
      <c r="F44" s="22"/>
      <c r="G44" s="22"/>
      <c r="H44" s="22"/>
      <c r="I44" s="30"/>
      <c r="J44" s="22"/>
      <c r="K44" s="22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133" t="s">
        <v>91</v>
      </c>
      <c r="C45" s="98"/>
      <c r="D45" s="47"/>
      <c r="E45" s="48"/>
      <c r="F45" s="49"/>
      <c r="G45" s="47"/>
      <c r="H45" s="48"/>
      <c r="I45" s="50"/>
      <c r="J45" s="47"/>
      <c r="K45" s="48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98"/>
      <c r="C46" s="98"/>
      <c r="D46" s="53"/>
      <c r="E46" s="54"/>
      <c r="F46" s="49"/>
      <c r="G46" s="53"/>
      <c r="H46" s="54"/>
      <c r="I46" s="50"/>
      <c r="J46" s="53"/>
      <c r="K46" s="54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15" customHeight="1">
      <c r="A47" s="30"/>
      <c r="B47" s="100" t="s">
        <v>98</v>
      </c>
      <c r="C47" s="98"/>
      <c r="D47" s="53">
        <v>4797996.3870067596</v>
      </c>
      <c r="E47" s="54">
        <v>58.800700780388098</v>
      </c>
      <c r="F47" s="56"/>
      <c r="G47" s="53">
        <v>2659035.6268024798</v>
      </c>
      <c r="H47" s="54">
        <v>58.166785045485099</v>
      </c>
      <c r="I47" s="30"/>
      <c r="J47" s="53">
        <v>2264333.6735775</v>
      </c>
      <c r="K47" s="54">
        <v>62.7038874134483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100" t="s">
        <v>99</v>
      </c>
      <c r="C48" s="98"/>
      <c r="D48" s="53">
        <v>3772451.0908582099</v>
      </c>
      <c r="E48" s="54">
        <v>46.467628112223899</v>
      </c>
      <c r="F48" s="56"/>
      <c r="G48" s="53">
        <v>2230048.2587538399</v>
      </c>
      <c r="H48" s="54">
        <v>48.674287028494703</v>
      </c>
      <c r="I48" s="30"/>
      <c r="J48" s="53">
        <v>1678783.1971879399</v>
      </c>
      <c r="K48" s="54">
        <v>46.5393491597032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5" customHeight="1">
      <c r="A49" s="30"/>
      <c r="B49" s="100" t="s">
        <v>100</v>
      </c>
      <c r="C49" s="98"/>
      <c r="D49" s="53">
        <v>331164.70170261897</v>
      </c>
      <c r="E49" s="54">
        <v>4.2306750406770801</v>
      </c>
      <c r="F49" s="56"/>
      <c r="G49" s="53">
        <v>235873.23935343599</v>
      </c>
      <c r="H49" s="54">
        <v>5.3603581132053799</v>
      </c>
      <c r="I49" s="30"/>
      <c r="J49" s="53">
        <v>127599.731722048</v>
      </c>
      <c r="K49" s="54">
        <v>3.7247681207593102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6.95" customHeight="1">
      <c r="A50" s="30"/>
      <c r="B50" s="134"/>
      <c r="C50" s="98"/>
      <c r="D50" s="22"/>
      <c r="E50" s="22"/>
      <c r="F50" s="22"/>
      <c r="G50" s="22"/>
      <c r="H50" s="22"/>
      <c r="I50" s="30"/>
      <c r="J50" s="22"/>
      <c r="K50" s="22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5" customHeight="1">
      <c r="A51" s="30"/>
      <c r="B51" s="133" t="s">
        <v>92</v>
      </c>
      <c r="C51" s="98"/>
      <c r="D51" s="47"/>
      <c r="E51" s="48"/>
      <c r="F51" s="49"/>
      <c r="G51" s="47"/>
      <c r="H51" s="48"/>
      <c r="I51" s="50"/>
      <c r="J51" s="47"/>
      <c r="K51" s="48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6.95" customHeight="1">
      <c r="A52" s="30"/>
      <c r="B52" s="98"/>
      <c r="C52" s="98"/>
      <c r="D52" s="53"/>
      <c r="E52" s="54"/>
      <c r="F52" s="49"/>
      <c r="G52" s="53"/>
      <c r="H52" s="54"/>
      <c r="I52" s="50"/>
      <c r="J52" s="53"/>
      <c r="K52" s="54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15" customHeight="1">
      <c r="A53" s="30"/>
      <c r="B53" s="100" t="s">
        <v>98</v>
      </c>
      <c r="C53" s="98"/>
      <c r="D53" s="53">
        <v>4737436.2593412101</v>
      </c>
      <c r="E53" s="54">
        <v>57.913016330490002</v>
      </c>
      <c r="F53" s="56"/>
      <c r="G53" s="53">
        <v>2797750.9737014798</v>
      </c>
      <c r="H53" s="54">
        <v>60.404911399124799</v>
      </c>
      <c r="I53" s="30"/>
      <c r="J53" s="53">
        <v>2067872.8695869399</v>
      </c>
      <c r="K53" s="54">
        <v>57.7860138317482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15" customHeight="1">
      <c r="A54" s="30"/>
      <c r="B54" s="100" t="s">
        <v>99</v>
      </c>
      <c r="C54" s="98"/>
      <c r="D54" s="53">
        <v>3898838.5961989802</v>
      </c>
      <c r="E54" s="54">
        <v>48.305590773070897</v>
      </c>
      <c r="F54" s="56"/>
      <c r="G54" s="53">
        <v>2134181.00336657</v>
      </c>
      <c r="H54" s="54">
        <v>47.811842342630101</v>
      </c>
      <c r="I54" s="30"/>
      <c r="J54" s="53">
        <v>1889961.18744201</v>
      </c>
      <c r="K54" s="54">
        <v>51.701138150892497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spans="1:23" ht="15" customHeight="1">
      <c r="A55" s="30"/>
      <c r="B55" s="100" t="s">
        <v>100</v>
      </c>
      <c r="C55" s="98"/>
      <c r="D55" s="53">
        <v>255011.43932454</v>
      </c>
      <c r="E55" s="54">
        <v>3.2351874597575399</v>
      </c>
      <c r="F55" s="56"/>
      <c r="G55" s="53">
        <v>199085.31108378799</v>
      </c>
      <c r="H55" s="54">
        <v>4.4808952461563996</v>
      </c>
      <c r="I55" s="30"/>
      <c r="J55" s="53">
        <v>85152.341228206395</v>
      </c>
      <c r="K55" s="54">
        <v>2.4817688969042799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spans="1:23" ht="6.95" customHeight="1">
      <c r="A56" s="30"/>
      <c r="B56" s="134"/>
      <c r="C56" s="98"/>
      <c r="D56" s="22"/>
      <c r="E56" s="22"/>
      <c r="F56" s="22"/>
      <c r="G56" s="22"/>
      <c r="H56" s="22"/>
      <c r="I56" s="30"/>
      <c r="J56" s="22"/>
      <c r="K56" s="22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spans="1:23" ht="30" customHeight="1">
      <c r="A57" s="30"/>
      <c r="B57" s="133" t="s">
        <v>107</v>
      </c>
      <c r="C57" s="98"/>
      <c r="D57" s="47"/>
      <c r="E57" s="48"/>
      <c r="F57" s="49"/>
      <c r="G57" s="47"/>
      <c r="H57" s="48"/>
      <c r="I57" s="50"/>
      <c r="J57" s="47"/>
      <c r="K57" s="48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spans="1:23" ht="6.95" customHeight="1">
      <c r="A58" s="30"/>
      <c r="B58" s="98"/>
      <c r="C58" s="98"/>
      <c r="D58" s="53"/>
      <c r="E58" s="54"/>
      <c r="F58" s="49"/>
      <c r="G58" s="53"/>
      <c r="H58" s="54"/>
      <c r="I58" s="50"/>
      <c r="J58" s="53"/>
      <c r="K58" s="54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spans="1:23" ht="15" customHeight="1">
      <c r="A59" s="30"/>
      <c r="B59" s="100" t="s">
        <v>98</v>
      </c>
      <c r="C59" s="98"/>
      <c r="D59" s="53">
        <v>4778695.3751040297</v>
      </c>
      <c r="E59" s="54">
        <v>58.293426990791303</v>
      </c>
      <c r="F59" s="56"/>
      <c r="G59" s="53">
        <v>2702757.4075074098</v>
      </c>
      <c r="H59" s="54">
        <v>58.710055342549303</v>
      </c>
      <c r="I59" s="30"/>
      <c r="J59" s="53">
        <v>2208385.4236515798</v>
      </c>
      <c r="K59" s="54">
        <v>60.941576116014701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spans="1:23" ht="15" customHeight="1">
      <c r="A60" s="30"/>
      <c r="B60" s="100" t="s">
        <v>99</v>
      </c>
      <c r="C60" s="98"/>
      <c r="D60" s="53">
        <v>3914540.08432305</v>
      </c>
      <c r="E60" s="54">
        <v>48.268188309771098</v>
      </c>
      <c r="F60" s="56"/>
      <c r="G60" s="53">
        <v>2290874.3051817901</v>
      </c>
      <c r="H60" s="54">
        <v>50.237842866919202</v>
      </c>
      <c r="I60" s="30"/>
      <c r="J60" s="53">
        <v>1763548.3438746601</v>
      </c>
      <c r="K60" s="54">
        <v>48.8766145666158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spans="1:23" ht="15" customHeight="1">
      <c r="A61" s="30"/>
      <c r="B61" s="100" t="s">
        <v>100</v>
      </c>
      <c r="C61" s="98"/>
      <c r="D61" s="53">
        <v>153992.62966063901</v>
      </c>
      <c r="E61" s="54">
        <v>1.9827777259673101</v>
      </c>
      <c r="F61" s="56"/>
      <c r="G61" s="53">
        <v>98962.688342200301</v>
      </c>
      <c r="H61" s="54">
        <v>2.2829567890772702</v>
      </c>
      <c r="I61" s="30"/>
      <c r="J61" s="53">
        <v>74848.731024462599</v>
      </c>
      <c r="K61" s="54">
        <v>2.1780483069890502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spans="1:23" ht="6.95" customHeight="1">
      <c r="A62" s="30"/>
      <c r="B62" s="119"/>
      <c r="C62" s="119"/>
      <c r="D62" s="22"/>
      <c r="E62" s="135"/>
      <c r="F62" s="135"/>
      <c r="G62" s="22"/>
      <c r="H62" s="135"/>
      <c r="I62" s="135"/>
      <c r="J62" s="22"/>
      <c r="K62" s="135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spans="1:23" ht="15" customHeight="1">
      <c r="A63" s="30"/>
      <c r="B63" s="136" t="s">
        <v>8</v>
      </c>
      <c r="C63" s="137"/>
      <c r="D63" s="47">
        <v>25596950.102660902</v>
      </c>
      <c r="E63" s="48">
        <v>100</v>
      </c>
      <c r="F63" s="49"/>
      <c r="G63" s="47">
        <v>13168191.121520599</v>
      </c>
      <c r="H63" s="48">
        <v>100</v>
      </c>
      <c r="I63" s="50"/>
      <c r="J63" s="47">
        <v>12818038.385053599</v>
      </c>
      <c r="K63" s="48">
        <v>100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spans="1:23" ht="6.95" customHeight="1">
      <c r="A64" s="30"/>
      <c r="B64" s="136"/>
      <c r="C64" s="137"/>
      <c r="D64" s="30"/>
      <c r="E64" s="30"/>
      <c r="F64" s="51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spans="1:23" ht="15" customHeight="1">
      <c r="A65" s="30"/>
      <c r="B65" s="133" t="s">
        <v>90</v>
      </c>
      <c r="C65" s="98"/>
      <c r="D65" s="47"/>
      <c r="E65" s="48"/>
      <c r="F65" s="49"/>
      <c r="G65" s="47"/>
      <c r="H65" s="48"/>
      <c r="I65" s="50"/>
      <c r="J65" s="47"/>
      <c r="K65" s="48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spans="1:23" ht="6.95" customHeight="1">
      <c r="A66" s="30"/>
      <c r="B66" s="98"/>
      <c r="C66" s="98"/>
      <c r="D66" s="53"/>
      <c r="E66" s="54"/>
      <c r="F66" s="49"/>
      <c r="G66" s="53"/>
      <c r="H66" s="54"/>
      <c r="I66" s="50"/>
      <c r="J66" s="53"/>
      <c r="K66" s="54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spans="1:23" ht="15" customHeight="1">
      <c r="A67" s="30"/>
      <c r="B67" s="100" t="s">
        <v>98</v>
      </c>
      <c r="C67" s="98"/>
      <c r="D67" s="53">
        <v>14510895.239088001</v>
      </c>
      <c r="E67" s="54">
        <v>58.029596397824498</v>
      </c>
      <c r="F67" s="56"/>
      <c r="G67" s="53">
        <v>6952142.11047279</v>
      </c>
      <c r="H67" s="54">
        <v>54.8500954504646</v>
      </c>
      <c r="I67" s="30"/>
      <c r="J67" s="53">
        <v>7838846.3930285098</v>
      </c>
      <c r="K67" s="54">
        <v>62.844849687776403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spans="1:23" ht="15" customHeight="1">
      <c r="A68" s="30"/>
      <c r="B68" s="100" t="s">
        <v>99</v>
      </c>
      <c r="C68" s="98"/>
      <c r="D68" s="53">
        <v>10961919.554560199</v>
      </c>
      <c r="E68" s="54">
        <v>43.921359509945802</v>
      </c>
      <c r="F68" s="56"/>
      <c r="G68" s="53">
        <v>6158177.3875577701</v>
      </c>
      <c r="H68" s="54">
        <v>48.117122684981801</v>
      </c>
      <c r="I68" s="30"/>
      <c r="J68" s="53">
        <v>5060347.6489625303</v>
      </c>
      <c r="K68" s="54">
        <v>41.128893819671198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spans="1:23" ht="15" customHeight="1">
      <c r="A69" s="30"/>
      <c r="B69" s="100" t="s">
        <v>100</v>
      </c>
      <c r="C69" s="98"/>
      <c r="D69" s="53">
        <v>630054.03642210294</v>
      </c>
      <c r="E69" s="54">
        <v>2.5546101151109002</v>
      </c>
      <c r="F69" s="56"/>
      <c r="G69" s="53">
        <v>382880.13295780099</v>
      </c>
      <c r="H69" s="54">
        <v>3.0620576132382502</v>
      </c>
      <c r="I69" s="30"/>
      <c r="J69" s="53">
        <v>295744.964711876</v>
      </c>
      <c r="K69" s="54">
        <v>2.4300808011317798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spans="1:23" ht="6.95" customHeight="1">
      <c r="A70" s="30"/>
      <c r="B70" s="134"/>
      <c r="C70" s="98"/>
      <c r="D70" s="22"/>
      <c r="E70" s="22"/>
      <c r="F70" s="22"/>
      <c r="G70" s="22"/>
      <c r="H70" s="22"/>
      <c r="I70" s="30"/>
      <c r="J70" s="22"/>
      <c r="K70" s="22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spans="1:23" ht="15" customHeight="1">
      <c r="A71" s="30"/>
      <c r="B71" s="133" t="s">
        <v>91</v>
      </c>
      <c r="C71" s="98"/>
      <c r="D71" s="47"/>
      <c r="E71" s="48"/>
      <c r="F71" s="49"/>
      <c r="G71" s="47"/>
      <c r="H71" s="48"/>
      <c r="I71" s="50"/>
      <c r="J71" s="47"/>
      <c r="K71" s="48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spans="1:23" ht="6.95" customHeight="1">
      <c r="A72" s="30"/>
      <c r="B72" s="98"/>
      <c r="C72" s="98"/>
      <c r="D72" s="53"/>
      <c r="E72" s="54"/>
      <c r="F72" s="49"/>
      <c r="G72" s="53"/>
      <c r="H72" s="54"/>
      <c r="I72" s="50"/>
      <c r="J72" s="53"/>
      <c r="K72" s="54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spans="1:23" ht="15" customHeight="1">
      <c r="A73" s="30"/>
      <c r="B73" s="100" t="s">
        <v>98</v>
      </c>
      <c r="C73" s="98"/>
      <c r="D73" s="53">
        <v>17073459.724291299</v>
      </c>
      <c r="E73" s="54">
        <v>68.022455572562507</v>
      </c>
      <c r="F73" s="56"/>
      <c r="G73" s="53">
        <v>8260245.9791949401</v>
      </c>
      <c r="H73" s="54">
        <v>64.672670406920204</v>
      </c>
      <c r="I73" s="30"/>
      <c r="J73" s="53">
        <v>9136731.0467123892</v>
      </c>
      <c r="K73" s="54">
        <v>72.804526883034399</v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spans="1:23" ht="15" customHeight="1">
      <c r="A74" s="30"/>
      <c r="B74" s="100" t="s">
        <v>99</v>
      </c>
      <c r="C74" s="98"/>
      <c r="D74" s="53">
        <v>8703885.8000465799</v>
      </c>
      <c r="E74" s="54">
        <v>34.939688857530399</v>
      </c>
      <c r="F74" s="56"/>
      <c r="G74" s="53">
        <v>5041652.2159572998</v>
      </c>
      <c r="H74" s="54">
        <v>39.586279088013001</v>
      </c>
      <c r="I74" s="30"/>
      <c r="J74" s="53">
        <v>3862121.2500646901</v>
      </c>
      <c r="K74" s="54">
        <v>31.533002386282298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spans="1:23" ht="15" customHeight="1">
      <c r="A75" s="30"/>
      <c r="B75" s="100" t="s">
        <v>100</v>
      </c>
      <c r="C75" s="98"/>
      <c r="D75" s="53">
        <v>245353.41299183801</v>
      </c>
      <c r="E75" s="54">
        <v>0.99857546762912996</v>
      </c>
      <c r="F75" s="56"/>
      <c r="G75" s="53">
        <v>151255.37419882099</v>
      </c>
      <c r="H75" s="54">
        <v>1.2166470290667599</v>
      </c>
      <c r="I75" s="30"/>
      <c r="J75" s="53">
        <v>121460.475852084</v>
      </c>
      <c r="K75" s="54">
        <v>0.99985623935048795</v>
      </c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spans="1:23" ht="6.95" customHeight="1">
      <c r="A76" s="30"/>
      <c r="B76" s="134"/>
      <c r="C76" s="98"/>
      <c r="D76" s="22"/>
      <c r="E76" s="22"/>
      <c r="F76" s="22"/>
      <c r="G76" s="22"/>
      <c r="H76" s="22"/>
      <c r="I76" s="30"/>
      <c r="J76" s="22"/>
      <c r="K76" s="22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spans="1:23" ht="15" customHeight="1">
      <c r="A77" s="30"/>
      <c r="B77" s="133" t="s">
        <v>92</v>
      </c>
      <c r="C77" s="98"/>
      <c r="D77" s="47"/>
      <c r="E77" s="48"/>
      <c r="F77" s="49"/>
      <c r="G77" s="47"/>
      <c r="H77" s="48"/>
      <c r="I77" s="50"/>
      <c r="J77" s="47"/>
      <c r="K77" s="48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spans="1:23" ht="6.95" customHeight="1">
      <c r="A78" s="30"/>
      <c r="B78" s="98"/>
      <c r="C78" s="98"/>
      <c r="D78" s="53"/>
      <c r="E78" s="54"/>
      <c r="F78" s="49"/>
      <c r="G78" s="53"/>
      <c r="H78" s="54"/>
      <c r="I78" s="50"/>
      <c r="J78" s="53"/>
      <c r="K78" s="54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spans="1:23" ht="15" customHeight="1">
      <c r="A79" s="30"/>
      <c r="B79" s="100" t="s">
        <v>98</v>
      </c>
      <c r="C79" s="98"/>
      <c r="D79" s="53">
        <v>16140479.582738001</v>
      </c>
      <c r="E79" s="54">
        <v>64.337600023165294</v>
      </c>
      <c r="F79" s="56"/>
      <c r="G79" s="53">
        <v>7871107.8821913302</v>
      </c>
      <c r="H79" s="54">
        <v>61.667999358902499</v>
      </c>
      <c r="I79" s="30"/>
      <c r="J79" s="53">
        <v>8576550.9810689092</v>
      </c>
      <c r="K79" s="54">
        <v>68.499873618405402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spans="1:23" ht="15" customHeight="1">
      <c r="A80" s="30"/>
      <c r="B80" s="100" t="s">
        <v>99</v>
      </c>
      <c r="C80" s="98"/>
      <c r="D80" s="53">
        <v>9625601.2400734797</v>
      </c>
      <c r="E80" s="54">
        <v>38.634885814312298</v>
      </c>
      <c r="F80" s="56"/>
      <c r="G80" s="53">
        <v>5448869.8630932402</v>
      </c>
      <c r="H80" s="54">
        <v>42.767231230328001</v>
      </c>
      <c r="I80" s="30"/>
      <c r="J80" s="53">
        <v>4399561.0508190896</v>
      </c>
      <c r="K80" s="54">
        <v>35.839675145259498</v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spans="1:23" ht="15" customHeight="1">
      <c r="A81" s="30"/>
      <c r="B81" s="100" t="s">
        <v>100</v>
      </c>
      <c r="C81" s="98"/>
      <c r="D81" s="53">
        <v>267244.99909238098</v>
      </c>
      <c r="E81" s="54">
        <v>1.0881200092188501</v>
      </c>
      <c r="F81" s="56"/>
      <c r="G81" s="53">
        <v>124406.31501679</v>
      </c>
      <c r="H81" s="54">
        <v>1.0012062969359501</v>
      </c>
      <c r="I81" s="30"/>
      <c r="J81" s="53">
        <v>169679.48400839299</v>
      </c>
      <c r="K81" s="54">
        <v>1.39764031547103</v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spans="1:23" ht="6.95" customHeight="1">
      <c r="A82" s="30"/>
      <c r="B82" s="134"/>
      <c r="C82" s="98"/>
      <c r="D82" s="22"/>
      <c r="E82" s="22"/>
      <c r="F82" s="22"/>
      <c r="G82" s="22"/>
      <c r="H82" s="22"/>
      <c r="I82" s="30"/>
      <c r="J82" s="22"/>
      <c r="K82" s="22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spans="1:23" ht="30" customHeight="1">
      <c r="A83" s="30"/>
      <c r="B83" s="133" t="s">
        <v>107</v>
      </c>
      <c r="C83" s="98"/>
      <c r="D83" s="47"/>
      <c r="E83" s="48"/>
      <c r="F83" s="49"/>
      <c r="G83" s="47"/>
      <c r="H83" s="48"/>
      <c r="I83" s="50"/>
      <c r="J83" s="47"/>
      <c r="K83" s="48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spans="1:23" ht="6.95" customHeight="1">
      <c r="A84" s="30"/>
      <c r="B84" s="98"/>
      <c r="C84" s="98"/>
      <c r="D84" s="53"/>
      <c r="E84" s="54"/>
      <c r="F84" s="49"/>
      <c r="G84" s="53"/>
      <c r="H84" s="54"/>
      <c r="I84" s="50"/>
      <c r="J84" s="53"/>
      <c r="K84" s="54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spans="1:23" ht="15" customHeight="1">
      <c r="A85" s="30"/>
      <c r="B85" s="100" t="s">
        <v>98</v>
      </c>
      <c r="C85" s="98"/>
      <c r="D85" s="53">
        <v>16315806.3725842</v>
      </c>
      <c r="E85" s="54">
        <v>65.038345217033495</v>
      </c>
      <c r="F85" s="56"/>
      <c r="G85" s="53">
        <v>7674400.7781826397</v>
      </c>
      <c r="H85" s="54">
        <v>60.321483693677997</v>
      </c>
      <c r="I85" s="30"/>
      <c r="J85" s="53">
        <v>8942984.5033295508</v>
      </c>
      <c r="K85" s="54">
        <v>71.155446078211398</v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spans="1:23" ht="15" customHeight="1">
      <c r="A86" s="30"/>
      <c r="B86" s="100" t="s">
        <v>99</v>
      </c>
      <c r="C86" s="98"/>
      <c r="D86" s="53">
        <v>9441118.1558297891</v>
      </c>
      <c r="E86" s="54">
        <v>37.863799740660497</v>
      </c>
      <c r="F86" s="56"/>
      <c r="G86" s="53">
        <v>5618772.5907638203</v>
      </c>
      <c r="H86" s="54">
        <v>43.9068353581333</v>
      </c>
      <c r="I86" s="30"/>
      <c r="J86" s="53">
        <v>4030393.1079178802</v>
      </c>
      <c r="K86" s="54">
        <v>32.965090944847901</v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spans="1:23" ht="15" customHeight="1">
      <c r="A87" s="30"/>
      <c r="B87" s="100" t="s">
        <v>100</v>
      </c>
      <c r="C87" s="98"/>
      <c r="D87" s="53">
        <v>254194.76526111501</v>
      </c>
      <c r="E87" s="54">
        <v>1.0353581701741601</v>
      </c>
      <c r="F87" s="56"/>
      <c r="G87" s="53">
        <v>136670.49613299</v>
      </c>
      <c r="H87" s="54">
        <v>1.10078174603579</v>
      </c>
      <c r="I87" s="30"/>
      <c r="J87" s="53">
        <v>143278.69531938201</v>
      </c>
      <c r="K87" s="54">
        <v>1.17987142353591</v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spans="1:23" ht="6.95" customHeight="1">
      <c r="A88" s="30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spans="1:23" ht="6.95" customHeight="1">
      <c r="A89" s="30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spans="1:23" ht="12" customHeight="1">
      <c r="A90" s="30"/>
      <c r="B90" s="140" t="s">
        <v>76</v>
      </c>
      <c r="C90" s="140"/>
      <c r="D90" s="140"/>
      <c r="E90" s="141"/>
      <c r="F90" s="141"/>
      <c r="G90" s="141"/>
      <c r="H90" s="141"/>
      <c r="I90" s="141"/>
      <c r="J90" s="141"/>
      <c r="K90" s="141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spans="1:23" ht="12" customHeight="1">
      <c r="A91" s="30"/>
      <c r="B91" s="254" t="s">
        <v>102</v>
      </c>
      <c r="C91" s="254"/>
      <c r="D91" s="254"/>
      <c r="E91" s="254"/>
      <c r="F91" s="254"/>
      <c r="G91" s="254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spans="1:2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spans="1:23">
      <c r="A93" s="30"/>
      <c r="B93" s="142"/>
      <c r="C93" s="142"/>
      <c r="D93" s="142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</sheetData>
  <mergeCells count="8">
    <mergeCell ref="B91:G91"/>
    <mergeCell ref="B4:H4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EF465E31-9874-4309-A58C-B30A4E3AAF1F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3440-C2B0-477B-AE74-A1A3A0710069}">
  <dimension ref="A1:W3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6"/>
      <c r="C4" s="66"/>
      <c r="D4" s="66"/>
      <c r="E4" s="143"/>
      <c r="F4" s="143"/>
      <c r="G4" s="143"/>
      <c r="H4" s="110"/>
      <c r="I4" s="110"/>
      <c r="J4" s="11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6" t="s">
        <v>143</v>
      </c>
      <c r="C5" s="266"/>
      <c r="D5" s="266"/>
      <c r="E5" s="266"/>
      <c r="F5" s="266"/>
      <c r="G5" s="266"/>
      <c r="H5" s="144"/>
      <c r="I5" s="145"/>
      <c r="J5" s="145"/>
      <c r="K5" s="112" t="s">
        <v>56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96"/>
      <c r="C6" s="96"/>
      <c r="D6" s="96"/>
      <c r="E6" s="96"/>
      <c r="F6" s="96"/>
      <c r="G6" s="96"/>
      <c r="H6" s="96"/>
      <c r="I6" s="96"/>
      <c r="J6" s="96"/>
      <c r="K6" s="146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66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16</v>
      </c>
      <c r="C11" s="73"/>
      <c r="D11" s="47">
        <v>33367016.851553898</v>
      </c>
      <c r="E11" s="48">
        <v>100</v>
      </c>
      <c r="F11" s="49"/>
      <c r="G11" s="47">
        <v>17562200.6267302</v>
      </c>
      <c r="H11" s="48">
        <v>100</v>
      </c>
      <c r="I11" s="50"/>
      <c r="J11" s="47">
        <v>16300009.401280399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77" t="s">
        <v>108</v>
      </c>
      <c r="C13" s="147"/>
      <c r="D13" s="53">
        <v>27663620.185337</v>
      </c>
      <c r="E13" s="54">
        <v>83.879672825015803</v>
      </c>
      <c r="F13" s="56"/>
      <c r="G13" s="53">
        <v>14355969.7992089</v>
      </c>
      <c r="H13" s="54">
        <v>83.150451792850006</v>
      </c>
      <c r="I13" s="30"/>
      <c r="J13" s="53">
        <v>13712848.2378728</v>
      </c>
      <c r="K13" s="54">
        <v>85.696452536871305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77" t="s">
        <v>67</v>
      </c>
      <c r="C14" s="148"/>
      <c r="D14" s="53">
        <v>1243537.69984229</v>
      </c>
      <c r="E14" s="54">
        <v>3.8402155623502998</v>
      </c>
      <c r="F14" s="56"/>
      <c r="G14" s="53">
        <v>683552.66188683501</v>
      </c>
      <c r="H14" s="54">
        <v>4.0577919642393399</v>
      </c>
      <c r="I14" s="30"/>
      <c r="J14" s="53">
        <v>655483.35575412202</v>
      </c>
      <c r="K14" s="54">
        <v>4.1973323714453104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30" customHeight="1">
      <c r="A15" s="30"/>
      <c r="B15" s="77" t="s">
        <v>68</v>
      </c>
      <c r="C15" s="148"/>
      <c r="D15" s="53">
        <v>3406225.51025296</v>
      </c>
      <c r="E15" s="54">
        <v>10.510838752910299</v>
      </c>
      <c r="F15" s="56"/>
      <c r="G15" s="53">
        <v>1878159.98036662</v>
      </c>
      <c r="H15" s="54">
        <v>11.1514193194954</v>
      </c>
      <c r="I15" s="30"/>
      <c r="J15" s="53">
        <v>1673830.48112168</v>
      </c>
      <c r="K15" s="54">
        <v>10.671652944419099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77" t="s">
        <v>33</v>
      </c>
      <c r="C16" s="148"/>
      <c r="D16" s="53">
        <v>1781343.1378041401</v>
      </c>
      <c r="E16" s="54">
        <v>5.4960334390345302</v>
      </c>
      <c r="F16" s="56"/>
      <c r="G16" s="53">
        <v>1126586.5126135801</v>
      </c>
      <c r="H16" s="54">
        <v>6.6707402119839703</v>
      </c>
      <c r="I16" s="30"/>
      <c r="J16" s="53">
        <v>736676.122937451</v>
      </c>
      <c r="K16" s="54">
        <v>4.7316474996303297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49" t="s">
        <v>81</v>
      </c>
      <c r="C17" s="148"/>
      <c r="D17" s="53">
        <v>90654.859778305297</v>
      </c>
      <c r="E17" s="54">
        <v>0.28016058562583201</v>
      </c>
      <c r="F17" s="56"/>
      <c r="G17" s="53">
        <v>76407.580036987099</v>
      </c>
      <c r="H17" s="54">
        <v>0.45472031581255701</v>
      </c>
      <c r="I17" s="30"/>
      <c r="J17" s="53">
        <v>26324.986044891801</v>
      </c>
      <c r="K17" s="54">
        <v>0.16922291363112901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150"/>
      <c r="C18" s="150"/>
      <c r="D18" s="22"/>
      <c r="E18" s="151"/>
      <c r="F18" s="102"/>
      <c r="G18" s="22"/>
      <c r="H18" s="151"/>
      <c r="I18" s="151"/>
      <c r="J18" s="22"/>
      <c r="K18" s="15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52" t="s">
        <v>7</v>
      </c>
      <c r="C19" s="153"/>
      <c r="D19" s="47">
        <v>8593366.3622750808</v>
      </c>
      <c r="E19" s="48">
        <v>100</v>
      </c>
      <c r="F19" s="49"/>
      <c r="G19" s="47">
        <v>4889022.8251879103</v>
      </c>
      <c r="H19" s="48">
        <v>100</v>
      </c>
      <c r="I19" s="50"/>
      <c r="J19" s="47">
        <v>3883257.3074392802</v>
      </c>
      <c r="K19" s="48">
        <v>100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153"/>
      <c r="C20" s="153"/>
      <c r="D20" s="53"/>
      <c r="E20" s="54"/>
      <c r="F20" s="49"/>
      <c r="G20" s="53"/>
      <c r="H20" s="54"/>
      <c r="I20" s="50"/>
      <c r="J20" s="53"/>
      <c r="K20" s="54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77" t="s">
        <v>108</v>
      </c>
      <c r="C21" s="147"/>
      <c r="D21" s="53">
        <v>7116883.55275431</v>
      </c>
      <c r="E21" s="54">
        <v>84.960949027442396</v>
      </c>
      <c r="F21" s="56"/>
      <c r="G21" s="53">
        <v>3982593.9395794999</v>
      </c>
      <c r="H21" s="54">
        <v>84.082970093074096</v>
      </c>
      <c r="I21" s="30"/>
      <c r="J21" s="53">
        <v>3297518.30796667</v>
      </c>
      <c r="K21" s="54">
        <v>87.859777612466402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77" t="s">
        <v>67</v>
      </c>
      <c r="C22" s="148"/>
      <c r="D22" s="53">
        <v>324011.41839782801</v>
      </c>
      <c r="E22" s="54">
        <v>4.1349053498648098</v>
      </c>
      <c r="F22" s="56"/>
      <c r="G22" s="53">
        <v>174018.86674636099</v>
      </c>
      <c r="H22" s="54">
        <v>3.9918510866141301</v>
      </c>
      <c r="I22" s="30"/>
      <c r="J22" s="53">
        <v>189649.80369407701</v>
      </c>
      <c r="K22" s="54">
        <v>5.5040129584879098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30" customHeight="1">
      <c r="A23" s="30"/>
      <c r="B23" s="77" t="s">
        <v>68</v>
      </c>
      <c r="C23" s="148"/>
      <c r="D23" s="53">
        <v>893563.81846850796</v>
      </c>
      <c r="E23" s="54">
        <v>11.303149493785</v>
      </c>
      <c r="F23" s="56"/>
      <c r="G23" s="53">
        <v>577491.996761463</v>
      </c>
      <c r="H23" s="54">
        <v>13.1104074512313</v>
      </c>
      <c r="I23" s="30"/>
      <c r="J23" s="53">
        <v>380099.82968980999</v>
      </c>
      <c r="K23" s="54">
        <v>10.874146211995001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15" customHeight="1">
      <c r="A24" s="30"/>
      <c r="B24" s="77" t="s">
        <v>33</v>
      </c>
      <c r="C24" s="148"/>
      <c r="D24" s="53">
        <v>531265.02377021895</v>
      </c>
      <c r="E24" s="54">
        <v>6.8520991154548696</v>
      </c>
      <c r="F24" s="56"/>
      <c r="G24" s="53">
        <v>362564.55042599898</v>
      </c>
      <c r="H24" s="54">
        <v>8.2872470055864298</v>
      </c>
      <c r="I24" s="30"/>
      <c r="J24" s="53">
        <v>204271.49062858699</v>
      </c>
      <c r="K24" s="54">
        <v>5.9888041126981699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49" t="s">
        <v>81</v>
      </c>
      <c r="C25" s="148"/>
      <c r="D25" s="53">
        <v>66011.886618871606</v>
      </c>
      <c r="E25" s="54">
        <v>0.84994267445357397</v>
      </c>
      <c r="F25" s="56"/>
      <c r="G25" s="53">
        <v>53595.355251256202</v>
      </c>
      <c r="H25" s="54">
        <v>1.22980611554603</v>
      </c>
      <c r="I25" s="30"/>
      <c r="J25" s="53">
        <v>23848.645154221402</v>
      </c>
      <c r="K25" s="54">
        <v>0.69793510849317697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154"/>
      <c r="C26" s="154"/>
      <c r="D26" s="22"/>
      <c r="E26" s="151"/>
      <c r="F26" s="102"/>
      <c r="G26" s="22"/>
      <c r="H26" s="151"/>
      <c r="I26" s="151"/>
      <c r="J26" s="22"/>
      <c r="K26" s="151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52" t="s">
        <v>8</v>
      </c>
      <c r="C27" s="153"/>
      <c r="D27" s="47">
        <v>25596950.102660902</v>
      </c>
      <c r="E27" s="48">
        <v>100</v>
      </c>
      <c r="F27" s="49"/>
      <c r="G27" s="47">
        <v>13168191.121520599</v>
      </c>
      <c r="H27" s="48">
        <v>100</v>
      </c>
      <c r="I27" s="50"/>
      <c r="J27" s="47">
        <v>12818038.385053599</v>
      </c>
      <c r="K27" s="48">
        <v>100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53"/>
      <c r="C28" s="153"/>
      <c r="D28" s="53"/>
      <c r="E28" s="54"/>
      <c r="F28" s="49"/>
      <c r="G28" s="53"/>
      <c r="H28" s="54"/>
      <c r="I28" s="50"/>
      <c r="J28" s="53"/>
      <c r="K28" s="54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77" t="s">
        <v>108</v>
      </c>
      <c r="C29" s="147"/>
      <c r="D29" s="53">
        <v>21228709.0385537</v>
      </c>
      <c r="E29" s="54">
        <v>84.222494142205406</v>
      </c>
      <c r="F29" s="56"/>
      <c r="G29" s="53">
        <v>10798290.2185417</v>
      </c>
      <c r="H29" s="54">
        <v>83.806963992870394</v>
      </c>
      <c r="I29" s="30"/>
      <c r="J29" s="53">
        <v>10759265.409329901</v>
      </c>
      <c r="K29" s="54">
        <v>85.898802784949396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77" t="s">
        <v>67</v>
      </c>
      <c r="C30" s="148"/>
      <c r="D30" s="53">
        <v>1000342.8595606399</v>
      </c>
      <c r="E30" s="54">
        <v>4.0564377305170201</v>
      </c>
      <c r="F30" s="56"/>
      <c r="G30" s="53">
        <v>554914.97959802195</v>
      </c>
      <c r="H30" s="54">
        <v>4.43163999807064</v>
      </c>
      <c r="I30" s="30"/>
      <c r="J30" s="53">
        <v>530643.51018896804</v>
      </c>
      <c r="K30" s="54">
        <v>4.3452791763245502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77" t="s">
        <v>68</v>
      </c>
      <c r="C31" s="148"/>
      <c r="D31" s="53">
        <v>2645141.52482227</v>
      </c>
      <c r="E31" s="54">
        <v>10.7062771171174</v>
      </c>
      <c r="F31" s="56"/>
      <c r="G31" s="53">
        <v>1399060.4411357599</v>
      </c>
      <c r="H31" s="54">
        <v>11.181976870105</v>
      </c>
      <c r="I31" s="30"/>
      <c r="J31" s="53">
        <v>1371608.4676593</v>
      </c>
      <c r="K31" s="54">
        <v>11.1708320027527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77" t="s">
        <v>33</v>
      </c>
      <c r="C32" s="148"/>
      <c r="D32" s="53">
        <v>1340889.94781412</v>
      </c>
      <c r="E32" s="54">
        <v>5.4329007413077202</v>
      </c>
      <c r="F32" s="56"/>
      <c r="G32" s="53">
        <v>835777.90284412797</v>
      </c>
      <c r="H32" s="54">
        <v>6.6661558958721496</v>
      </c>
      <c r="I32" s="30"/>
      <c r="J32" s="53">
        <v>578097.80895136599</v>
      </c>
      <c r="K32" s="54">
        <v>4.7524921707273204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49" t="s">
        <v>81</v>
      </c>
      <c r="C33" s="148"/>
      <c r="D33" s="53">
        <v>38055.868796354</v>
      </c>
      <c r="E33" s="54">
        <v>0.154765149417954</v>
      </c>
      <c r="F33" s="56"/>
      <c r="G33" s="53">
        <v>35636.805086798398</v>
      </c>
      <c r="H33" s="54">
        <v>0.286380708982998</v>
      </c>
      <c r="I33" s="30"/>
      <c r="J33" s="53">
        <v>5514.5198121938201</v>
      </c>
      <c r="K33" s="54">
        <v>4.5436794184767502E-2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155"/>
      <c r="C34" s="155"/>
      <c r="D34" s="155"/>
      <c r="E34" s="156"/>
      <c r="F34" s="156"/>
      <c r="G34" s="156"/>
      <c r="H34" s="156"/>
      <c r="I34" s="156"/>
      <c r="J34" s="156"/>
      <c r="K34" s="157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6.95" customHeight="1">
      <c r="A35" s="30"/>
      <c r="B35" s="72"/>
      <c r="C35" s="72"/>
      <c r="D35" s="72"/>
      <c r="E35" s="72"/>
      <c r="F35" s="72"/>
      <c r="G35" s="72"/>
      <c r="H35" s="72"/>
      <c r="I35" s="72"/>
      <c r="J35" s="72"/>
      <c r="K35" s="158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2" customHeight="1">
      <c r="A36" s="30"/>
      <c r="B36" s="159" t="s">
        <v>75</v>
      </c>
      <c r="C36" s="159"/>
      <c r="D36" s="159"/>
      <c r="E36" s="160"/>
      <c r="F36" s="160"/>
      <c r="G36" s="160"/>
      <c r="H36" s="160"/>
      <c r="I36" s="160"/>
      <c r="J36" s="160"/>
      <c r="K36" s="16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2" customHeight="1">
      <c r="A37" s="30"/>
      <c r="B37" s="254" t="s">
        <v>102</v>
      </c>
      <c r="C37" s="254"/>
      <c r="D37" s="254"/>
      <c r="E37" s="254"/>
      <c r="F37" s="254"/>
      <c r="G37" s="254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</sheetData>
  <mergeCells count="7">
    <mergeCell ref="B37:G37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2C52734D-85AB-4BD2-A35E-0B77A827567C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062B-9F48-4B41-8BB0-9D4F19E5E024}">
  <dimension ref="A1:W40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6"/>
      <c r="C4" s="66"/>
      <c r="D4" s="66"/>
      <c r="E4" s="143"/>
      <c r="F4" s="143"/>
      <c r="G4" s="143"/>
      <c r="H4" s="110"/>
      <c r="I4" s="110"/>
      <c r="J4" s="110"/>
      <c r="K4" s="11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6" t="s">
        <v>144</v>
      </c>
      <c r="C5" s="266"/>
      <c r="D5" s="266"/>
      <c r="E5" s="266"/>
      <c r="F5" s="266"/>
      <c r="G5" s="266"/>
      <c r="H5" s="161"/>
      <c r="I5" s="66"/>
      <c r="J5" s="66"/>
      <c r="K5" s="112" t="s">
        <v>57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96"/>
      <c r="C6" s="96"/>
      <c r="D6" s="96"/>
      <c r="E6" s="96"/>
      <c r="F6" s="96"/>
      <c r="G6" s="96"/>
      <c r="H6" s="96"/>
      <c r="I6" s="96"/>
      <c r="J6" s="96"/>
      <c r="K6" s="146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141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16</v>
      </c>
      <c r="C11" s="73"/>
      <c r="D11" s="47">
        <v>33367016.851553898</v>
      </c>
      <c r="E11" s="48">
        <v>100</v>
      </c>
      <c r="F11" s="49"/>
      <c r="G11" s="47">
        <v>17562200.6267302</v>
      </c>
      <c r="H11" s="48">
        <v>100</v>
      </c>
      <c r="I11" s="50"/>
      <c r="J11" s="47">
        <v>16300009.401280399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77" t="s">
        <v>109</v>
      </c>
      <c r="C13" s="162"/>
      <c r="D13" s="53">
        <v>16456375.167068001</v>
      </c>
      <c r="E13" s="54">
        <v>50.184764894861203</v>
      </c>
      <c r="F13" s="56"/>
      <c r="G13" s="53">
        <v>8200014.4166744398</v>
      </c>
      <c r="H13" s="54">
        <v>47.907799790272499</v>
      </c>
      <c r="I13" s="30"/>
      <c r="J13" s="53">
        <v>8600299.0727880299</v>
      </c>
      <c r="K13" s="54">
        <v>54.072906159869397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30" customHeight="1">
      <c r="A14" s="30"/>
      <c r="B14" s="77" t="s">
        <v>69</v>
      </c>
      <c r="C14" s="150"/>
      <c r="D14" s="53">
        <v>4446158.36697031</v>
      </c>
      <c r="E14" s="54">
        <v>13.6896191478913</v>
      </c>
      <c r="F14" s="56"/>
      <c r="G14" s="53">
        <v>1857321.9407480401</v>
      </c>
      <c r="H14" s="54">
        <v>10.9842821815711</v>
      </c>
      <c r="I14" s="30"/>
      <c r="J14" s="53">
        <v>2785602.05127003</v>
      </c>
      <c r="K14" s="54">
        <v>17.743326753456401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30" customHeight="1">
      <c r="A15" s="30"/>
      <c r="B15" s="77" t="s">
        <v>110</v>
      </c>
      <c r="C15" s="150"/>
      <c r="D15" s="53">
        <v>8898395.2705384195</v>
      </c>
      <c r="E15" s="54">
        <v>27.351649432117899</v>
      </c>
      <c r="F15" s="56"/>
      <c r="G15" s="53">
        <v>5422944.4337815503</v>
      </c>
      <c r="H15" s="54">
        <v>31.994424997477299</v>
      </c>
      <c r="I15" s="30"/>
      <c r="J15" s="53">
        <v>3676311.7519703698</v>
      </c>
      <c r="K15" s="54">
        <v>23.4765443590777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77" t="s">
        <v>49</v>
      </c>
      <c r="C16" s="150"/>
      <c r="D16" s="53">
        <v>4093342.1526165698</v>
      </c>
      <c r="E16" s="54">
        <v>12.6002640627713</v>
      </c>
      <c r="F16" s="56"/>
      <c r="G16" s="53">
        <v>2557607.9197844299</v>
      </c>
      <c r="H16" s="54">
        <v>15.160184611597399</v>
      </c>
      <c r="I16" s="30"/>
      <c r="J16" s="53">
        <v>1667100.9218061301</v>
      </c>
      <c r="K16" s="54">
        <v>10.668702092980901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77" t="s">
        <v>50</v>
      </c>
      <c r="C17" s="150"/>
      <c r="D17" s="53">
        <v>434588.09872218902</v>
      </c>
      <c r="E17" s="54">
        <v>1.3426845418211399</v>
      </c>
      <c r="F17" s="56"/>
      <c r="G17" s="53">
        <v>248979.74379862301</v>
      </c>
      <c r="H17" s="54">
        <v>1.47906122223707</v>
      </c>
      <c r="I17" s="30"/>
      <c r="J17" s="53">
        <v>223857.49322208099</v>
      </c>
      <c r="K17" s="54">
        <v>1.4355758279367501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149" t="s">
        <v>81</v>
      </c>
      <c r="C18" s="150"/>
      <c r="D18" s="53">
        <v>253262.44582706399</v>
      </c>
      <c r="E18" s="54">
        <v>0.78256715581006198</v>
      </c>
      <c r="F18" s="56"/>
      <c r="G18" s="53">
        <v>156788.113382526</v>
      </c>
      <c r="H18" s="54">
        <v>0.93236036262870703</v>
      </c>
      <c r="I18" s="30"/>
      <c r="J18" s="53">
        <v>126548.26869506401</v>
      </c>
      <c r="K18" s="54">
        <v>0.81317395839657902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6.95" customHeight="1">
      <c r="A19" s="30"/>
      <c r="B19" s="150"/>
      <c r="C19" s="150"/>
      <c r="D19" s="22"/>
      <c r="E19" s="151"/>
      <c r="F19" s="102"/>
      <c r="G19" s="22"/>
      <c r="H19" s="151"/>
      <c r="I19" s="151"/>
      <c r="J19" s="22"/>
      <c r="K19" s="15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63" t="s">
        <v>7</v>
      </c>
      <c r="C20" s="164"/>
      <c r="D20" s="47">
        <v>8593366.3622750808</v>
      </c>
      <c r="E20" s="48">
        <v>100</v>
      </c>
      <c r="F20" s="49"/>
      <c r="G20" s="47">
        <v>4889022.8251879103</v>
      </c>
      <c r="H20" s="48">
        <v>100</v>
      </c>
      <c r="I20" s="50"/>
      <c r="J20" s="47">
        <v>3883257.3074392802</v>
      </c>
      <c r="K20" s="48">
        <v>100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6.95" customHeight="1">
      <c r="A21" s="30"/>
      <c r="B21" s="73"/>
      <c r="C21" s="73"/>
      <c r="D21" s="53"/>
      <c r="E21" s="54"/>
      <c r="F21" s="49"/>
      <c r="G21" s="53"/>
      <c r="H21" s="54"/>
      <c r="I21" s="50"/>
      <c r="J21" s="53"/>
      <c r="K21" s="54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77" t="s">
        <v>109</v>
      </c>
      <c r="C22" s="162"/>
      <c r="D22" s="53">
        <v>3678607.69953983</v>
      </c>
      <c r="E22" s="54">
        <v>45.035065204265301</v>
      </c>
      <c r="F22" s="56"/>
      <c r="G22" s="53">
        <v>1815334.14133632</v>
      </c>
      <c r="H22" s="54">
        <v>39.8363023965805</v>
      </c>
      <c r="I22" s="30"/>
      <c r="J22" s="53">
        <v>1996336.2580921799</v>
      </c>
      <c r="K22" s="54">
        <v>55.016657844343797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30" customHeight="1">
      <c r="A23" s="30"/>
      <c r="B23" s="77" t="s">
        <v>69</v>
      </c>
      <c r="C23" s="150"/>
      <c r="D23" s="53">
        <v>899872.99460255099</v>
      </c>
      <c r="E23" s="54">
        <v>11.438685196918</v>
      </c>
      <c r="F23" s="56"/>
      <c r="G23" s="53">
        <v>551724.57907889399</v>
      </c>
      <c r="H23" s="54">
        <v>12.3456645054654</v>
      </c>
      <c r="I23" s="30"/>
      <c r="J23" s="53">
        <v>431037.99663239502</v>
      </c>
      <c r="K23" s="54">
        <v>12.4325906576289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30" customHeight="1">
      <c r="A24" s="30"/>
      <c r="B24" s="77" t="s">
        <v>110</v>
      </c>
      <c r="C24" s="150"/>
      <c r="D24" s="53">
        <v>3114737.6248987</v>
      </c>
      <c r="E24" s="54">
        <v>38.908759522607603</v>
      </c>
      <c r="F24" s="56"/>
      <c r="G24" s="53">
        <v>1859364.07613401</v>
      </c>
      <c r="H24" s="54">
        <v>41.638741787151197</v>
      </c>
      <c r="I24" s="30"/>
      <c r="J24" s="53">
        <v>1371195.4335397601</v>
      </c>
      <c r="K24" s="54">
        <v>38.576884202472698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77" t="s">
        <v>49</v>
      </c>
      <c r="C25" s="150"/>
      <c r="D25" s="53">
        <v>1316846.8889995201</v>
      </c>
      <c r="E25" s="54">
        <v>16.448942540753698</v>
      </c>
      <c r="F25" s="56"/>
      <c r="G25" s="53">
        <v>1019569.43493946</v>
      </c>
      <c r="H25" s="54">
        <v>22.931181868154699</v>
      </c>
      <c r="I25" s="30"/>
      <c r="J25" s="53">
        <v>358236.54476255801</v>
      </c>
      <c r="K25" s="54">
        <v>10.342807788922901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77" t="s">
        <v>50</v>
      </c>
      <c r="C26" s="150"/>
      <c r="D26" s="53">
        <v>98311.513668550193</v>
      </c>
      <c r="E26" s="54">
        <v>1.2626499224584999</v>
      </c>
      <c r="F26" s="56"/>
      <c r="G26" s="53">
        <v>76158.317637798595</v>
      </c>
      <c r="H26" s="54">
        <v>1.7424821402139401</v>
      </c>
      <c r="I26" s="30"/>
      <c r="J26" s="53">
        <v>36624.682036454396</v>
      </c>
      <c r="K26" s="54">
        <v>1.0693646681085001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49" t="s">
        <v>81</v>
      </c>
      <c r="C27" s="150"/>
      <c r="D27" s="53">
        <v>39180.861629659099</v>
      </c>
      <c r="E27" s="54">
        <v>0.50372257492574801</v>
      </c>
      <c r="F27" s="56"/>
      <c r="G27" s="53">
        <v>39180.861629659099</v>
      </c>
      <c r="H27" s="54">
        <v>0.89733651408330595</v>
      </c>
      <c r="I27" s="30"/>
      <c r="J27" s="53">
        <v>0</v>
      </c>
      <c r="K27" s="54">
        <v>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50"/>
      <c r="C28" s="150"/>
      <c r="D28" s="22"/>
      <c r="E28" s="151"/>
      <c r="F28" s="102"/>
      <c r="G28" s="22"/>
      <c r="H28" s="151"/>
      <c r="I28" s="151"/>
      <c r="J28" s="22"/>
      <c r="K28" s="151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63" t="s">
        <v>8</v>
      </c>
      <c r="C29" s="164"/>
      <c r="D29" s="47">
        <v>25596950.102660902</v>
      </c>
      <c r="E29" s="48">
        <v>100</v>
      </c>
      <c r="F29" s="49"/>
      <c r="G29" s="47">
        <v>13168191.121520599</v>
      </c>
      <c r="H29" s="48">
        <v>100</v>
      </c>
      <c r="I29" s="50"/>
      <c r="J29" s="47">
        <v>12818038.385053599</v>
      </c>
      <c r="K29" s="48">
        <v>100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73"/>
      <c r="C30" s="73"/>
      <c r="D30" s="53"/>
      <c r="E30" s="54"/>
      <c r="F30" s="49"/>
      <c r="G30" s="53"/>
      <c r="H30" s="54"/>
      <c r="I30" s="50"/>
      <c r="J30" s="53"/>
      <c r="K30" s="54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77" t="s">
        <v>109</v>
      </c>
      <c r="C31" s="162"/>
      <c r="D31" s="53">
        <v>13200347.1824538</v>
      </c>
      <c r="E31" s="54">
        <v>52.750032196145703</v>
      </c>
      <c r="F31" s="56"/>
      <c r="G31" s="53">
        <v>6638227.8805442601</v>
      </c>
      <c r="H31" s="54">
        <v>51.979553837049302</v>
      </c>
      <c r="I31" s="30"/>
      <c r="J31" s="53">
        <v>6857400.6893194104</v>
      </c>
      <c r="K31" s="54">
        <v>55.035072536062899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30" customHeight="1">
      <c r="A32" s="30"/>
      <c r="B32" s="77" t="s">
        <v>69</v>
      </c>
      <c r="C32" s="150"/>
      <c r="D32" s="53">
        <v>3736438.4747262201</v>
      </c>
      <c r="E32" s="54">
        <v>15.106223925028299</v>
      </c>
      <c r="F32" s="56"/>
      <c r="G32" s="53">
        <v>1422825.28284556</v>
      </c>
      <c r="H32" s="54">
        <v>11.373333263032301</v>
      </c>
      <c r="I32" s="30"/>
      <c r="J32" s="53">
        <v>2444865.4195565302</v>
      </c>
      <c r="K32" s="54">
        <v>19.920713059581601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30" customHeight="1">
      <c r="A33" s="30"/>
      <c r="B33" s="77" t="s">
        <v>110</v>
      </c>
      <c r="C33" s="150"/>
      <c r="D33" s="53">
        <v>6091442.5874658599</v>
      </c>
      <c r="E33" s="54">
        <v>24.545185839871099</v>
      </c>
      <c r="F33" s="56"/>
      <c r="G33" s="53">
        <v>3766293.9037669799</v>
      </c>
      <c r="H33" s="54">
        <v>29.870019188111801</v>
      </c>
      <c r="I33" s="30"/>
      <c r="J33" s="53">
        <v>2473116.8420205</v>
      </c>
      <c r="K33" s="54">
        <v>20.1975176148031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77" t="s">
        <v>49</v>
      </c>
      <c r="C34" s="150"/>
      <c r="D34" s="53">
        <v>2941758.3134255898</v>
      </c>
      <c r="E34" s="54">
        <v>11.890168011532101</v>
      </c>
      <c r="F34" s="56"/>
      <c r="G34" s="53">
        <v>1673220.52684199</v>
      </c>
      <c r="H34" s="54">
        <v>13.330707002898199</v>
      </c>
      <c r="I34" s="30"/>
      <c r="J34" s="53">
        <v>1379082.6642132001</v>
      </c>
      <c r="K34" s="54">
        <v>11.2916414865206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77" t="s">
        <v>50</v>
      </c>
      <c r="C35" s="150"/>
      <c r="D35" s="53">
        <v>367240.44490099599</v>
      </c>
      <c r="E35" s="54">
        <v>1.4895944600123701</v>
      </c>
      <c r="F35" s="56"/>
      <c r="G35" s="53">
        <v>198492.286937394</v>
      </c>
      <c r="H35" s="54">
        <v>1.5864396858241601</v>
      </c>
      <c r="I35" s="30"/>
      <c r="J35" s="53">
        <v>203697.876048843</v>
      </c>
      <c r="K35" s="54">
        <v>1.67288535724587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149" t="s">
        <v>81</v>
      </c>
      <c r="C36" s="150"/>
      <c r="D36" s="53">
        <v>234081.45825288401</v>
      </c>
      <c r="E36" s="54">
        <v>0.952007123996084</v>
      </c>
      <c r="F36" s="56"/>
      <c r="G36" s="53">
        <v>136071.72454952399</v>
      </c>
      <c r="H36" s="54">
        <v>1.09285323245136</v>
      </c>
      <c r="I36" s="30"/>
      <c r="J36" s="53">
        <v>126548.26869506401</v>
      </c>
      <c r="K36" s="54">
        <v>1.0419789253349001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6.95" customHeight="1">
      <c r="A37" s="30"/>
      <c r="B37" s="165"/>
      <c r="C37" s="165"/>
      <c r="D37" s="165"/>
      <c r="E37" s="166"/>
      <c r="F37" s="166"/>
      <c r="G37" s="166"/>
      <c r="H37" s="167"/>
      <c r="I37" s="167"/>
      <c r="J37" s="167"/>
      <c r="K37" s="167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2" customHeight="1">
      <c r="A39" s="30"/>
      <c r="B39" s="159" t="s">
        <v>75</v>
      </c>
      <c r="C39" s="159"/>
      <c r="D39" s="159"/>
      <c r="E39" s="160"/>
      <c r="F39" s="160"/>
      <c r="G39" s="160"/>
      <c r="H39" s="160"/>
      <c r="I39" s="160"/>
      <c r="J39" s="160"/>
      <c r="K39" s="16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12" customHeight="1">
      <c r="A40" s="30"/>
      <c r="B40" s="254" t="s">
        <v>102</v>
      </c>
      <c r="C40" s="254"/>
      <c r="D40" s="254"/>
      <c r="E40" s="254"/>
      <c r="F40" s="254"/>
      <c r="G40" s="254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</sheetData>
  <mergeCells count="7">
    <mergeCell ref="B40:G40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20120486-2C54-44F7-9425-80BFDDF14205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E165-A2F0-4F15-A45B-5B206654C95A}">
  <dimension ref="A1:W5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32"/>
      <c r="C4" s="32"/>
      <c r="D4" s="32"/>
      <c r="E4" s="33"/>
      <c r="F4" s="33"/>
      <c r="G4" s="33"/>
      <c r="H4" s="33"/>
      <c r="I4" s="33"/>
      <c r="J4" s="33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67" t="s">
        <v>145</v>
      </c>
      <c r="C5" s="67"/>
      <c r="D5" s="67"/>
      <c r="E5" s="67"/>
      <c r="F5" s="67"/>
      <c r="G5" s="67"/>
      <c r="H5" s="168"/>
      <c r="I5" s="33"/>
      <c r="J5" s="33"/>
      <c r="K5" s="35" t="s">
        <v>58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67"/>
      <c r="C6" s="67"/>
      <c r="D6" s="67"/>
      <c r="E6" s="67"/>
      <c r="F6" s="67"/>
      <c r="G6" s="67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147</v>
      </c>
      <c r="C7" s="70"/>
      <c r="D7" s="262" t="s">
        <v>131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44"/>
      <c r="C10" s="44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46" t="s">
        <v>1</v>
      </c>
      <c r="C11" s="46"/>
      <c r="D11" s="47">
        <v>88168959.549554095</v>
      </c>
      <c r="E11" s="48">
        <v>100</v>
      </c>
      <c r="F11" s="169"/>
      <c r="G11" s="47">
        <v>47788866.463474698</v>
      </c>
      <c r="H11" s="48">
        <v>100</v>
      </c>
      <c r="I11" s="50"/>
      <c r="J11" s="47">
        <v>41315778.788891397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46"/>
      <c r="C12" s="46"/>
      <c r="D12" s="30"/>
      <c r="E12" s="30"/>
      <c r="F12" s="17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52" t="s">
        <v>82</v>
      </c>
      <c r="C13" s="171"/>
      <c r="D13" s="47">
        <v>26884592.130141199</v>
      </c>
      <c r="E13" s="48">
        <v>31.033035600759501</v>
      </c>
      <c r="F13" s="169"/>
      <c r="G13" s="47">
        <v>14280975.1612058</v>
      </c>
      <c r="H13" s="48">
        <v>30.6064685924282</v>
      </c>
      <c r="I13" s="50"/>
      <c r="J13" s="47">
        <v>13032268.934740201</v>
      </c>
      <c r="K13" s="48">
        <v>32.320071379818302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171"/>
      <c r="C14" s="171"/>
      <c r="D14" s="53"/>
      <c r="E14" s="54"/>
      <c r="F14" s="16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72" t="s">
        <v>26</v>
      </c>
      <c r="C15" s="172"/>
      <c r="D15" s="53">
        <v>6824243.1882909304</v>
      </c>
      <c r="E15" s="54">
        <v>26.106725034579998</v>
      </c>
      <c r="F15" s="173"/>
      <c r="G15" s="53">
        <v>3628266.1960857799</v>
      </c>
      <c r="H15" s="54">
        <v>26.531807591646501</v>
      </c>
      <c r="I15" s="30"/>
      <c r="J15" s="53">
        <v>3384392.3217427498</v>
      </c>
      <c r="K15" s="54">
        <v>26.897040049548199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55" t="s">
        <v>27</v>
      </c>
      <c r="C16" s="55"/>
      <c r="D16" s="53">
        <v>7023160.5626581796</v>
      </c>
      <c r="E16" s="54">
        <v>26.785783259149699</v>
      </c>
      <c r="F16" s="173"/>
      <c r="G16" s="53">
        <v>3669424.14928575</v>
      </c>
      <c r="H16" s="54">
        <v>26.596828034318701</v>
      </c>
      <c r="I16" s="30"/>
      <c r="J16" s="53">
        <v>3571380.2620559698</v>
      </c>
      <c r="K16" s="54">
        <v>28.434994968223101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55" t="s">
        <v>28</v>
      </c>
      <c r="C17" s="55"/>
      <c r="D17" s="53">
        <v>2933842.5678894701</v>
      </c>
      <c r="E17" s="54">
        <v>11.2525208949616</v>
      </c>
      <c r="F17" s="173"/>
      <c r="G17" s="53">
        <v>1328832.55546641</v>
      </c>
      <c r="H17" s="54">
        <v>9.7138921379559893</v>
      </c>
      <c r="I17" s="30"/>
      <c r="J17" s="53">
        <v>1716271.96521056</v>
      </c>
      <c r="K17" s="54">
        <v>13.7793150109189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55" t="s">
        <v>29</v>
      </c>
      <c r="C18" s="55"/>
      <c r="D18" s="53">
        <v>1607505.37811763</v>
      </c>
      <c r="E18" s="54">
        <v>6.1854274634800799</v>
      </c>
      <c r="F18" s="173"/>
      <c r="G18" s="53">
        <v>690396.75452114001</v>
      </c>
      <c r="H18" s="54">
        <v>5.0746186405161398</v>
      </c>
      <c r="I18" s="30"/>
      <c r="J18" s="53">
        <v>984716.85571695503</v>
      </c>
      <c r="K18" s="54">
        <v>7.9477398277339599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55" t="s">
        <v>83</v>
      </c>
      <c r="C19" s="55"/>
      <c r="D19" s="53">
        <v>5271418.96745128</v>
      </c>
      <c r="E19" s="54">
        <v>20.183324333165501</v>
      </c>
      <c r="F19" s="173"/>
      <c r="G19" s="53">
        <v>2922147.36425786</v>
      </c>
      <c r="H19" s="54">
        <v>21.301723536558299</v>
      </c>
      <c r="I19" s="30"/>
      <c r="J19" s="53">
        <v>2512450.5059727998</v>
      </c>
      <c r="K19" s="54">
        <v>20.111431202728198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55" t="s">
        <v>30</v>
      </c>
      <c r="C20" s="55"/>
      <c r="D20" s="53">
        <v>4629834.1678389302</v>
      </c>
      <c r="E20" s="54">
        <v>17.748137818937401</v>
      </c>
      <c r="F20" s="173"/>
      <c r="G20" s="53">
        <v>3019415.2612939202</v>
      </c>
      <c r="H20" s="54">
        <v>21.995174342838599</v>
      </c>
      <c r="I20" s="30"/>
      <c r="J20" s="53">
        <v>1745005.72591472</v>
      </c>
      <c r="K20" s="54">
        <v>14.0750451911106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55" t="s">
        <v>156</v>
      </c>
      <c r="C21" s="55"/>
      <c r="D21" s="53">
        <v>28278.774979365098</v>
      </c>
      <c r="E21" s="54">
        <v>0.109064033627254</v>
      </c>
      <c r="F21" s="173"/>
      <c r="G21" s="53">
        <v>0</v>
      </c>
      <c r="H21" s="54">
        <v>0</v>
      </c>
      <c r="I21" s="30"/>
      <c r="J21" s="53">
        <v>28278.774979365098</v>
      </c>
      <c r="K21" s="54">
        <v>0.22889374195044301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55"/>
      <c r="C22" s="55"/>
      <c r="D22" s="47"/>
      <c r="E22" s="48"/>
      <c r="F22" s="169"/>
      <c r="G22" s="47"/>
      <c r="H22" s="48"/>
      <c r="I22" s="50"/>
      <c r="J22" s="47"/>
      <c r="K22" s="48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52" t="s">
        <v>31</v>
      </c>
      <c r="C23" s="171"/>
      <c r="D23" s="47">
        <v>62282399.195586301</v>
      </c>
      <c r="E23" s="48">
        <v>71.146534998513701</v>
      </c>
      <c r="F23" s="169"/>
      <c r="G23" s="47">
        <v>34115780.956668399</v>
      </c>
      <c r="H23" s="48">
        <v>72.197267099945407</v>
      </c>
      <c r="I23" s="50"/>
      <c r="J23" s="47">
        <v>28851374.562870599</v>
      </c>
      <c r="K23" s="48">
        <v>70.722291518670403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174"/>
      <c r="C24" s="174"/>
      <c r="D24" s="22"/>
      <c r="E24" s="22"/>
      <c r="F24" s="22"/>
      <c r="G24" s="22"/>
      <c r="H24" s="22"/>
      <c r="I24" s="22"/>
      <c r="J24" s="22"/>
      <c r="K24" s="22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75" t="s">
        <v>7</v>
      </c>
      <c r="C25" s="176"/>
      <c r="D25" s="47">
        <v>31876327.629939102</v>
      </c>
      <c r="E25" s="48">
        <v>100</v>
      </c>
      <c r="F25" s="169"/>
      <c r="G25" s="47">
        <v>17557347.996399298</v>
      </c>
      <c r="H25" s="48">
        <v>100</v>
      </c>
      <c r="I25" s="50"/>
      <c r="J25" s="47">
        <v>14624214.675651999</v>
      </c>
      <c r="K25" s="48">
        <v>100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46"/>
      <c r="C26" s="46"/>
      <c r="D26" s="30"/>
      <c r="E26" s="30"/>
      <c r="F26" s="17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52" t="s">
        <v>82</v>
      </c>
      <c r="C27" s="171"/>
      <c r="D27" s="47">
        <v>6892025.9622155596</v>
      </c>
      <c r="E27" s="48">
        <v>22.576170985288599</v>
      </c>
      <c r="F27" s="169"/>
      <c r="G27" s="47">
        <v>3904030.6224653102</v>
      </c>
      <c r="H27" s="48">
        <v>23.227785230807399</v>
      </c>
      <c r="I27" s="50"/>
      <c r="J27" s="47">
        <v>3183329.9326599198</v>
      </c>
      <c r="K27" s="48">
        <v>23.129281846229301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71"/>
      <c r="C28" s="171"/>
      <c r="D28" s="53"/>
      <c r="E28" s="54"/>
      <c r="F28" s="169"/>
      <c r="G28" s="53"/>
      <c r="H28" s="54"/>
      <c r="I28" s="50"/>
      <c r="J28" s="53"/>
      <c r="K28" s="54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72" t="s">
        <v>26</v>
      </c>
      <c r="C29" s="172"/>
      <c r="D29" s="53">
        <v>2250914.14798172</v>
      </c>
      <c r="E29" s="54">
        <v>35.015227266188703</v>
      </c>
      <c r="F29" s="173"/>
      <c r="G29" s="53">
        <v>1041987.87650981</v>
      </c>
      <c r="H29" s="54">
        <v>29.792351710564098</v>
      </c>
      <c r="I29" s="30"/>
      <c r="J29" s="53">
        <v>1303414.28379158</v>
      </c>
      <c r="K29" s="54">
        <v>43.606224428496702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55" t="s">
        <v>27</v>
      </c>
      <c r="C30" s="55"/>
      <c r="D30" s="53">
        <v>1377884.0053059801</v>
      </c>
      <c r="E30" s="54">
        <v>21.4624648534638</v>
      </c>
      <c r="F30" s="173"/>
      <c r="G30" s="53">
        <v>815650.78138815099</v>
      </c>
      <c r="H30" s="54">
        <v>22.826378680672999</v>
      </c>
      <c r="I30" s="30"/>
      <c r="J30" s="53">
        <v>670398.27500253601</v>
      </c>
      <c r="K30" s="54">
        <v>22.994645475464999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55" t="s">
        <v>28</v>
      </c>
      <c r="C31" s="55"/>
      <c r="D31" s="53">
        <v>388662.65087323397</v>
      </c>
      <c r="E31" s="54">
        <v>6.2319802786626299</v>
      </c>
      <c r="F31" s="173"/>
      <c r="G31" s="53">
        <v>231994.23674952501</v>
      </c>
      <c r="H31" s="54">
        <v>6.6963699716742102</v>
      </c>
      <c r="I31" s="30"/>
      <c r="J31" s="53">
        <v>193593.77109759601</v>
      </c>
      <c r="K31" s="54">
        <v>6.9206076768371698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55" t="s">
        <v>29</v>
      </c>
      <c r="C32" s="55"/>
      <c r="D32" s="53">
        <v>128413.501368652</v>
      </c>
      <c r="E32" s="54">
        <v>2.0720956791057699</v>
      </c>
      <c r="F32" s="173"/>
      <c r="G32" s="53">
        <v>48872.402534367997</v>
      </c>
      <c r="H32" s="54">
        <v>1.43149895087582</v>
      </c>
      <c r="I32" s="30"/>
      <c r="J32" s="53">
        <v>102666.149241579</v>
      </c>
      <c r="K32" s="54">
        <v>3.6760601370393302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55" t="s">
        <v>83</v>
      </c>
      <c r="C33" s="55"/>
      <c r="D33" s="53">
        <v>1684172.33496925</v>
      </c>
      <c r="E33" s="54">
        <v>26.310588282588402</v>
      </c>
      <c r="F33" s="173"/>
      <c r="G33" s="53">
        <v>1101145.48471183</v>
      </c>
      <c r="H33" s="54">
        <v>31.448445099439599</v>
      </c>
      <c r="I33" s="30"/>
      <c r="J33" s="53">
        <v>642344.40400856698</v>
      </c>
      <c r="K33" s="54">
        <v>22.658340600044902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55" t="s">
        <v>30</v>
      </c>
      <c r="C34" s="55"/>
      <c r="D34" s="53">
        <v>1675799.4472903199</v>
      </c>
      <c r="E34" s="54">
        <v>26.545102882763501</v>
      </c>
      <c r="F34" s="173"/>
      <c r="G34" s="53">
        <v>1173987.85934402</v>
      </c>
      <c r="H34" s="54">
        <v>33.174974055284601</v>
      </c>
      <c r="I34" s="30"/>
      <c r="J34" s="53">
        <v>581603.39853979496</v>
      </c>
      <c r="K34" s="54">
        <v>20.8077808138836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55" t="s">
        <v>156</v>
      </c>
      <c r="C35" s="55"/>
      <c r="D35" s="53">
        <v>0</v>
      </c>
      <c r="E35" s="54">
        <v>0</v>
      </c>
      <c r="F35" s="173"/>
      <c r="G35" s="53">
        <v>0</v>
      </c>
      <c r="H35" s="54">
        <v>0</v>
      </c>
      <c r="I35" s="30"/>
      <c r="J35" s="53">
        <v>0</v>
      </c>
      <c r="K35" s="54">
        <v>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55"/>
      <c r="C36" s="55"/>
      <c r="D36" s="47"/>
      <c r="E36" s="48"/>
      <c r="F36" s="169"/>
      <c r="G36" s="47"/>
      <c r="H36" s="48"/>
      <c r="I36" s="50"/>
      <c r="J36" s="47"/>
      <c r="K36" s="48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52" t="s">
        <v>31</v>
      </c>
      <c r="C37" s="171"/>
      <c r="D37" s="47">
        <v>25346442.365572199</v>
      </c>
      <c r="E37" s="48">
        <v>81.077175130439301</v>
      </c>
      <c r="F37" s="169"/>
      <c r="G37" s="47">
        <v>13898742.0490322</v>
      </c>
      <c r="H37" s="48">
        <v>81.314381005283906</v>
      </c>
      <c r="I37" s="50"/>
      <c r="J37" s="47">
        <v>11719049.354045</v>
      </c>
      <c r="K37" s="48">
        <v>82.130570683926194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176"/>
      <c r="C38" s="174"/>
      <c r="D38" s="22"/>
      <c r="E38" s="22"/>
      <c r="F38" s="22"/>
      <c r="G38" s="22"/>
      <c r="H38" s="22"/>
      <c r="I38" s="22"/>
      <c r="J38" s="22"/>
      <c r="K38" s="22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75" t="s">
        <v>8</v>
      </c>
      <c r="C39" s="176"/>
      <c r="D39" s="47">
        <v>58722602.216376103</v>
      </c>
      <c r="E39" s="48">
        <v>100</v>
      </c>
      <c r="F39" s="169"/>
      <c r="G39" s="47">
        <v>31539784.224373799</v>
      </c>
      <c r="H39" s="48">
        <v>100</v>
      </c>
      <c r="I39" s="50"/>
      <c r="J39" s="47">
        <v>27745562.505176</v>
      </c>
      <c r="K39" s="48">
        <v>100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46"/>
      <c r="C40" s="46"/>
      <c r="D40" s="30"/>
      <c r="E40" s="30"/>
      <c r="F40" s="17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52" t="s">
        <v>82</v>
      </c>
      <c r="C41" s="171"/>
      <c r="D41" s="47">
        <v>20655194.776654001</v>
      </c>
      <c r="E41" s="48">
        <v>36.141294348269703</v>
      </c>
      <c r="F41" s="169"/>
      <c r="G41" s="47">
        <v>10801033.4521088</v>
      </c>
      <c r="H41" s="48">
        <v>35.500165056946798</v>
      </c>
      <c r="I41" s="50"/>
      <c r="J41" s="47">
        <v>10181494.860216601</v>
      </c>
      <c r="K41" s="48">
        <v>37.871395687862403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6.95" customHeight="1">
      <c r="A42" s="30"/>
      <c r="B42" s="171"/>
      <c r="C42" s="171"/>
      <c r="D42" s="53"/>
      <c r="E42" s="54"/>
      <c r="F42" s="169"/>
      <c r="G42" s="53"/>
      <c r="H42" s="54"/>
      <c r="I42" s="50"/>
      <c r="J42" s="53"/>
      <c r="K42" s="54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172" t="s">
        <v>26</v>
      </c>
      <c r="C43" s="172"/>
      <c r="D43" s="53">
        <v>4830100.8316915203</v>
      </c>
      <c r="E43" s="54">
        <v>24.1925888768628</v>
      </c>
      <c r="F43" s="173"/>
      <c r="G43" s="53">
        <v>2743719.4454429601</v>
      </c>
      <c r="H43" s="54">
        <v>26.597635524337399</v>
      </c>
      <c r="I43" s="30"/>
      <c r="J43" s="53">
        <v>2233648.71914287</v>
      </c>
      <c r="K43" s="54">
        <v>23.000836007314799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15" customHeight="1">
      <c r="A44" s="30"/>
      <c r="B44" s="55" t="s">
        <v>27</v>
      </c>
      <c r="C44" s="55"/>
      <c r="D44" s="53">
        <v>5863796.6023784103</v>
      </c>
      <c r="E44" s="54">
        <v>29.323516474744299</v>
      </c>
      <c r="F44" s="173"/>
      <c r="G44" s="53">
        <v>3019268.7827372099</v>
      </c>
      <c r="H44" s="54">
        <v>29.312327738262699</v>
      </c>
      <c r="I44" s="30"/>
      <c r="J44" s="53">
        <v>3020452.6603536899</v>
      </c>
      <c r="K44" s="54">
        <v>30.9091540899203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55" t="s">
        <v>28</v>
      </c>
      <c r="C45" s="55"/>
      <c r="D45" s="53">
        <v>2629034.7961947201</v>
      </c>
      <c r="E45" s="54">
        <v>13.2338838734488</v>
      </c>
      <c r="F45" s="173"/>
      <c r="G45" s="53">
        <v>1159824.9634348699</v>
      </c>
      <c r="H45" s="54">
        <v>11.336529787977099</v>
      </c>
      <c r="I45" s="30"/>
      <c r="J45" s="53">
        <v>1572084.0205526899</v>
      </c>
      <c r="K45" s="54">
        <v>16.225819843072699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15" customHeight="1">
      <c r="A46" s="30"/>
      <c r="B46" s="55" t="s">
        <v>29</v>
      </c>
      <c r="C46" s="55"/>
      <c r="D46" s="53">
        <v>1518827.5232629599</v>
      </c>
      <c r="E46" s="54">
        <v>7.6830759299448896</v>
      </c>
      <c r="F46" s="173"/>
      <c r="G46" s="53">
        <v>661950.52424155804</v>
      </c>
      <c r="H46" s="54">
        <v>6.5073255792448403</v>
      </c>
      <c r="I46" s="30"/>
      <c r="J46" s="53">
        <v>920470.43694421405</v>
      </c>
      <c r="K46" s="54">
        <v>9.5806535667141102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15" customHeight="1">
      <c r="A47" s="30"/>
      <c r="B47" s="55" t="s">
        <v>83</v>
      </c>
      <c r="C47" s="55"/>
      <c r="D47" s="53">
        <v>3802071.0257382598</v>
      </c>
      <c r="E47" s="54">
        <v>19.060888137957601</v>
      </c>
      <c r="F47" s="173"/>
      <c r="G47" s="53">
        <v>1972860.95359471</v>
      </c>
      <c r="H47" s="54">
        <v>19.075555826881999</v>
      </c>
      <c r="I47" s="30"/>
      <c r="J47" s="53">
        <v>1973235.6003855099</v>
      </c>
      <c r="K47" s="54">
        <v>20.2884891402385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55" t="s">
        <v>30</v>
      </c>
      <c r="C48" s="55"/>
      <c r="D48" s="53">
        <v>3152645.0648677698</v>
      </c>
      <c r="E48" s="54">
        <v>15.798818594593699</v>
      </c>
      <c r="F48" s="173"/>
      <c r="G48" s="53">
        <v>2003872.1766324199</v>
      </c>
      <c r="H48" s="54">
        <v>19.439005233651699</v>
      </c>
      <c r="I48" s="30"/>
      <c r="J48" s="53">
        <v>1245830.7826085</v>
      </c>
      <c r="K48" s="54">
        <v>12.9204872319965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5" customHeight="1">
      <c r="A49" s="30"/>
      <c r="B49" s="55" t="s">
        <v>156</v>
      </c>
      <c r="C49" s="55"/>
      <c r="D49" s="53">
        <v>28278.774979365098</v>
      </c>
      <c r="E49" s="54">
        <v>0.14337290743134001</v>
      </c>
      <c r="F49" s="173"/>
      <c r="G49" s="53">
        <v>0</v>
      </c>
      <c r="H49" s="54">
        <v>0</v>
      </c>
      <c r="I49" s="30"/>
      <c r="J49" s="53">
        <v>28278.774979365098</v>
      </c>
      <c r="K49" s="54">
        <v>0.295256201698264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6.95" customHeight="1">
      <c r="A50" s="30"/>
      <c r="B50" s="55"/>
      <c r="C50" s="55"/>
      <c r="D50" s="47"/>
      <c r="E50" s="48"/>
      <c r="F50" s="169"/>
      <c r="G50" s="47"/>
      <c r="H50" s="48"/>
      <c r="I50" s="50"/>
      <c r="J50" s="47"/>
      <c r="K50" s="48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5" customHeight="1">
      <c r="A51" s="30"/>
      <c r="B51" s="52" t="s">
        <v>31</v>
      </c>
      <c r="C51" s="171"/>
      <c r="D51" s="47">
        <v>38634609.014088199</v>
      </c>
      <c r="E51" s="48">
        <v>66.563034445330302</v>
      </c>
      <c r="F51" s="169"/>
      <c r="G51" s="47">
        <v>21154693.407156199</v>
      </c>
      <c r="H51" s="48">
        <v>68.140074535335899</v>
      </c>
      <c r="I51" s="50"/>
      <c r="J51" s="47">
        <v>17940129.019481</v>
      </c>
      <c r="K51" s="48">
        <v>65.778841885334103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6.95" customHeight="1">
      <c r="A52" s="30"/>
      <c r="B52" s="177"/>
      <c r="C52" s="177"/>
      <c r="D52" s="177"/>
      <c r="E52" s="178"/>
      <c r="F52" s="178"/>
      <c r="G52" s="178"/>
      <c r="H52" s="178"/>
      <c r="I52" s="178"/>
      <c r="J52" s="178"/>
      <c r="K52" s="178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6.95" customHeight="1">
      <c r="A53" s="30"/>
      <c r="B53" s="179"/>
      <c r="C53" s="179"/>
      <c r="D53" s="179"/>
      <c r="E53" s="180"/>
      <c r="F53" s="180"/>
      <c r="G53" s="180"/>
      <c r="H53" s="180"/>
      <c r="I53" s="180"/>
      <c r="J53" s="180"/>
      <c r="K53" s="18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12" customHeight="1">
      <c r="A54" s="30"/>
      <c r="B54" s="181" t="s">
        <v>76</v>
      </c>
      <c r="C54" s="181"/>
      <c r="D54" s="181"/>
      <c r="E54" s="64"/>
      <c r="F54" s="64"/>
      <c r="G54" s="64"/>
      <c r="H54" s="64"/>
      <c r="I54" s="64"/>
      <c r="J54" s="64"/>
      <c r="K54" s="64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spans="1:23" ht="12" customHeight="1">
      <c r="A55" s="30"/>
      <c r="B55" s="181" t="s">
        <v>77</v>
      </c>
      <c r="C55" s="181"/>
      <c r="D55" s="181"/>
      <c r="E55" s="64"/>
      <c r="F55" s="64"/>
      <c r="G55" s="64"/>
      <c r="H55" s="64"/>
      <c r="I55" s="64"/>
      <c r="J55" s="64"/>
      <c r="K55" s="64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spans="1:23" ht="12" customHeight="1">
      <c r="A56" s="30"/>
      <c r="B56" s="181" t="s">
        <v>84</v>
      </c>
      <c r="C56" s="181"/>
      <c r="D56" s="181"/>
      <c r="E56" s="180"/>
      <c r="F56" s="180"/>
      <c r="G56" s="180"/>
      <c r="H56" s="180"/>
      <c r="I56" s="180"/>
      <c r="J56" s="180"/>
      <c r="K56" s="182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spans="1:23" ht="12" customHeight="1">
      <c r="A57" s="30"/>
      <c r="B57" s="254" t="s">
        <v>102</v>
      </c>
      <c r="C57" s="254"/>
      <c r="D57" s="254"/>
      <c r="E57" s="254"/>
      <c r="F57" s="254"/>
      <c r="G57" s="254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</sheetData>
  <mergeCells count="6">
    <mergeCell ref="B57:G57"/>
    <mergeCell ref="B7:B9"/>
    <mergeCell ref="D7:E8"/>
    <mergeCell ref="G7:K7"/>
    <mergeCell ref="G8:H8"/>
    <mergeCell ref="J8:K8"/>
  </mergeCells>
  <hyperlinks>
    <hyperlink ref="K1" location="Índice!A1" tooltip="Ir a ÍNDICE" display="INDICE" xr:uid="{1F2AD273-1B8C-463F-B0F1-0927BF74A7C8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82AD-02EB-4512-A082-80C55D14D368}">
  <dimension ref="A1:W54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31"/>
      <c r="C4" s="183"/>
      <c r="D4" s="183"/>
      <c r="E4" s="65"/>
      <c r="F4" s="65"/>
      <c r="G4" s="65"/>
      <c r="H4" s="65"/>
      <c r="I4" s="65"/>
      <c r="J4" s="65"/>
      <c r="K4" s="11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7" t="s">
        <v>148</v>
      </c>
      <c r="C5" s="267"/>
      <c r="D5" s="267"/>
      <c r="E5" s="267"/>
      <c r="F5" s="267"/>
      <c r="G5" s="267"/>
      <c r="H5" s="184"/>
      <c r="I5" s="184"/>
      <c r="J5" s="65"/>
      <c r="K5" s="112" t="s">
        <v>59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34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33367016.851553898</v>
      </c>
      <c r="E11" s="48">
        <v>100</v>
      </c>
      <c r="F11" s="49"/>
      <c r="G11" s="47">
        <v>17562200.6267302</v>
      </c>
      <c r="H11" s="48">
        <v>100</v>
      </c>
      <c r="I11" s="50"/>
      <c r="J11" s="47">
        <v>16300009.401280399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33" t="s">
        <v>38</v>
      </c>
      <c r="C13" s="185"/>
      <c r="D13" s="47">
        <v>10298419.1489677</v>
      </c>
      <c r="E13" s="48">
        <v>31.6214449989731</v>
      </c>
      <c r="F13" s="49"/>
      <c r="G13" s="47">
        <v>4782371.3899155101</v>
      </c>
      <c r="H13" s="48">
        <v>28.219731840748999</v>
      </c>
      <c r="I13" s="50"/>
      <c r="J13" s="47">
        <v>5771760.6569609297</v>
      </c>
      <c r="K13" s="48">
        <v>36.646293525582003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185"/>
      <c r="C14" s="185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86" t="s">
        <v>35</v>
      </c>
      <c r="C15" s="115"/>
      <c r="D15" s="53">
        <v>8912363.4971551001</v>
      </c>
      <c r="E15" s="54">
        <v>88.126977163994795</v>
      </c>
      <c r="F15" s="56"/>
      <c r="G15" s="53">
        <v>4158103.4450410702</v>
      </c>
      <c r="H15" s="54">
        <v>89.144514717075396</v>
      </c>
      <c r="I15" s="30"/>
      <c r="J15" s="53">
        <v>4994405.8605595501</v>
      </c>
      <c r="K15" s="54">
        <v>88.685204954794997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86" t="s">
        <v>65</v>
      </c>
      <c r="C16" s="77"/>
      <c r="D16" s="53">
        <v>4456628.1958777104</v>
      </c>
      <c r="E16" s="54">
        <v>44.952936353077298</v>
      </c>
      <c r="F16" s="56"/>
      <c r="G16" s="53">
        <v>2308497.2265046602</v>
      </c>
      <c r="H16" s="54">
        <v>51.229201616903701</v>
      </c>
      <c r="I16" s="30"/>
      <c r="J16" s="53">
        <v>2310284.40106495</v>
      </c>
      <c r="K16" s="54">
        <v>42.023679914938299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30" customHeight="1">
      <c r="A17" s="30"/>
      <c r="B17" s="187" t="s">
        <v>111</v>
      </c>
      <c r="C17" s="101"/>
      <c r="D17" s="53">
        <v>1979906.0979438301</v>
      </c>
      <c r="E17" s="54">
        <v>20.156086090254799</v>
      </c>
      <c r="F17" s="56"/>
      <c r="G17" s="53">
        <v>679749.53009609797</v>
      </c>
      <c r="H17" s="54">
        <v>15.2307749882357</v>
      </c>
      <c r="I17" s="30"/>
      <c r="J17" s="53">
        <v>1388039.2472600101</v>
      </c>
      <c r="K17" s="54">
        <v>25.6877361674727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30" customHeight="1">
      <c r="A18" s="30"/>
      <c r="B18" s="187" t="s">
        <v>125</v>
      </c>
      <c r="C18" s="101"/>
      <c r="D18" s="53">
        <v>1930064.7563713901</v>
      </c>
      <c r="E18" s="54">
        <v>19.681433375238498</v>
      </c>
      <c r="F18" s="56"/>
      <c r="G18" s="53">
        <v>748632.04498937295</v>
      </c>
      <c r="H18" s="54">
        <v>16.855550009367199</v>
      </c>
      <c r="I18" s="30"/>
      <c r="J18" s="53">
        <v>1265538.8446988901</v>
      </c>
      <c r="K18" s="54">
        <v>23.533270404098499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86" t="s">
        <v>36</v>
      </c>
      <c r="C19" s="101"/>
      <c r="D19" s="53">
        <v>978961.68944689003</v>
      </c>
      <c r="E19" s="54">
        <v>10.009921153963299</v>
      </c>
      <c r="F19" s="56"/>
      <c r="G19" s="53">
        <v>491035.475350452</v>
      </c>
      <c r="H19" s="54">
        <v>11.019377450302301</v>
      </c>
      <c r="I19" s="30"/>
      <c r="J19" s="53">
        <v>550734.76453354</v>
      </c>
      <c r="K19" s="54">
        <v>10.3378941169443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86" t="s">
        <v>124</v>
      </c>
      <c r="C20" s="101"/>
      <c r="D20" s="53">
        <v>698580.58139499801</v>
      </c>
      <c r="E20" s="54">
        <v>7.1630756113441301</v>
      </c>
      <c r="F20" s="56"/>
      <c r="G20" s="53">
        <v>264423.81144866103</v>
      </c>
      <c r="H20" s="54">
        <v>5.9796097971732296</v>
      </c>
      <c r="I20" s="30"/>
      <c r="J20" s="53">
        <v>482076.44274256699</v>
      </c>
      <c r="K20" s="54">
        <v>9.0210578032018898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6.95" customHeight="1">
      <c r="A21" s="30"/>
      <c r="B21" s="101"/>
      <c r="C21" s="101"/>
      <c r="D21" s="47"/>
      <c r="E21" s="48"/>
      <c r="F21" s="49"/>
      <c r="G21" s="47"/>
      <c r="H21" s="48"/>
      <c r="I21" s="50"/>
      <c r="J21" s="47"/>
      <c r="K21" s="48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133" t="s">
        <v>37</v>
      </c>
      <c r="C22" s="185"/>
      <c r="D22" s="47">
        <v>23510164.093997899</v>
      </c>
      <c r="E22" s="48">
        <v>71.443684658337204</v>
      </c>
      <c r="F22" s="49"/>
      <c r="G22" s="47">
        <v>13054680.382021001</v>
      </c>
      <c r="H22" s="48">
        <v>75.654810329533703</v>
      </c>
      <c r="I22" s="50"/>
      <c r="J22" s="47">
        <v>10866976.6526503</v>
      </c>
      <c r="K22" s="48">
        <v>68.253979568194893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6.95" customHeight="1">
      <c r="A23" s="30"/>
      <c r="B23" s="98"/>
      <c r="C23" s="98"/>
      <c r="D23" s="22"/>
      <c r="E23" s="188"/>
      <c r="F23" s="30"/>
      <c r="G23" s="22"/>
      <c r="H23" s="188"/>
      <c r="I23" s="22"/>
      <c r="J23" s="22"/>
      <c r="K23" s="188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15" customHeight="1">
      <c r="A24" s="30"/>
      <c r="B24" s="189" t="s">
        <v>7</v>
      </c>
      <c r="C24" s="190"/>
      <c r="D24" s="47">
        <v>8593366.3622750808</v>
      </c>
      <c r="E24" s="48">
        <v>100</v>
      </c>
      <c r="F24" s="49"/>
      <c r="G24" s="47">
        <v>4889022.8251879103</v>
      </c>
      <c r="H24" s="48">
        <v>100</v>
      </c>
      <c r="I24" s="50"/>
      <c r="J24" s="47">
        <v>3883257.3074392802</v>
      </c>
      <c r="K24" s="48">
        <v>100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6.95" customHeight="1">
      <c r="A25" s="30"/>
      <c r="B25" s="98"/>
      <c r="C25" s="98"/>
      <c r="D25" s="30"/>
      <c r="E25" s="30"/>
      <c r="F25" s="51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33" t="s">
        <v>38</v>
      </c>
      <c r="C26" s="185"/>
      <c r="D26" s="47">
        <v>1922674.96228512</v>
      </c>
      <c r="E26" s="48">
        <v>23.961109362222</v>
      </c>
      <c r="F26" s="49"/>
      <c r="G26" s="47">
        <v>1002812.1750586299</v>
      </c>
      <c r="H26" s="48">
        <v>22.3074653693164</v>
      </c>
      <c r="I26" s="50"/>
      <c r="J26" s="47">
        <v>1017479.6828376</v>
      </c>
      <c r="K26" s="48">
        <v>29.0037574354259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6.95" customHeight="1">
      <c r="A27" s="30"/>
      <c r="B27" s="185"/>
      <c r="C27" s="185"/>
      <c r="D27" s="53"/>
      <c r="E27" s="54"/>
      <c r="F27" s="49"/>
      <c r="G27" s="53"/>
      <c r="H27" s="54"/>
      <c r="I27" s="50"/>
      <c r="J27" s="53"/>
      <c r="K27" s="54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186" t="s">
        <v>35</v>
      </c>
      <c r="C28" s="115"/>
      <c r="D28" s="53">
        <v>1604911.44281328</v>
      </c>
      <c r="E28" s="54">
        <v>87.216540437337102</v>
      </c>
      <c r="F28" s="56"/>
      <c r="G28" s="53">
        <v>853205.34855604498</v>
      </c>
      <c r="H28" s="54">
        <v>89.381651297471905</v>
      </c>
      <c r="I28" s="30"/>
      <c r="J28" s="53">
        <v>850800.66089472605</v>
      </c>
      <c r="K28" s="54">
        <v>89.677321948404398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86" t="s">
        <v>65</v>
      </c>
      <c r="C29" s="77"/>
      <c r="D29" s="53">
        <v>851422.61321944895</v>
      </c>
      <c r="E29" s="54">
        <v>50.813806317933803</v>
      </c>
      <c r="F29" s="56"/>
      <c r="G29" s="53">
        <v>547517.87913100596</v>
      </c>
      <c r="H29" s="54">
        <v>65.247108864589094</v>
      </c>
      <c r="I29" s="30"/>
      <c r="J29" s="53">
        <v>352061.73229683301</v>
      </c>
      <c r="K29" s="54">
        <v>42.1985485424958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30" customHeight="1">
      <c r="A30" s="30"/>
      <c r="B30" s="187" t="s">
        <v>111</v>
      </c>
      <c r="C30" s="101"/>
      <c r="D30" s="53">
        <v>393912.439339092</v>
      </c>
      <c r="E30" s="54">
        <v>23.7726948626356</v>
      </c>
      <c r="F30" s="56"/>
      <c r="G30" s="53">
        <v>109244.58751831</v>
      </c>
      <c r="H30" s="54">
        <v>13.4365740351917</v>
      </c>
      <c r="I30" s="30"/>
      <c r="J30" s="53">
        <v>310940.69364706997</v>
      </c>
      <c r="K30" s="54">
        <v>36.695925907309601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187" t="s">
        <v>125</v>
      </c>
      <c r="C31" s="101"/>
      <c r="D31" s="53">
        <v>322391.18684710399</v>
      </c>
      <c r="E31" s="54">
        <v>19.6670343525963</v>
      </c>
      <c r="F31" s="56"/>
      <c r="G31" s="53">
        <v>131176.87640168701</v>
      </c>
      <c r="H31" s="54">
        <v>16.309337619239201</v>
      </c>
      <c r="I31" s="30"/>
      <c r="J31" s="53">
        <v>217454.050741468</v>
      </c>
      <c r="K31" s="54">
        <v>26.276844827511098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186" t="s">
        <v>36</v>
      </c>
      <c r="C32" s="101"/>
      <c r="D32" s="53">
        <v>149376.75075876201</v>
      </c>
      <c r="E32" s="54">
        <v>9.1623818076881101</v>
      </c>
      <c r="F32" s="56"/>
      <c r="G32" s="53">
        <v>83349.207017757901</v>
      </c>
      <c r="H32" s="54">
        <v>10.2617445287074</v>
      </c>
      <c r="I32" s="30"/>
      <c r="J32" s="53">
        <v>85551.523189475105</v>
      </c>
      <c r="K32" s="54">
        <v>10.5141774661522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86" t="s">
        <v>124</v>
      </c>
      <c r="C33" s="101"/>
      <c r="D33" s="53">
        <v>131026.480076786</v>
      </c>
      <c r="E33" s="54">
        <v>8.0554977551331195</v>
      </c>
      <c r="F33" s="56"/>
      <c r="G33" s="53">
        <v>49210.079340174198</v>
      </c>
      <c r="H33" s="54">
        <v>6.0601580701941602</v>
      </c>
      <c r="I33" s="30"/>
      <c r="J33" s="53">
        <v>98255.458652883899</v>
      </c>
      <c r="K33" s="54">
        <v>12.0374152072005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101"/>
      <c r="C34" s="101"/>
      <c r="D34" s="53"/>
      <c r="E34" s="54"/>
      <c r="F34" s="56"/>
      <c r="G34" s="53"/>
      <c r="H34" s="54"/>
      <c r="I34" s="3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133" t="s">
        <v>37</v>
      </c>
      <c r="C35" s="185"/>
      <c r="D35" s="47">
        <v>6829467.1276515201</v>
      </c>
      <c r="E35" s="48">
        <v>82.089706239444197</v>
      </c>
      <c r="F35" s="49"/>
      <c r="G35" s="47">
        <v>3997894.3845364298</v>
      </c>
      <c r="H35" s="48">
        <v>84.870125397847602</v>
      </c>
      <c r="I35" s="50"/>
      <c r="J35" s="47">
        <v>3012181.0168509199</v>
      </c>
      <c r="K35" s="48">
        <v>81.481734289623304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190"/>
      <c r="C36" s="190"/>
      <c r="D36" s="22"/>
      <c r="E36" s="191"/>
      <c r="F36" s="191"/>
      <c r="G36" s="22"/>
      <c r="H36" s="191"/>
      <c r="I36" s="191"/>
      <c r="J36" s="22"/>
      <c r="K36" s="191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89" t="s">
        <v>8</v>
      </c>
      <c r="C37" s="190"/>
      <c r="D37" s="47">
        <v>25596950.102660902</v>
      </c>
      <c r="E37" s="48">
        <v>100</v>
      </c>
      <c r="F37" s="49"/>
      <c r="G37" s="47">
        <v>13168191.121520599</v>
      </c>
      <c r="H37" s="48">
        <v>100</v>
      </c>
      <c r="I37" s="50"/>
      <c r="J37" s="47">
        <v>12818038.385053599</v>
      </c>
      <c r="K37" s="48">
        <v>100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98"/>
      <c r="C38" s="98"/>
      <c r="D38" s="30"/>
      <c r="E38" s="30"/>
      <c r="F38" s="5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33" t="s">
        <v>38</v>
      </c>
      <c r="C39" s="185"/>
      <c r="D39" s="47">
        <v>8642624.2354479805</v>
      </c>
      <c r="E39" s="48">
        <v>34.778367220537902</v>
      </c>
      <c r="F39" s="49"/>
      <c r="G39" s="47">
        <v>3948311.6701110201</v>
      </c>
      <c r="H39" s="48">
        <v>31.2923546975818</v>
      </c>
      <c r="I39" s="50"/>
      <c r="J39" s="47">
        <v>4920321.7113901898</v>
      </c>
      <c r="K39" s="48">
        <v>39.887453994659403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185"/>
      <c r="C40" s="185"/>
      <c r="D40" s="53"/>
      <c r="E40" s="54"/>
      <c r="F40" s="49"/>
      <c r="G40" s="53"/>
      <c r="H40" s="54"/>
      <c r="I40" s="50"/>
      <c r="J40" s="53"/>
      <c r="K40" s="54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86" t="s">
        <v>35</v>
      </c>
      <c r="C41" s="115"/>
      <c r="D41" s="53">
        <v>7540959.5831334004</v>
      </c>
      <c r="E41" s="54">
        <v>89.065516138216296</v>
      </c>
      <c r="F41" s="56"/>
      <c r="G41" s="53">
        <v>3464898.0220057601</v>
      </c>
      <c r="H41" s="54">
        <v>90.302571463081193</v>
      </c>
      <c r="I41" s="30"/>
      <c r="J41" s="53">
        <v>4292930.6569329603</v>
      </c>
      <c r="K41" s="54">
        <v>89.587876779958606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86" t="s">
        <v>65</v>
      </c>
      <c r="C42" s="77"/>
      <c r="D42" s="53">
        <v>3749534.0290574501</v>
      </c>
      <c r="E42" s="54">
        <v>45.028305579578003</v>
      </c>
      <c r="F42" s="56"/>
      <c r="G42" s="53">
        <v>1858460.8287897401</v>
      </c>
      <c r="H42" s="54">
        <v>50.065537576505101</v>
      </c>
      <c r="I42" s="30"/>
      <c r="J42" s="53">
        <v>2037260.5090020001</v>
      </c>
      <c r="K42" s="54">
        <v>43.354267295743099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30" customHeight="1">
      <c r="A43" s="30"/>
      <c r="B43" s="187" t="s">
        <v>111</v>
      </c>
      <c r="C43" s="101"/>
      <c r="D43" s="53">
        <v>1667561.1969643901</v>
      </c>
      <c r="E43" s="54">
        <v>20.357482327366199</v>
      </c>
      <c r="F43" s="56"/>
      <c r="G43" s="53">
        <v>603822.30816769099</v>
      </c>
      <c r="H43" s="54">
        <v>16.5394335709132</v>
      </c>
      <c r="I43" s="30"/>
      <c r="J43" s="53">
        <v>1146116.9643669999</v>
      </c>
      <c r="K43" s="54">
        <v>25.025588657216002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30" customHeight="1">
      <c r="A44" s="30"/>
      <c r="B44" s="187" t="s">
        <v>125</v>
      </c>
      <c r="C44" s="101"/>
      <c r="D44" s="53">
        <v>1675608.34380287</v>
      </c>
      <c r="E44" s="54">
        <v>20.468449768431</v>
      </c>
      <c r="F44" s="56"/>
      <c r="G44" s="53">
        <v>647942.93109912099</v>
      </c>
      <c r="H44" s="54">
        <v>17.8514356389949</v>
      </c>
      <c r="I44" s="30"/>
      <c r="J44" s="53">
        <v>1107642.7628949201</v>
      </c>
      <c r="K44" s="54">
        <v>24.252779435012201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186" t="s">
        <v>36</v>
      </c>
      <c r="C45" s="101"/>
      <c r="D45" s="53">
        <v>869756.240858278</v>
      </c>
      <c r="E45" s="54">
        <v>10.669245690657201</v>
      </c>
      <c r="F45" s="56"/>
      <c r="G45" s="53">
        <v>436539.10439412098</v>
      </c>
      <c r="H45" s="54">
        <v>11.979395093234899</v>
      </c>
      <c r="I45" s="30"/>
      <c r="J45" s="53">
        <v>493051.26476234198</v>
      </c>
      <c r="K45" s="54">
        <v>10.9174484796351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15" customHeight="1">
      <c r="A46" s="30"/>
      <c r="B46" s="186" t="s">
        <v>124</v>
      </c>
      <c r="C46" s="101"/>
      <c r="D46" s="53">
        <v>604404.70031331398</v>
      </c>
      <c r="E46" s="54">
        <v>7.4357744611048204</v>
      </c>
      <c r="F46" s="56"/>
      <c r="G46" s="53">
        <v>233114.49016302399</v>
      </c>
      <c r="H46" s="54">
        <v>6.4547123514382303</v>
      </c>
      <c r="I46" s="30"/>
      <c r="J46" s="53">
        <v>416129.594663019</v>
      </c>
      <c r="K46" s="54">
        <v>9.1809107210852101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6.95" customHeight="1">
      <c r="A47" s="30"/>
      <c r="B47" s="101"/>
      <c r="C47" s="101"/>
      <c r="D47" s="53"/>
      <c r="E47" s="54"/>
      <c r="F47" s="56"/>
      <c r="G47" s="53"/>
      <c r="H47" s="54"/>
      <c r="I47" s="30"/>
      <c r="J47" s="53"/>
      <c r="K47" s="54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133" t="s">
        <v>37</v>
      </c>
      <c r="C48" s="101"/>
      <c r="D48" s="47">
        <v>17307761.2246002</v>
      </c>
      <c r="E48" s="48">
        <v>68.808519662536099</v>
      </c>
      <c r="F48" s="49"/>
      <c r="G48" s="47">
        <v>9451303.8853040691</v>
      </c>
      <c r="H48" s="48">
        <v>73.426668244707201</v>
      </c>
      <c r="I48" s="50"/>
      <c r="J48" s="47">
        <v>8182073.6975282896</v>
      </c>
      <c r="K48" s="48">
        <v>65.618616196861197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6.95" customHeight="1">
      <c r="A49" s="30"/>
      <c r="B49" s="192"/>
      <c r="C49" s="192"/>
      <c r="D49" s="192"/>
      <c r="E49" s="126"/>
      <c r="F49" s="126"/>
      <c r="G49" s="126"/>
      <c r="H49" s="126"/>
      <c r="I49" s="126"/>
      <c r="J49" s="126"/>
      <c r="K49" s="126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6.95" customHeight="1">
      <c r="A50" s="30"/>
      <c r="B50" s="141"/>
      <c r="C50" s="141"/>
      <c r="D50" s="141"/>
      <c r="E50" s="128"/>
      <c r="F50" s="128"/>
      <c r="G50" s="128"/>
      <c r="H50" s="128"/>
      <c r="I50" s="128"/>
      <c r="J50" s="128"/>
      <c r="K50" s="128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2" customHeight="1">
      <c r="A51" s="30"/>
      <c r="B51" s="159" t="s">
        <v>75</v>
      </c>
      <c r="C51" s="159"/>
      <c r="D51" s="159"/>
      <c r="E51" s="128"/>
      <c r="F51" s="128"/>
      <c r="G51" s="128"/>
      <c r="H51" s="128"/>
      <c r="I51" s="128"/>
      <c r="J51" s="128"/>
      <c r="K51" s="128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12" customHeight="1">
      <c r="A52" s="30"/>
      <c r="B52" s="193" t="s">
        <v>93</v>
      </c>
      <c r="C52" s="193"/>
      <c r="D52" s="193"/>
      <c r="E52" s="128"/>
      <c r="F52" s="128"/>
      <c r="G52" s="128"/>
      <c r="H52" s="128"/>
      <c r="I52" s="128"/>
      <c r="J52" s="128"/>
      <c r="K52" s="128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12" customHeight="1">
      <c r="A53" s="30"/>
      <c r="B53" s="193" t="s">
        <v>126</v>
      </c>
      <c r="C53" s="193"/>
      <c r="D53" s="193"/>
      <c r="E53" s="128"/>
      <c r="F53" s="128"/>
      <c r="G53" s="128"/>
      <c r="H53" s="128"/>
      <c r="I53" s="128"/>
      <c r="J53" s="128"/>
      <c r="K53" s="128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12" customHeight="1">
      <c r="A54" s="30"/>
      <c r="B54" s="254" t="s">
        <v>102</v>
      </c>
      <c r="C54" s="254"/>
      <c r="D54" s="254"/>
      <c r="E54" s="254"/>
      <c r="F54" s="254"/>
      <c r="G54" s="254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</sheetData>
  <mergeCells count="7">
    <mergeCell ref="B54:G54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57791C49-B688-4DE0-B555-BB673AFE458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0158-968A-42D2-8002-0BA8E17459D1}">
  <dimension ref="A1:W28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85546875" customWidth="1"/>
    <col min="6" max="6" width="1.7109375" customWidth="1"/>
    <col min="7" max="7" width="15.855468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15" customHeight="1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110"/>
      <c r="F4" s="110"/>
      <c r="G4" s="110"/>
      <c r="H4" s="110"/>
      <c r="I4" s="110"/>
      <c r="J4" s="11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6" t="s">
        <v>94</v>
      </c>
      <c r="C5" s="266"/>
      <c r="D5" s="266"/>
      <c r="E5" s="266"/>
      <c r="F5" s="266"/>
      <c r="G5" s="266"/>
      <c r="H5" s="65"/>
      <c r="I5" s="65"/>
      <c r="J5" s="65"/>
      <c r="K5" s="112" t="s">
        <v>60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151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33367016.851553898</v>
      </c>
      <c r="E11" s="48">
        <v>100</v>
      </c>
      <c r="F11" s="49"/>
      <c r="G11" s="47">
        <v>17562200.6267302</v>
      </c>
      <c r="H11" s="48">
        <v>100</v>
      </c>
      <c r="I11" s="50"/>
      <c r="J11" s="47">
        <v>16300009.401280399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30" customHeight="1">
      <c r="A13" s="30"/>
      <c r="B13" s="194" t="s">
        <v>88</v>
      </c>
      <c r="C13" s="116"/>
      <c r="D13" s="53">
        <v>9477789.9013477992</v>
      </c>
      <c r="E13" s="54">
        <v>29.091344438937401</v>
      </c>
      <c r="F13" s="56"/>
      <c r="G13" s="53">
        <v>4337074.5774053102</v>
      </c>
      <c r="H13" s="54">
        <v>25.6159496014767</v>
      </c>
      <c r="I13" s="30"/>
      <c r="J13" s="53">
        <v>5415985.7629376501</v>
      </c>
      <c r="K13" s="54">
        <v>34.283369026670499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30" customHeight="1">
      <c r="A14" s="30"/>
      <c r="B14" s="194" t="s">
        <v>89</v>
      </c>
      <c r="C14" s="116"/>
      <c r="D14" s="53">
        <v>24335264.318163499</v>
      </c>
      <c r="E14" s="54">
        <v>73.977941742269493</v>
      </c>
      <c r="F14" s="56"/>
      <c r="G14" s="53">
        <v>13538671.645777</v>
      </c>
      <c r="H14" s="54">
        <v>78.537437707595004</v>
      </c>
      <c r="I14" s="30"/>
      <c r="J14" s="53">
        <v>11204072.4039797</v>
      </c>
      <c r="K14" s="54">
        <v>70.5000019733221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6.95" customHeight="1">
      <c r="A15" s="30"/>
      <c r="B15" s="119"/>
      <c r="C15" s="119"/>
      <c r="D15" s="79"/>
      <c r="E15" s="78"/>
      <c r="F15" s="195"/>
      <c r="G15" s="79"/>
      <c r="H15" s="78"/>
      <c r="I15" s="79"/>
      <c r="J15" s="79"/>
      <c r="K15" s="78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96" t="s">
        <v>7</v>
      </c>
      <c r="C16" s="197"/>
      <c r="D16" s="47">
        <v>8593366.3622750808</v>
      </c>
      <c r="E16" s="48">
        <v>100</v>
      </c>
      <c r="F16" s="49"/>
      <c r="G16" s="47">
        <v>4889022.8251879103</v>
      </c>
      <c r="H16" s="48">
        <v>100</v>
      </c>
      <c r="I16" s="50"/>
      <c r="J16" s="47">
        <v>3883257.3074392802</v>
      </c>
      <c r="K16" s="48">
        <v>100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6.95" customHeight="1">
      <c r="A17" s="30"/>
      <c r="B17" s="197"/>
      <c r="C17" s="197"/>
      <c r="D17" s="53"/>
      <c r="E17" s="54"/>
      <c r="F17" s="49"/>
      <c r="G17" s="53"/>
      <c r="H17" s="54"/>
      <c r="I17" s="50"/>
      <c r="J17" s="53"/>
      <c r="K17" s="54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30" customHeight="1">
      <c r="A18" s="30"/>
      <c r="B18" s="194" t="s">
        <v>88</v>
      </c>
      <c r="C18" s="116"/>
      <c r="D18" s="53">
        <v>1589697.31237505</v>
      </c>
      <c r="E18" s="54">
        <v>19.931584095889502</v>
      </c>
      <c r="F18" s="56"/>
      <c r="G18" s="53">
        <v>908637.47066423495</v>
      </c>
      <c r="H18" s="54">
        <v>20.3490665579275</v>
      </c>
      <c r="I18" s="30"/>
      <c r="J18" s="53">
        <v>783776.52347164799</v>
      </c>
      <c r="K18" s="54">
        <v>22.3710206805357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30" customHeight="1">
      <c r="A19" s="30"/>
      <c r="B19" s="194" t="s">
        <v>89</v>
      </c>
      <c r="C19" s="116"/>
      <c r="D19" s="53">
        <v>7152172.0007376503</v>
      </c>
      <c r="E19" s="54">
        <v>85.536245305375203</v>
      </c>
      <c r="F19" s="56"/>
      <c r="G19" s="53">
        <v>4121640.6704628202</v>
      </c>
      <c r="H19" s="54">
        <v>87.746869224887902</v>
      </c>
      <c r="I19" s="30"/>
      <c r="J19" s="53">
        <v>3204405.7110623098</v>
      </c>
      <c r="K19" s="54">
        <v>85.6905630998817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198"/>
      <c r="C20" s="198"/>
      <c r="D20" s="30"/>
      <c r="E20" s="30"/>
      <c r="F20" s="102"/>
      <c r="G20" s="30"/>
      <c r="H20" s="30"/>
      <c r="I20" s="22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96" t="s">
        <v>8</v>
      </c>
      <c r="C21" s="197"/>
      <c r="D21" s="47">
        <v>25596950.102660902</v>
      </c>
      <c r="E21" s="48">
        <v>100</v>
      </c>
      <c r="F21" s="49"/>
      <c r="G21" s="47">
        <v>13168191.121520599</v>
      </c>
      <c r="H21" s="48">
        <v>100</v>
      </c>
      <c r="I21" s="50"/>
      <c r="J21" s="47">
        <v>12818038.385053599</v>
      </c>
      <c r="K21" s="48">
        <v>100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197"/>
      <c r="C22" s="197"/>
      <c r="D22" s="53"/>
      <c r="E22" s="54"/>
      <c r="F22" s="49"/>
      <c r="G22" s="53"/>
      <c r="H22" s="54"/>
      <c r="I22" s="50"/>
      <c r="J22" s="53"/>
      <c r="K22" s="54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30" customHeight="1">
      <c r="A23" s="30"/>
      <c r="B23" s="194" t="s">
        <v>88</v>
      </c>
      <c r="C23" s="116"/>
      <c r="D23" s="53">
        <v>8123374.1729515204</v>
      </c>
      <c r="E23" s="54">
        <v>32.640325134265296</v>
      </c>
      <c r="F23" s="56"/>
      <c r="G23" s="53">
        <v>3581617.8597496101</v>
      </c>
      <c r="H23" s="54">
        <v>28.387493240711098</v>
      </c>
      <c r="I23" s="30"/>
      <c r="J23" s="53">
        <v>4768509.7301284</v>
      </c>
      <c r="K23" s="54">
        <v>38.455123044904099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30" customHeight="1">
      <c r="A24" s="30"/>
      <c r="B24" s="194" t="s">
        <v>89</v>
      </c>
      <c r="C24" s="116"/>
      <c r="D24" s="53">
        <v>17829712.109960601</v>
      </c>
      <c r="E24" s="54">
        <v>70.971777047866794</v>
      </c>
      <c r="F24" s="56"/>
      <c r="G24" s="53">
        <v>9815102.3775169794</v>
      </c>
      <c r="H24" s="54">
        <v>76.2364229536106</v>
      </c>
      <c r="I24" s="30"/>
      <c r="J24" s="53">
        <v>8323928.7042836295</v>
      </c>
      <c r="K24" s="54">
        <v>67.040291001504599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6.95" customHeight="1">
      <c r="A25" s="30"/>
      <c r="B25" s="126"/>
      <c r="C25" s="126"/>
      <c r="D25" s="126"/>
      <c r="E25" s="126"/>
      <c r="F25" s="126"/>
      <c r="G25" s="126"/>
      <c r="H25" s="127"/>
      <c r="I25" s="127"/>
      <c r="J25" s="127"/>
      <c r="K25" s="127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128"/>
      <c r="C26" s="128"/>
      <c r="D26" s="128"/>
      <c r="E26" s="128"/>
      <c r="F26" s="128"/>
      <c r="G26" s="128"/>
      <c r="H26" s="110"/>
      <c r="I26" s="110"/>
      <c r="J26" s="110"/>
      <c r="K26" s="11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2" customHeight="1">
      <c r="A27" s="30"/>
      <c r="B27" s="159" t="s">
        <v>75</v>
      </c>
      <c r="C27" s="129"/>
      <c r="D27" s="129"/>
      <c r="E27" s="129"/>
      <c r="F27" s="129"/>
      <c r="G27" s="129"/>
      <c r="H27" s="129"/>
      <c r="I27" s="129"/>
      <c r="J27" s="129"/>
      <c r="K27" s="1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2" customHeight="1">
      <c r="A28" s="30"/>
      <c r="B28" s="254" t="s">
        <v>102</v>
      </c>
      <c r="C28" s="254"/>
      <c r="D28" s="254"/>
      <c r="E28" s="254"/>
      <c r="F28" s="254"/>
      <c r="G28" s="254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</sheetData>
  <mergeCells count="7">
    <mergeCell ref="B28:G28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E0EC8E0A-1352-4653-B260-DDF75BB06EC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9AEA-5A1C-4BAA-B8E7-BE9F4346905D}">
  <dimension ref="A1:W34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6"/>
      <c r="C4" s="66"/>
      <c r="D4" s="66"/>
      <c r="E4" s="66"/>
      <c r="F4" s="66"/>
      <c r="G4" s="66"/>
      <c r="H4" s="199"/>
      <c r="I4" s="199"/>
      <c r="J4" s="199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>
      <c r="A5" s="30"/>
      <c r="B5" s="228" t="s">
        <v>163</v>
      </c>
      <c r="C5" s="67"/>
      <c r="D5" s="66"/>
      <c r="E5" s="66"/>
      <c r="F5" s="66"/>
      <c r="G5" s="66"/>
      <c r="H5" s="200"/>
      <c r="I5" s="200"/>
      <c r="J5" s="200"/>
      <c r="K5" s="112" t="s">
        <v>61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36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8" t="s">
        <v>162</v>
      </c>
      <c r="C7" s="70"/>
      <c r="D7" s="262" t="s">
        <v>131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6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7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88168959.549554095</v>
      </c>
      <c r="E11" s="48">
        <v>100</v>
      </c>
      <c r="F11" s="49"/>
      <c r="G11" s="47">
        <v>47788866.463474698</v>
      </c>
      <c r="H11" s="48">
        <v>100</v>
      </c>
      <c r="I11" s="50"/>
      <c r="J11" s="47">
        <v>41315778.788891397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232" t="s">
        <v>158</v>
      </c>
      <c r="C13" s="150"/>
      <c r="D13" s="53">
        <v>33367016.851553898</v>
      </c>
      <c r="E13" s="54">
        <v>38.510577508726797</v>
      </c>
      <c r="F13" s="56"/>
      <c r="G13" s="53">
        <v>17562200.6267302</v>
      </c>
      <c r="H13" s="54">
        <v>37.6125463924011</v>
      </c>
      <c r="I13" s="30"/>
      <c r="J13" s="53">
        <v>16300009.401280399</v>
      </c>
      <c r="K13" s="54">
        <v>40.417637617620599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232" t="s">
        <v>159</v>
      </c>
      <c r="C14" s="150"/>
      <c r="D14" s="53">
        <v>55849239.696697302</v>
      </c>
      <c r="E14" s="54">
        <v>63.8182464211189</v>
      </c>
      <c r="F14" s="56"/>
      <c r="G14" s="53">
        <v>30867436.538811799</v>
      </c>
      <c r="H14" s="54">
        <v>65.381015393011495</v>
      </c>
      <c r="I14" s="30"/>
      <c r="J14" s="53">
        <v>25630013.0257666</v>
      </c>
      <c r="K14" s="54">
        <v>62.874755735361497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233" t="s">
        <v>160</v>
      </c>
      <c r="C15" s="201"/>
      <c r="D15" s="53">
        <v>44624807.188662201</v>
      </c>
      <c r="E15" s="54">
        <v>80.772481866621504</v>
      </c>
      <c r="F15" s="56"/>
      <c r="G15" s="53">
        <v>25201988.5153764</v>
      </c>
      <c r="H15" s="54">
        <v>82.654438058227001</v>
      </c>
      <c r="I15" s="30"/>
      <c r="J15" s="53">
        <v>20041036.980077699</v>
      </c>
      <c r="K15" s="54">
        <v>79.464064738821406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233" t="s">
        <v>161</v>
      </c>
      <c r="C16" s="202"/>
      <c r="D16" s="53">
        <v>11806535.5274616</v>
      </c>
      <c r="E16" s="54">
        <v>21.642000795223701</v>
      </c>
      <c r="F16" s="56"/>
      <c r="G16" s="53">
        <v>6025970.7115807096</v>
      </c>
      <c r="H16" s="54">
        <v>20.1734306185812</v>
      </c>
      <c r="I16" s="30"/>
      <c r="J16" s="53">
        <v>6025757.0436965898</v>
      </c>
      <c r="K16" s="54">
        <v>24.383118573844602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6.95" customHeight="1">
      <c r="A17" s="30"/>
      <c r="B17" s="234"/>
      <c r="C17" s="162"/>
      <c r="D17" s="79"/>
      <c r="E17" s="203"/>
      <c r="F17" s="203"/>
      <c r="G17" s="79"/>
      <c r="H17" s="203"/>
      <c r="I17" s="203"/>
      <c r="J17" s="79"/>
      <c r="K17" s="203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229" t="s">
        <v>7</v>
      </c>
      <c r="C18" s="204"/>
      <c r="D18" s="47">
        <v>31876327.629939102</v>
      </c>
      <c r="E18" s="48">
        <v>100</v>
      </c>
      <c r="F18" s="49"/>
      <c r="G18" s="47">
        <v>17557347.996399298</v>
      </c>
      <c r="H18" s="48">
        <v>100</v>
      </c>
      <c r="I18" s="50"/>
      <c r="J18" s="47">
        <v>14624214.675651999</v>
      </c>
      <c r="K18" s="48">
        <v>100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6.95" customHeight="1">
      <c r="A19" s="30"/>
      <c r="B19" s="230"/>
      <c r="C19" s="204"/>
      <c r="D19" s="53"/>
      <c r="E19" s="54"/>
      <c r="F19" s="49"/>
      <c r="G19" s="53"/>
      <c r="H19" s="54"/>
      <c r="I19" s="50"/>
      <c r="J19" s="53"/>
      <c r="K19" s="54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232" t="s">
        <v>158</v>
      </c>
      <c r="C20" s="150"/>
      <c r="D20" s="53">
        <v>8593366.3622750808</v>
      </c>
      <c r="E20" s="54">
        <v>28.1042782403009</v>
      </c>
      <c r="F20" s="56"/>
      <c r="G20" s="53">
        <v>4889022.8251879103</v>
      </c>
      <c r="H20" s="54">
        <v>29.0409994988051</v>
      </c>
      <c r="I20" s="30"/>
      <c r="J20" s="53">
        <v>3883257.3074392802</v>
      </c>
      <c r="K20" s="54">
        <v>28.089161889543099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232" t="s">
        <v>159</v>
      </c>
      <c r="C21" s="150"/>
      <c r="D21" s="53">
        <v>23705441.6913695</v>
      </c>
      <c r="E21" s="54">
        <v>76.092081331791704</v>
      </c>
      <c r="F21" s="56"/>
      <c r="G21" s="53">
        <v>12924370.543191699</v>
      </c>
      <c r="H21" s="54">
        <v>75.756951097731999</v>
      </c>
      <c r="I21" s="30"/>
      <c r="J21" s="53">
        <v>11033146.206448101</v>
      </c>
      <c r="K21" s="54">
        <v>77.612377578724306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233" t="s">
        <v>160</v>
      </c>
      <c r="C22" s="201"/>
      <c r="D22" s="53">
        <v>20090204.9932722</v>
      </c>
      <c r="E22" s="54">
        <v>86.365600678917204</v>
      </c>
      <c r="F22" s="56"/>
      <c r="G22" s="53">
        <v>11066636.1218543</v>
      </c>
      <c r="H22" s="54">
        <v>87.247041827593804</v>
      </c>
      <c r="I22" s="30"/>
      <c r="J22" s="53">
        <v>9303830.9178471006</v>
      </c>
      <c r="K22" s="54">
        <v>86.889318573886101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233" t="s">
        <v>161</v>
      </c>
      <c r="C23" s="202"/>
      <c r="D23" s="53">
        <v>3853515.2628060798</v>
      </c>
      <c r="E23" s="54">
        <v>17.009697454059999</v>
      </c>
      <c r="F23" s="56"/>
      <c r="G23" s="53">
        <v>2029887.0007901399</v>
      </c>
      <c r="H23" s="54">
        <v>16.652242027495699</v>
      </c>
      <c r="I23" s="30"/>
      <c r="J23" s="53">
        <v>1964381.54192621</v>
      </c>
      <c r="K23" s="54">
        <v>19.0009638199653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231"/>
      <c r="C24" s="205"/>
      <c r="D24" s="22"/>
      <c r="E24" s="206"/>
      <c r="F24" s="207"/>
      <c r="G24" s="22"/>
      <c r="H24" s="206"/>
      <c r="I24" s="206"/>
      <c r="J24" s="22"/>
      <c r="K24" s="206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229" t="s">
        <v>8</v>
      </c>
      <c r="C25" s="204"/>
      <c r="D25" s="47">
        <v>58722602.216376103</v>
      </c>
      <c r="E25" s="48">
        <v>100</v>
      </c>
      <c r="F25" s="49"/>
      <c r="G25" s="47">
        <v>31539784.224373799</v>
      </c>
      <c r="H25" s="48">
        <v>100</v>
      </c>
      <c r="I25" s="50"/>
      <c r="J25" s="47">
        <v>27745562.505176</v>
      </c>
      <c r="K25" s="48">
        <v>100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230"/>
      <c r="C26" s="204"/>
      <c r="D26" s="53"/>
      <c r="E26" s="54"/>
      <c r="F26" s="49"/>
      <c r="G26" s="53"/>
      <c r="H26" s="54"/>
      <c r="I26" s="50"/>
      <c r="J26" s="53"/>
      <c r="K26" s="54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232" t="s">
        <v>158</v>
      </c>
      <c r="C27" s="150"/>
      <c r="D27" s="53">
        <v>25596950.102660902</v>
      </c>
      <c r="E27" s="54">
        <v>44.729942749572402</v>
      </c>
      <c r="F27" s="56"/>
      <c r="G27" s="53">
        <v>13168191.121520599</v>
      </c>
      <c r="H27" s="54">
        <v>43.195082302374097</v>
      </c>
      <c r="I27" s="30"/>
      <c r="J27" s="53">
        <v>12818038.385053599</v>
      </c>
      <c r="K27" s="54">
        <v>47.666710049644998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232" t="s">
        <v>159</v>
      </c>
      <c r="C28" s="150"/>
      <c r="D28" s="53">
        <v>33687462.492506899</v>
      </c>
      <c r="E28" s="54">
        <v>58.083276128624497</v>
      </c>
      <c r="F28" s="56"/>
      <c r="G28" s="53">
        <v>18805557.146970399</v>
      </c>
      <c r="H28" s="54">
        <v>60.682337768761201</v>
      </c>
      <c r="I28" s="30"/>
      <c r="J28" s="53">
        <v>15342309.237643</v>
      </c>
      <c r="K28" s="54">
        <v>56.334244781825298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233" t="s">
        <v>160</v>
      </c>
      <c r="C29" s="201"/>
      <c r="D29" s="53">
        <v>25760560.5203644</v>
      </c>
      <c r="E29" s="54">
        <v>77.719235514796594</v>
      </c>
      <c r="F29" s="56"/>
      <c r="G29" s="53">
        <v>14866971.3765334</v>
      </c>
      <c r="H29" s="54">
        <v>80.488153695452198</v>
      </c>
      <c r="I29" s="30"/>
      <c r="J29" s="53">
        <v>11336433.966350799</v>
      </c>
      <c r="K29" s="54">
        <v>75.539441212842505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233" t="s">
        <v>161</v>
      </c>
      <c r="C30" s="202"/>
      <c r="D30" s="53">
        <v>8336750.4200972002</v>
      </c>
      <c r="E30" s="54">
        <v>25.625189695034202</v>
      </c>
      <c r="F30" s="56"/>
      <c r="G30" s="53">
        <v>4210116.0731186802</v>
      </c>
      <c r="H30" s="54">
        <v>23.505128437482501</v>
      </c>
      <c r="I30" s="30"/>
      <c r="J30" s="53">
        <v>4301522.5671144901</v>
      </c>
      <c r="K30" s="54">
        <v>29.436825401399901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6.95" customHeight="1">
      <c r="A31" s="30"/>
      <c r="B31" s="208"/>
      <c r="C31" s="208"/>
      <c r="D31" s="209"/>
      <c r="E31" s="209"/>
      <c r="F31" s="209"/>
      <c r="G31" s="209"/>
      <c r="H31" s="209"/>
      <c r="I31" s="209"/>
      <c r="J31" s="209"/>
      <c r="K31" s="20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162"/>
      <c r="C32" s="162"/>
      <c r="D32" s="210"/>
      <c r="E32" s="210"/>
      <c r="F32" s="210"/>
      <c r="G32" s="210"/>
      <c r="H32" s="210"/>
      <c r="I32" s="210"/>
      <c r="J32" s="210"/>
      <c r="K32" s="21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2" customHeight="1">
      <c r="A33" s="30"/>
      <c r="B33" s="159" t="s">
        <v>78</v>
      </c>
      <c r="C33" s="159"/>
      <c r="D33" s="211"/>
      <c r="E33" s="211"/>
      <c r="F33" s="211"/>
      <c r="G33" s="211"/>
      <c r="H33" s="160"/>
      <c r="I33" s="160"/>
      <c r="J33" s="160"/>
      <c r="K33" s="9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2" customHeight="1">
      <c r="A34" s="30"/>
      <c r="B34" s="254" t="s">
        <v>102</v>
      </c>
      <c r="C34" s="254"/>
      <c r="D34" s="254"/>
      <c r="E34" s="254"/>
      <c r="F34" s="254"/>
      <c r="G34" s="254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</sheetData>
  <mergeCells count="6">
    <mergeCell ref="B34:G34"/>
    <mergeCell ref="B7:B9"/>
    <mergeCell ref="D7:E8"/>
    <mergeCell ref="G7:K7"/>
    <mergeCell ref="G8:H8"/>
    <mergeCell ref="J8:K8"/>
  </mergeCells>
  <hyperlinks>
    <hyperlink ref="K1" location="Índice!A1" tooltip="Ir a ÍNDICE" display="INDICE" xr:uid="{6ABE1C8D-1BD9-4F18-9BAC-7742D16D8DE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2F11-BEF2-40F6-84B9-76C063978DEF}">
  <dimension ref="A1:W46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212"/>
      <c r="C4" s="212"/>
      <c r="D4" s="212"/>
      <c r="E4" s="212"/>
      <c r="F4" s="212"/>
      <c r="G4" s="212"/>
      <c r="H4" s="212"/>
      <c r="I4" s="212"/>
      <c r="J4" s="212"/>
      <c r="K4" s="11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228" t="s">
        <v>164</v>
      </c>
      <c r="C5" s="67"/>
      <c r="D5" s="67"/>
      <c r="E5" s="67"/>
      <c r="F5" s="213"/>
      <c r="G5" s="213"/>
      <c r="H5" s="214"/>
      <c r="I5" s="212"/>
      <c r="J5" s="212"/>
      <c r="K5" s="112" t="s">
        <v>62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36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80</v>
      </c>
      <c r="C7" s="70"/>
      <c r="D7" s="271" t="s">
        <v>165</v>
      </c>
      <c r="E7" s="271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72"/>
      <c r="E8" s="272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11806535.5274616</v>
      </c>
      <c r="E11" s="48">
        <v>100</v>
      </c>
      <c r="F11" s="49"/>
      <c r="G11" s="47">
        <v>6025970.7115807096</v>
      </c>
      <c r="H11" s="48">
        <v>100</v>
      </c>
      <c r="I11" s="50"/>
      <c r="J11" s="47">
        <v>6025757.0436965898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01" t="s">
        <v>39</v>
      </c>
      <c r="C13" s="134"/>
      <c r="D13" s="53">
        <v>2969361.6392886001</v>
      </c>
      <c r="E13" s="54">
        <v>26.323113647298602</v>
      </c>
      <c r="F13" s="56"/>
      <c r="G13" s="53">
        <v>1477460.9255746901</v>
      </c>
      <c r="H13" s="54">
        <v>25.911264168654899</v>
      </c>
      <c r="I13" s="30"/>
      <c r="J13" s="53">
        <v>1627217.28855542</v>
      </c>
      <c r="K13" s="54">
        <v>28.9756762029951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101" t="s">
        <v>40</v>
      </c>
      <c r="C14" s="134"/>
      <c r="D14" s="53">
        <v>2801571.62959354</v>
      </c>
      <c r="E14" s="54">
        <v>24.8919985815307</v>
      </c>
      <c r="F14" s="56"/>
      <c r="G14" s="53">
        <v>1394983.60621448</v>
      </c>
      <c r="H14" s="54">
        <v>24.638663449044099</v>
      </c>
      <c r="I14" s="30"/>
      <c r="J14" s="53">
        <v>1541280.06997985</v>
      </c>
      <c r="K14" s="54">
        <v>27.5797142217485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01" t="s">
        <v>41</v>
      </c>
      <c r="C15" s="134"/>
      <c r="D15" s="53">
        <v>3703507.0133183901</v>
      </c>
      <c r="E15" s="54">
        <v>32.962351716271399</v>
      </c>
      <c r="F15" s="56"/>
      <c r="G15" s="53">
        <v>1879073.11425133</v>
      </c>
      <c r="H15" s="54">
        <v>33.238879532672698</v>
      </c>
      <c r="I15" s="30"/>
      <c r="J15" s="53">
        <v>1982222.1312380801</v>
      </c>
      <c r="K15" s="54">
        <v>35.026414983297897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30" customHeight="1">
      <c r="A16" s="30"/>
      <c r="B16" s="101" t="s">
        <v>152</v>
      </c>
      <c r="C16" s="134"/>
      <c r="D16" s="53">
        <v>1427446.85377024</v>
      </c>
      <c r="E16" s="54">
        <v>12.677753661266699</v>
      </c>
      <c r="F16" s="56"/>
      <c r="G16" s="53">
        <v>763150.98465082597</v>
      </c>
      <c r="H16" s="54">
        <v>13.6282162913517</v>
      </c>
      <c r="I16" s="30"/>
      <c r="J16" s="53">
        <v>765523.26347869204</v>
      </c>
      <c r="K16" s="54">
        <v>13.563864743031299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01" t="s">
        <v>42</v>
      </c>
      <c r="C17" s="134"/>
      <c r="D17" s="53">
        <v>957617.16280374804</v>
      </c>
      <c r="E17" s="54">
        <v>8.5554370849724801</v>
      </c>
      <c r="F17" s="56"/>
      <c r="G17" s="53">
        <v>593769.03401366202</v>
      </c>
      <c r="H17" s="54">
        <v>10.486834083813999</v>
      </c>
      <c r="I17" s="30"/>
      <c r="J17" s="53">
        <v>433060.68245029799</v>
      </c>
      <c r="K17" s="54">
        <v>7.8365128988073298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30" customHeight="1">
      <c r="A18" s="30"/>
      <c r="B18" s="101" t="s">
        <v>112</v>
      </c>
      <c r="C18" s="134"/>
      <c r="D18" s="53">
        <v>169170.28934657999</v>
      </c>
      <c r="E18" s="54">
        <v>1.5283780916021601</v>
      </c>
      <c r="F18" s="56"/>
      <c r="G18" s="53">
        <v>106862.758184298</v>
      </c>
      <c r="H18" s="54">
        <v>1.9152461899328099</v>
      </c>
      <c r="I18" s="30"/>
      <c r="J18" s="53">
        <v>87499.451061007596</v>
      </c>
      <c r="K18" s="54">
        <v>1.58308063805161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01" t="s">
        <v>85</v>
      </c>
      <c r="C19" s="134"/>
      <c r="D19" s="53">
        <v>371920.59662984603</v>
      </c>
      <c r="E19" s="54">
        <v>3.3382301708719302</v>
      </c>
      <c r="F19" s="56"/>
      <c r="G19" s="53">
        <v>245601.16324101799</v>
      </c>
      <c r="H19" s="54">
        <v>4.3898089191527498</v>
      </c>
      <c r="I19" s="30"/>
      <c r="J19" s="53">
        <v>169684.13072325001</v>
      </c>
      <c r="K19" s="54">
        <v>3.07274350924324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01" t="s">
        <v>43</v>
      </c>
      <c r="C20" s="134"/>
      <c r="D20" s="53">
        <v>443459.64282052801</v>
      </c>
      <c r="E20" s="54">
        <v>3.99169104784061</v>
      </c>
      <c r="F20" s="56"/>
      <c r="G20" s="53">
        <v>313925.66942185198</v>
      </c>
      <c r="H20" s="54">
        <v>5.6041815006060398</v>
      </c>
      <c r="I20" s="30"/>
      <c r="J20" s="53">
        <v>173991.48761280999</v>
      </c>
      <c r="K20" s="54">
        <v>3.1440879411127098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6.95" customHeight="1">
      <c r="A21" s="30"/>
      <c r="B21" s="215"/>
      <c r="C21" s="215"/>
      <c r="D21" s="53"/>
      <c r="E21" s="54"/>
      <c r="F21" s="56"/>
      <c r="G21" s="53"/>
      <c r="H21" s="54"/>
      <c r="I21" s="30"/>
      <c r="J21" s="53"/>
      <c r="K21" s="54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216" t="s">
        <v>7</v>
      </c>
      <c r="C22" s="217"/>
      <c r="D22" s="47">
        <v>3853515.2628060798</v>
      </c>
      <c r="E22" s="48">
        <v>100</v>
      </c>
      <c r="F22" s="49"/>
      <c r="G22" s="47">
        <v>2029887.0007901399</v>
      </c>
      <c r="H22" s="48">
        <v>100</v>
      </c>
      <c r="I22" s="50"/>
      <c r="J22" s="47">
        <v>1964381.54192621</v>
      </c>
      <c r="K22" s="48">
        <v>100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6.95" customHeight="1">
      <c r="A23" s="30"/>
      <c r="B23" s="217"/>
      <c r="C23" s="217"/>
      <c r="D23" s="53"/>
      <c r="E23" s="54"/>
      <c r="F23" s="49"/>
      <c r="G23" s="53"/>
      <c r="H23" s="54"/>
      <c r="I23" s="50"/>
      <c r="J23" s="53"/>
      <c r="K23" s="54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15" customHeight="1">
      <c r="A24" s="30"/>
      <c r="B24" s="101" t="s">
        <v>39</v>
      </c>
      <c r="C24" s="134"/>
      <c r="D24" s="53">
        <v>960614.64473946404</v>
      </c>
      <c r="E24" s="54">
        <v>27.498515757959101</v>
      </c>
      <c r="F24" s="56"/>
      <c r="G24" s="53">
        <v>501567.36244448897</v>
      </c>
      <c r="H24" s="54">
        <v>27.220951294865799</v>
      </c>
      <c r="I24" s="30"/>
      <c r="J24" s="53">
        <v>527089.62289277196</v>
      </c>
      <c r="K24" s="54">
        <v>31.925856659709499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01" t="s">
        <v>40</v>
      </c>
      <c r="C25" s="134"/>
      <c r="D25" s="53">
        <v>701760.93362193997</v>
      </c>
      <c r="E25" s="54">
        <v>20.597483170285599</v>
      </c>
      <c r="F25" s="56"/>
      <c r="G25" s="53">
        <v>436632.11192416702</v>
      </c>
      <c r="H25" s="54">
        <v>24.116812557380701</v>
      </c>
      <c r="I25" s="30"/>
      <c r="J25" s="53">
        <v>315674.76569996699</v>
      </c>
      <c r="K25" s="54">
        <v>19.842277565721201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01" t="s">
        <v>41</v>
      </c>
      <c r="C26" s="134"/>
      <c r="D26" s="53">
        <v>1394808.7013934699</v>
      </c>
      <c r="E26" s="54">
        <v>39.467281727161499</v>
      </c>
      <c r="F26" s="56"/>
      <c r="G26" s="53">
        <v>705831.16074039601</v>
      </c>
      <c r="H26" s="54">
        <v>38.773270939282497</v>
      </c>
      <c r="I26" s="30"/>
      <c r="J26" s="53">
        <v>786086.96604382002</v>
      </c>
      <c r="K26" s="54">
        <v>45.141946789505397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30" customHeight="1">
      <c r="A27" s="30"/>
      <c r="B27" s="101" t="s">
        <v>152</v>
      </c>
      <c r="C27" s="134"/>
      <c r="D27" s="53">
        <v>625291.45504713501</v>
      </c>
      <c r="E27" s="54">
        <v>17.717188863947801</v>
      </c>
      <c r="F27" s="56"/>
      <c r="G27" s="53">
        <v>288845.41415377398</v>
      </c>
      <c r="H27" s="54">
        <v>16.3172728038633</v>
      </c>
      <c r="I27" s="30"/>
      <c r="J27" s="53">
        <v>396781.23741416697</v>
      </c>
      <c r="K27" s="54">
        <v>22.8841489788242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101" t="s">
        <v>42</v>
      </c>
      <c r="C28" s="134"/>
      <c r="D28" s="53">
        <v>259259.23570789301</v>
      </c>
      <c r="E28" s="54">
        <v>7.6421279282018499</v>
      </c>
      <c r="F28" s="56"/>
      <c r="G28" s="53">
        <v>160890.102764257</v>
      </c>
      <c r="H28" s="54">
        <v>8.9929214745159101</v>
      </c>
      <c r="I28" s="30"/>
      <c r="J28" s="53">
        <v>124053.635672059</v>
      </c>
      <c r="K28" s="54">
        <v>7.7057522505573397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30" customHeight="1">
      <c r="A29" s="30"/>
      <c r="B29" s="101" t="s">
        <v>112</v>
      </c>
      <c r="C29" s="134"/>
      <c r="D29" s="53">
        <v>102290.646673526</v>
      </c>
      <c r="E29" s="54">
        <v>3.0335704172368501</v>
      </c>
      <c r="F29" s="56"/>
      <c r="G29" s="53">
        <v>81662.6276183632</v>
      </c>
      <c r="H29" s="54">
        <v>4.6103382767268304</v>
      </c>
      <c r="I29" s="30"/>
      <c r="J29" s="53">
        <v>34671.654017870998</v>
      </c>
      <c r="K29" s="54">
        <v>2.1329714437293101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101" t="s">
        <v>85</v>
      </c>
      <c r="C30" s="134"/>
      <c r="D30" s="53">
        <v>224429.47910750599</v>
      </c>
      <c r="E30" s="54">
        <v>6.4920521979906303</v>
      </c>
      <c r="F30" s="56"/>
      <c r="G30" s="53">
        <v>185616.24065081601</v>
      </c>
      <c r="H30" s="54">
        <v>10.334570246293699</v>
      </c>
      <c r="I30" s="30"/>
      <c r="J30" s="53">
        <v>69832.463040222705</v>
      </c>
      <c r="K30" s="54">
        <v>4.2848692960897603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101" t="s">
        <v>43</v>
      </c>
      <c r="C31" s="134"/>
      <c r="D31" s="53">
        <v>143244.16985843601</v>
      </c>
      <c r="E31" s="54">
        <v>4.20184950260394</v>
      </c>
      <c r="F31" s="56"/>
      <c r="G31" s="53">
        <v>66295.123007643604</v>
      </c>
      <c r="H31" s="54">
        <v>3.7647506348111799</v>
      </c>
      <c r="I31" s="30"/>
      <c r="J31" s="53">
        <v>92438.727362363905</v>
      </c>
      <c r="K31" s="54">
        <v>5.6350495838505701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218"/>
      <c r="C32" s="218"/>
      <c r="D32" s="22"/>
      <c r="E32" s="151"/>
      <c r="F32" s="102"/>
      <c r="G32" s="22"/>
      <c r="H32" s="151"/>
      <c r="I32" s="151"/>
      <c r="J32" s="22"/>
      <c r="K32" s="151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216" t="s">
        <v>8</v>
      </c>
      <c r="C33" s="217"/>
      <c r="D33" s="47">
        <v>8336750.4200972002</v>
      </c>
      <c r="E33" s="48">
        <v>100</v>
      </c>
      <c r="F33" s="49"/>
      <c r="G33" s="47">
        <v>4210116.0731186802</v>
      </c>
      <c r="H33" s="48">
        <v>100</v>
      </c>
      <c r="I33" s="50"/>
      <c r="J33" s="47">
        <v>4301522.5671144901</v>
      </c>
      <c r="K33" s="48">
        <v>100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217"/>
      <c r="C34" s="217"/>
      <c r="D34" s="53"/>
      <c r="E34" s="54"/>
      <c r="F34" s="49"/>
      <c r="G34" s="53"/>
      <c r="H34" s="54"/>
      <c r="I34" s="5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101" t="s">
        <v>39</v>
      </c>
      <c r="C35" s="134"/>
      <c r="D35" s="53">
        <v>2150267.2533822898</v>
      </c>
      <c r="E35" s="54">
        <v>27.285979179709699</v>
      </c>
      <c r="F35" s="56"/>
      <c r="G35" s="53">
        <v>1065460.0162384899</v>
      </c>
      <c r="H35" s="54">
        <v>27.23511095049</v>
      </c>
      <c r="I35" s="30"/>
      <c r="J35" s="53">
        <v>1198669.0459572</v>
      </c>
      <c r="K35" s="54">
        <v>29.993430173574801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101" t="s">
        <v>40</v>
      </c>
      <c r="C36" s="134"/>
      <c r="D36" s="53">
        <v>2208811.8382277801</v>
      </c>
      <c r="E36" s="54">
        <v>27.991352674349901</v>
      </c>
      <c r="F36" s="56"/>
      <c r="G36" s="53">
        <v>1039389.0911552201</v>
      </c>
      <c r="H36" s="54">
        <v>26.773443756391401</v>
      </c>
      <c r="I36" s="30"/>
      <c r="J36" s="53">
        <v>1286659.3424025199</v>
      </c>
      <c r="K36" s="54">
        <v>32.176351330108801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01" t="s">
        <v>41</v>
      </c>
      <c r="C37" s="134"/>
      <c r="D37" s="53">
        <v>2503666.5322716199</v>
      </c>
      <c r="E37" s="54">
        <v>31.895482766667399</v>
      </c>
      <c r="F37" s="56"/>
      <c r="G37" s="53">
        <v>1292948.6853266901</v>
      </c>
      <c r="H37" s="54">
        <v>33.212329829308601</v>
      </c>
      <c r="I37" s="30"/>
      <c r="J37" s="53">
        <v>1319472.63408162</v>
      </c>
      <c r="K37" s="54">
        <v>33.122883957754603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30" customHeight="1">
      <c r="A38" s="30"/>
      <c r="B38" s="101" t="s">
        <v>152</v>
      </c>
      <c r="C38" s="134"/>
      <c r="D38" s="53">
        <v>911998.87232326705</v>
      </c>
      <c r="E38" s="54">
        <v>11.7049211855491</v>
      </c>
      <c r="F38" s="56"/>
      <c r="G38" s="53">
        <v>527578.73035738699</v>
      </c>
      <c r="H38" s="54">
        <v>13.735799077906201</v>
      </c>
      <c r="I38" s="30"/>
      <c r="J38" s="53">
        <v>459625.51767783199</v>
      </c>
      <c r="K38" s="54">
        <v>11.6706440468307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01" t="s">
        <v>42</v>
      </c>
      <c r="C39" s="134"/>
      <c r="D39" s="53">
        <v>755449.980591133</v>
      </c>
      <c r="E39" s="54">
        <v>9.6807575631488199</v>
      </c>
      <c r="F39" s="56"/>
      <c r="G39" s="53">
        <v>478707.93930170202</v>
      </c>
      <c r="H39" s="54">
        <v>12.3057628829057</v>
      </c>
      <c r="I39" s="30"/>
      <c r="J39" s="53">
        <v>340518.24584895099</v>
      </c>
      <c r="K39" s="54">
        <v>8.7147599455133093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30" customHeight="1">
      <c r="A40" s="30"/>
      <c r="B40" s="101" t="s">
        <v>112</v>
      </c>
      <c r="C40" s="134"/>
      <c r="D40" s="53">
        <v>92169.365445711897</v>
      </c>
      <c r="E40" s="54">
        <v>1.1970287281430601</v>
      </c>
      <c r="F40" s="56"/>
      <c r="G40" s="53">
        <v>40331.645201569598</v>
      </c>
      <c r="H40" s="54">
        <v>1.0590363025104399</v>
      </c>
      <c r="I40" s="30"/>
      <c r="J40" s="53">
        <v>66167.378770269905</v>
      </c>
      <c r="K40" s="54">
        <v>1.6960704739727701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01" t="s">
        <v>85</v>
      </c>
      <c r="C41" s="134"/>
      <c r="D41" s="53">
        <v>188764.359732357</v>
      </c>
      <c r="E41" s="54">
        <v>2.4490606908625399</v>
      </c>
      <c r="F41" s="56"/>
      <c r="G41" s="53">
        <v>86620.948293124806</v>
      </c>
      <c r="H41" s="54">
        <v>2.27504530238132</v>
      </c>
      <c r="I41" s="30"/>
      <c r="J41" s="53">
        <v>125321.352740744</v>
      </c>
      <c r="K41" s="54">
        <v>3.21382093302838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01" t="s">
        <v>43</v>
      </c>
      <c r="C42" s="134"/>
      <c r="D42" s="53">
        <v>337384.38617515902</v>
      </c>
      <c r="E42" s="54">
        <v>4.3713625067321198</v>
      </c>
      <c r="F42" s="56"/>
      <c r="G42" s="53">
        <v>265670.86338122998</v>
      </c>
      <c r="H42" s="54">
        <v>6.9268048351355302</v>
      </c>
      <c r="I42" s="30"/>
      <c r="J42" s="53">
        <v>106629.263529309</v>
      </c>
      <c r="K42" s="54">
        <v>2.7402347261027198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6.95" customHeight="1">
      <c r="A43" s="30"/>
      <c r="B43" s="126"/>
      <c r="C43" s="126"/>
      <c r="D43" s="106"/>
      <c r="E43" s="106"/>
      <c r="F43" s="106"/>
      <c r="G43" s="106"/>
      <c r="H43" s="106"/>
      <c r="I43" s="106"/>
      <c r="J43" s="106"/>
      <c r="K43" s="106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6.95" customHeight="1">
      <c r="A44" s="30"/>
      <c r="B44" s="128"/>
      <c r="C44" s="128"/>
      <c r="D44" s="9"/>
      <c r="E44" s="9"/>
      <c r="F44" s="9"/>
      <c r="G44" s="9"/>
      <c r="H44" s="9"/>
      <c r="I44" s="9"/>
      <c r="J44" s="9"/>
      <c r="K44" s="9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2" customHeight="1">
      <c r="A45" s="30"/>
      <c r="B45" s="129" t="s">
        <v>79</v>
      </c>
      <c r="C45" s="129"/>
      <c r="D45" s="141"/>
      <c r="E45" s="141"/>
      <c r="F45" s="141"/>
      <c r="G45" s="141"/>
      <c r="H45" s="141"/>
      <c r="I45" s="141"/>
      <c r="J45" s="141"/>
      <c r="K45" s="141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12" customHeight="1">
      <c r="A46" s="30"/>
      <c r="B46" s="254" t="s">
        <v>102</v>
      </c>
      <c r="C46" s="254"/>
      <c r="D46" s="254"/>
      <c r="E46" s="254"/>
      <c r="F46" s="254"/>
      <c r="G46" s="254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</sheetData>
  <mergeCells count="6">
    <mergeCell ref="B46:G46"/>
    <mergeCell ref="B7:B9"/>
    <mergeCell ref="D7:E8"/>
    <mergeCell ref="G7:K7"/>
    <mergeCell ref="G8:H8"/>
    <mergeCell ref="J8:K8"/>
  </mergeCells>
  <hyperlinks>
    <hyperlink ref="H4" tooltip="CV:  19.55" display="Annex" xr:uid="{CB5BFBCB-C7E7-42FB-82E0-81B261D64451}"/>
    <hyperlink ref="K5" tooltip="CV:  24.14" display="Annex" xr:uid="{BD47FB43-4926-4B18-A8D6-BBBFC9784329}"/>
    <hyperlink ref="K1" location="Índice!A1" tooltip="Ir a ÍNDICE" display="INDICE" xr:uid="{47A58D25-1C8E-452B-9721-4CEF047C044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6BAE-48B8-4920-B57D-792A2934F84F}">
  <dimension ref="A1:W49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15" customHeight="1">
      <c r="A3" s="30"/>
      <c r="B3" s="31" t="s">
        <v>157</v>
      </c>
      <c r="C3" s="30"/>
      <c r="D3" s="30"/>
      <c r="E3" s="109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65"/>
      <c r="F4" s="65"/>
      <c r="G4" s="65"/>
      <c r="H4" s="219"/>
      <c r="I4" s="219"/>
      <c r="J4" s="219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67" t="s">
        <v>153</v>
      </c>
      <c r="C5" s="67"/>
      <c r="D5" s="67"/>
      <c r="E5" s="67"/>
      <c r="F5" s="67"/>
      <c r="G5" s="67"/>
      <c r="H5" s="65"/>
      <c r="I5" s="65"/>
      <c r="J5" s="65"/>
      <c r="K5" s="112" t="s">
        <v>63</v>
      </c>
      <c r="L5" s="109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36"/>
      <c r="E6" s="36"/>
      <c r="F6" s="36"/>
      <c r="G6" s="36"/>
      <c r="H6" s="36"/>
      <c r="I6" s="36"/>
      <c r="J6" s="36"/>
      <c r="K6" s="114"/>
      <c r="L6" s="109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80</v>
      </c>
      <c r="C7" s="70"/>
      <c r="D7" s="262" t="s">
        <v>155</v>
      </c>
      <c r="E7" s="262"/>
      <c r="F7" s="71"/>
      <c r="G7" s="257" t="s">
        <v>132</v>
      </c>
      <c r="H7" s="257"/>
      <c r="I7" s="257"/>
      <c r="J7" s="257"/>
      <c r="K7" s="257"/>
      <c r="L7" s="109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44624807.188662201</v>
      </c>
      <c r="E11" s="48">
        <v>100</v>
      </c>
      <c r="F11" s="49"/>
      <c r="G11" s="47">
        <v>25201988.5153764</v>
      </c>
      <c r="H11" s="48">
        <v>100</v>
      </c>
      <c r="I11" s="50"/>
      <c r="J11" s="47">
        <v>20041036.980077699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17" t="s">
        <v>44</v>
      </c>
      <c r="C13" s="118"/>
      <c r="D13" s="53">
        <v>9596083.53179463</v>
      </c>
      <c r="E13" s="54">
        <v>22.108028902300099</v>
      </c>
      <c r="F13" s="56"/>
      <c r="G13" s="53">
        <v>5754556.7749625295</v>
      </c>
      <c r="H13" s="54">
        <v>23.631447098513899</v>
      </c>
      <c r="I13" s="30"/>
      <c r="J13" s="53">
        <v>4062231.9878515</v>
      </c>
      <c r="K13" s="54">
        <v>21.179784852578099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101" t="s">
        <v>45</v>
      </c>
      <c r="C14" s="134"/>
      <c r="D14" s="53">
        <v>297432.66907216102</v>
      </c>
      <c r="E14" s="54">
        <v>0.68841095405311303</v>
      </c>
      <c r="F14" s="56"/>
      <c r="G14" s="53">
        <v>196763.48084618899</v>
      </c>
      <c r="H14" s="54">
        <v>0.81457098196921396</v>
      </c>
      <c r="I14" s="30"/>
      <c r="J14" s="53">
        <v>115052.49840496801</v>
      </c>
      <c r="K14" s="54">
        <v>0.60384238471498897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01" t="s">
        <v>95</v>
      </c>
      <c r="C15" s="134"/>
      <c r="D15" s="53">
        <v>908620.867050117</v>
      </c>
      <c r="E15" s="54">
        <v>2.1022244333978901</v>
      </c>
      <c r="F15" s="56"/>
      <c r="G15" s="53">
        <v>535542.374711829</v>
      </c>
      <c r="H15" s="54">
        <v>2.2226567076062498</v>
      </c>
      <c r="I15" s="30"/>
      <c r="J15" s="53">
        <v>423332.27268833102</v>
      </c>
      <c r="K15" s="54">
        <v>2.2139867757832201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30" customHeight="1">
      <c r="A16" s="30"/>
      <c r="B16" s="101" t="s">
        <v>113</v>
      </c>
      <c r="C16" s="134"/>
      <c r="D16" s="53">
        <v>1614196.26424725</v>
      </c>
      <c r="E16" s="54">
        <v>3.7324918602613701</v>
      </c>
      <c r="F16" s="56"/>
      <c r="G16" s="53">
        <v>834798.75193349598</v>
      </c>
      <c r="H16" s="54">
        <v>3.4590164649851798</v>
      </c>
      <c r="I16" s="30"/>
      <c r="J16" s="53">
        <v>876556.993056354</v>
      </c>
      <c r="K16" s="54">
        <v>4.5837914393953598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01" t="s">
        <v>46</v>
      </c>
      <c r="C17" s="134"/>
      <c r="D17" s="53">
        <v>3754539.7374727898</v>
      </c>
      <c r="E17" s="54">
        <v>8.66333699046357</v>
      </c>
      <c r="F17" s="56"/>
      <c r="G17" s="53">
        <v>2054238.2836157801</v>
      </c>
      <c r="H17" s="54">
        <v>8.4857478566964097</v>
      </c>
      <c r="I17" s="30"/>
      <c r="J17" s="53">
        <v>1854650.03016254</v>
      </c>
      <c r="K17" s="54">
        <v>9.6389456735419099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101" t="s">
        <v>47</v>
      </c>
      <c r="C18" s="134"/>
      <c r="D18" s="53">
        <v>11861141.149139499</v>
      </c>
      <c r="E18" s="54">
        <v>27.236201023889901</v>
      </c>
      <c r="F18" s="56"/>
      <c r="G18" s="53">
        <v>6634966.5906659896</v>
      </c>
      <c r="H18" s="54">
        <v>27.140479618454201</v>
      </c>
      <c r="I18" s="30"/>
      <c r="J18" s="53">
        <v>5569741.1177798295</v>
      </c>
      <c r="K18" s="54">
        <v>28.712937654891199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01" t="s">
        <v>48</v>
      </c>
      <c r="C19" s="134"/>
      <c r="D19" s="53">
        <v>17511062.9280231</v>
      </c>
      <c r="E19" s="54">
        <v>40.005927161314098</v>
      </c>
      <c r="F19" s="56"/>
      <c r="G19" s="53">
        <v>10008729.5396358</v>
      </c>
      <c r="H19" s="54">
        <v>40.816742942064003</v>
      </c>
      <c r="I19" s="30"/>
      <c r="J19" s="53">
        <v>7840161.1785138696</v>
      </c>
      <c r="K19" s="54">
        <v>40.469603606193701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01" t="s">
        <v>85</v>
      </c>
      <c r="C20" s="134"/>
      <c r="D20" s="53">
        <v>606630.28124762396</v>
      </c>
      <c r="E20" s="54">
        <v>1.4025680229073001</v>
      </c>
      <c r="F20" s="56"/>
      <c r="G20" s="53">
        <v>401736.60460331797</v>
      </c>
      <c r="H20" s="54">
        <v>1.66094638126454</v>
      </c>
      <c r="I20" s="30"/>
      <c r="J20" s="53">
        <v>259210.72071994701</v>
      </c>
      <c r="K20" s="54">
        <v>1.3607641678156699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01" t="s">
        <v>43</v>
      </c>
      <c r="C21" s="134"/>
      <c r="D21" s="53">
        <v>536965.17594350898</v>
      </c>
      <c r="E21" s="54">
        <v>1.24198960786688</v>
      </c>
      <c r="F21" s="56"/>
      <c r="G21" s="53">
        <v>269413.42231083597</v>
      </c>
      <c r="H21" s="54">
        <v>1.11607399227617</v>
      </c>
      <c r="I21" s="30"/>
      <c r="J21" s="53">
        <v>306766.588510787</v>
      </c>
      <c r="K21" s="54">
        <v>1.6054354599913401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215"/>
      <c r="C22" s="215"/>
      <c r="D22" s="53"/>
      <c r="E22" s="54"/>
      <c r="F22" s="49"/>
      <c r="G22" s="53"/>
      <c r="H22" s="54"/>
      <c r="I22" s="50"/>
      <c r="J22" s="53"/>
      <c r="K22" s="54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220" t="s">
        <v>7</v>
      </c>
      <c r="C23" s="221"/>
      <c r="D23" s="47">
        <v>20090204.9932722</v>
      </c>
      <c r="E23" s="48">
        <v>100</v>
      </c>
      <c r="F23" s="49"/>
      <c r="G23" s="47">
        <v>11066636.1218543</v>
      </c>
      <c r="H23" s="48">
        <v>100</v>
      </c>
      <c r="I23" s="50"/>
      <c r="J23" s="47">
        <v>9303830.9178471006</v>
      </c>
      <c r="K23" s="48">
        <v>100</v>
      </c>
      <c r="L23" s="5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221"/>
      <c r="C24" s="221"/>
      <c r="D24" s="53"/>
      <c r="E24" s="54"/>
      <c r="F24" s="49"/>
      <c r="G24" s="53"/>
      <c r="H24" s="54"/>
      <c r="I24" s="50"/>
      <c r="J24" s="53"/>
      <c r="K24" s="54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17" t="s">
        <v>44</v>
      </c>
      <c r="C25" s="118"/>
      <c r="D25" s="53">
        <v>4434415.1326298499</v>
      </c>
      <c r="E25" s="54">
        <v>23.443151446636001</v>
      </c>
      <c r="F25" s="56"/>
      <c r="G25" s="53">
        <v>2600273.5816632402</v>
      </c>
      <c r="H25" s="54">
        <v>24.915665259424799</v>
      </c>
      <c r="I25" s="30"/>
      <c r="J25" s="53">
        <v>1951912.3816468299</v>
      </c>
      <c r="K25" s="54">
        <v>22.826629417686501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01" t="s">
        <v>45</v>
      </c>
      <c r="C26" s="134"/>
      <c r="D26" s="53">
        <v>267751.11692723603</v>
      </c>
      <c r="E26" s="54">
        <v>1.42951004166138</v>
      </c>
      <c r="F26" s="56"/>
      <c r="G26" s="53">
        <v>173173.242737194</v>
      </c>
      <c r="H26" s="54">
        <v>1.6883490265652801</v>
      </c>
      <c r="I26" s="30"/>
      <c r="J26" s="53">
        <v>107405.93634948001</v>
      </c>
      <c r="K26" s="54">
        <v>1.26503745696889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01" t="s">
        <v>95</v>
      </c>
      <c r="C27" s="134"/>
      <c r="D27" s="53">
        <v>608495.74242564396</v>
      </c>
      <c r="E27" s="54">
        <v>3.2312303277952301</v>
      </c>
      <c r="F27" s="56"/>
      <c r="G27" s="53">
        <v>366943.066617376</v>
      </c>
      <c r="H27" s="54">
        <v>3.57286756088727</v>
      </c>
      <c r="I27" s="30"/>
      <c r="J27" s="53">
        <v>276013.73213585501</v>
      </c>
      <c r="K27" s="54">
        <v>3.2271188322893498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30" customHeight="1">
      <c r="A28" s="30"/>
      <c r="B28" s="101" t="s">
        <v>113</v>
      </c>
      <c r="C28" s="134"/>
      <c r="D28" s="53">
        <v>769202.06894399703</v>
      </c>
      <c r="E28" s="54">
        <v>4.10051544696283</v>
      </c>
      <c r="F28" s="56"/>
      <c r="G28" s="53">
        <v>367264.95233943203</v>
      </c>
      <c r="H28" s="54">
        <v>3.6149072259708901</v>
      </c>
      <c r="I28" s="30"/>
      <c r="J28" s="53">
        <v>459010.73398565402</v>
      </c>
      <c r="K28" s="54">
        <v>5.3775887314810102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01" t="s">
        <v>46</v>
      </c>
      <c r="C29" s="134"/>
      <c r="D29" s="53">
        <v>1873796.8537968299</v>
      </c>
      <c r="E29" s="54">
        <v>9.8833586717695603</v>
      </c>
      <c r="F29" s="56"/>
      <c r="G29" s="53">
        <v>1097660.62926672</v>
      </c>
      <c r="H29" s="54">
        <v>10.596656425783699</v>
      </c>
      <c r="I29" s="30"/>
      <c r="J29" s="53">
        <v>871346.29235347104</v>
      </c>
      <c r="K29" s="54">
        <v>10.0632157910209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101" t="s">
        <v>47</v>
      </c>
      <c r="C30" s="134"/>
      <c r="D30" s="53">
        <v>4396702.9779332196</v>
      </c>
      <c r="E30" s="54">
        <v>22.9203908779144</v>
      </c>
      <c r="F30" s="56"/>
      <c r="G30" s="53">
        <v>2281131.6448341799</v>
      </c>
      <c r="H30" s="54">
        <v>21.894312992843801</v>
      </c>
      <c r="I30" s="30"/>
      <c r="J30" s="53">
        <v>2267006.6428063102</v>
      </c>
      <c r="K30" s="54">
        <v>25.6619350233271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101" t="s">
        <v>48</v>
      </c>
      <c r="C31" s="134"/>
      <c r="D31" s="53">
        <v>8332653.3791036904</v>
      </c>
      <c r="E31" s="54">
        <v>42.764387188655498</v>
      </c>
      <c r="F31" s="56"/>
      <c r="G31" s="53">
        <v>4667774.6472287299</v>
      </c>
      <c r="H31" s="54">
        <v>43.818416290986796</v>
      </c>
      <c r="I31" s="30"/>
      <c r="J31" s="53">
        <v>3853617.2313544699</v>
      </c>
      <c r="K31" s="54">
        <v>43.5168945636145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101" t="s">
        <v>85</v>
      </c>
      <c r="C32" s="134"/>
      <c r="D32" s="53">
        <v>361264.48184470501</v>
      </c>
      <c r="E32" s="54">
        <v>1.9120114541105999</v>
      </c>
      <c r="F32" s="56"/>
      <c r="G32" s="53">
        <v>225809.20783694601</v>
      </c>
      <c r="H32" s="54">
        <v>2.1926145424414498</v>
      </c>
      <c r="I32" s="30"/>
      <c r="J32" s="53">
        <v>173650.05298245701</v>
      </c>
      <c r="K32" s="54">
        <v>2.0400136943733198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01" t="s">
        <v>43</v>
      </c>
      <c r="C33" s="134"/>
      <c r="D33" s="53">
        <v>275874.59718371998</v>
      </c>
      <c r="E33" s="54">
        <v>1.46986009656739</v>
      </c>
      <c r="F33" s="56"/>
      <c r="G33" s="53">
        <v>170860.96128745101</v>
      </c>
      <c r="H33" s="54">
        <v>1.6678308563686099</v>
      </c>
      <c r="I33" s="30"/>
      <c r="J33" s="53">
        <v>123699.23101142699</v>
      </c>
      <c r="K33" s="54">
        <v>1.4430872858269901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222"/>
      <c r="C34" s="222"/>
      <c r="D34" s="53"/>
      <c r="E34" s="54"/>
      <c r="F34" s="56"/>
      <c r="G34" s="53"/>
      <c r="H34" s="54"/>
      <c r="I34" s="3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220" t="s">
        <v>8</v>
      </c>
      <c r="C35" s="221"/>
      <c r="D35" s="47">
        <v>25760560.5203644</v>
      </c>
      <c r="E35" s="48">
        <v>100</v>
      </c>
      <c r="F35" s="49"/>
      <c r="G35" s="47">
        <v>14866971.3765334</v>
      </c>
      <c r="H35" s="48">
        <v>100</v>
      </c>
      <c r="I35" s="50"/>
      <c r="J35" s="47">
        <v>11336433.966350799</v>
      </c>
      <c r="K35" s="48">
        <v>100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221"/>
      <c r="C36" s="221"/>
      <c r="D36" s="53"/>
      <c r="E36" s="54"/>
      <c r="F36" s="49"/>
      <c r="G36" s="53"/>
      <c r="H36" s="54"/>
      <c r="I36" s="50"/>
      <c r="J36" s="53"/>
      <c r="K36" s="54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17" t="s">
        <v>44</v>
      </c>
      <c r="C37" s="118"/>
      <c r="D37" s="53">
        <v>5463890.2295093797</v>
      </c>
      <c r="E37" s="54">
        <v>22.112549950592602</v>
      </c>
      <c r="F37" s="56"/>
      <c r="G37" s="53">
        <v>3362984.1845173198</v>
      </c>
      <c r="H37" s="54">
        <v>23.883884438369201</v>
      </c>
      <c r="I37" s="30"/>
      <c r="J37" s="53">
        <v>2283320.5174558698</v>
      </c>
      <c r="K37" s="54">
        <v>21.3575295483055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15" customHeight="1">
      <c r="A38" s="30"/>
      <c r="B38" s="101" t="s">
        <v>45</v>
      </c>
      <c r="C38" s="134"/>
      <c r="D38" s="53">
        <v>47637.967599871903</v>
      </c>
      <c r="E38" s="54">
        <v>0.19508676246586301</v>
      </c>
      <c r="F38" s="56"/>
      <c r="G38" s="53">
        <v>39144.819892718602</v>
      </c>
      <c r="H38" s="54">
        <v>0.28214429810696401</v>
      </c>
      <c r="I38" s="30"/>
      <c r="J38" s="53">
        <v>14933.133196545599</v>
      </c>
      <c r="K38" s="54">
        <v>0.14159715223337099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01" t="s">
        <v>95</v>
      </c>
      <c r="C39" s="134"/>
      <c r="D39" s="53">
        <v>371435.91781335103</v>
      </c>
      <c r="E39" s="54">
        <v>1.5187976496000599</v>
      </c>
      <c r="F39" s="56"/>
      <c r="G39" s="53">
        <v>216365.12375988899</v>
      </c>
      <c r="H39" s="54">
        <v>1.5610250186969701</v>
      </c>
      <c r="I39" s="30"/>
      <c r="J39" s="53">
        <v>193184.37152316599</v>
      </c>
      <c r="K39" s="54">
        <v>1.8236670161833499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30" customHeight="1">
      <c r="A40" s="30"/>
      <c r="B40" s="101" t="s">
        <v>113</v>
      </c>
      <c r="C40" s="134"/>
      <c r="D40" s="53">
        <v>940542.57559780194</v>
      </c>
      <c r="E40" s="54">
        <v>3.8288324605217299</v>
      </c>
      <c r="F40" s="56"/>
      <c r="G40" s="53">
        <v>529041.48529111</v>
      </c>
      <c r="H40" s="54">
        <v>3.7896220097394999</v>
      </c>
      <c r="I40" s="30"/>
      <c r="J40" s="53">
        <v>489855.43862066598</v>
      </c>
      <c r="K40" s="54">
        <v>4.6028443240046597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01" t="s">
        <v>46</v>
      </c>
      <c r="C41" s="134"/>
      <c r="D41" s="53">
        <v>2049749.9139836801</v>
      </c>
      <c r="E41" s="54">
        <v>8.3377094346686391</v>
      </c>
      <c r="F41" s="56"/>
      <c r="G41" s="53">
        <v>1074547.4924520999</v>
      </c>
      <c r="H41" s="54">
        <v>7.6807240348039301</v>
      </c>
      <c r="I41" s="30"/>
      <c r="J41" s="53">
        <v>1094138.1488984299</v>
      </c>
      <c r="K41" s="54">
        <v>10.254425146426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01" t="s">
        <v>47</v>
      </c>
      <c r="C42" s="134"/>
      <c r="D42" s="53">
        <v>7846167.3244485296</v>
      </c>
      <c r="E42" s="54">
        <v>31.537556054630599</v>
      </c>
      <c r="F42" s="56"/>
      <c r="G42" s="53">
        <v>4593342.3459787602</v>
      </c>
      <c r="H42" s="54">
        <v>32.231916388401601</v>
      </c>
      <c r="I42" s="30"/>
      <c r="J42" s="53">
        <v>3534957.3122849702</v>
      </c>
      <c r="K42" s="54">
        <v>32.682581417884698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101" t="s">
        <v>48</v>
      </c>
      <c r="C43" s="134"/>
      <c r="D43" s="53">
        <v>9774274.8674407192</v>
      </c>
      <c r="E43" s="54">
        <v>39.104861563263</v>
      </c>
      <c r="F43" s="56"/>
      <c r="G43" s="53">
        <v>5707654.5911979796</v>
      </c>
      <c r="H43" s="54">
        <v>40.094739036745203</v>
      </c>
      <c r="I43" s="30"/>
      <c r="J43" s="53">
        <v>4310779.9278627504</v>
      </c>
      <c r="K43" s="54">
        <v>39.957423061755499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15" customHeight="1">
      <c r="A44" s="30"/>
      <c r="B44" s="101" t="s">
        <v>85</v>
      </c>
      <c r="C44" s="134"/>
      <c r="D44" s="53">
        <v>306029.52469532698</v>
      </c>
      <c r="E44" s="54">
        <v>1.24816379369482</v>
      </c>
      <c r="F44" s="56"/>
      <c r="G44" s="53">
        <v>225435.07760126199</v>
      </c>
      <c r="H44" s="54">
        <v>1.6128093592841199</v>
      </c>
      <c r="I44" s="30"/>
      <c r="J44" s="53">
        <v>116506.348122421</v>
      </c>
      <c r="K44" s="54">
        <v>1.1051018008075699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101" t="s">
        <v>43</v>
      </c>
      <c r="C45" s="134"/>
      <c r="D45" s="53">
        <v>312566.50244413898</v>
      </c>
      <c r="E45" s="54">
        <v>1.27472450862259</v>
      </c>
      <c r="F45" s="56"/>
      <c r="G45" s="53">
        <v>127864.65785902699</v>
      </c>
      <c r="H45" s="54">
        <v>0.92128063095316004</v>
      </c>
      <c r="I45" s="30"/>
      <c r="J45" s="53">
        <v>216805.88914560099</v>
      </c>
      <c r="K45" s="54">
        <v>2.04686819327963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126"/>
      <c r="C46" s="126"/>
      <c r="D46" s="223"/>
      <c r="E46" s="223"/>
      <c r="F46" s="223"/>
      <c r="G46" s="223"/>
      <c r="H46" s="224"/>
      <c r="I46" s="224"/>
      <c r="J46" s="224"/>
      <c r="K46" s="224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6.95" customHeight="1">
      <c r="A47" s="30"/>
      <c r="B47" s="128"/>
      <c r="C47" s="128"/>
      <c r="D47" s="225"/>
      <c r="E47" s="225"/>
      <c r="F47" s="225"/>
      <c r="G47" s="225"/>
      <c r="H47" s="226"/>
      <c r="I47" s="226"/>
      <c r="J47" s="226"/>
      <c r="K47" s="226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2" customHeight="1">
      <c r="A48" s="30"/>
      <c r="B48" s="130" t="s">
        <v>167</v>
      </c>
      <c r="C48" s="130"/>
      <c r="D48" s="227"/>
      <c r="E48" s="227"/>
      <c r="F48" s="227"/>
      <c r="G48" s="227"/>
      <c r="H48" s="227"/>
      <c r="I48" s="227"/>
      <c r="J48" s="227"/>
      <c r="K48" s="227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2" customHeight="1">
      <c r="A49" s="30"/>
      <c r="B49" s="254" t="s">
        <v>102</v>
      </c>
      <c r="C49" s="254"/>
      <c r="D49" s="254"/>
      <c r="E49" s="254"/>
      <c r="F49" s="254"/>
      <c r="G49" s="254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INDICE" xr:uid="{286F3164-173E-4134-90C9-8E79B3A75B9F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ÍNDICE</vt:lpstr>
      <vt:lpstr>Cuadro 6.1</vt:lpstr>
      <vt:lpstr>Cuadro 6.2</vt:lpstr>
      <vt:lpstr>Cuadro 6.3</vt:lpstr>
      <vt:lpstr>Cuadro 6.4</vt:lpstr>
      <vt:lpstr>Cuadro 6.5</vt:lpstr>
      <vt:lpstr>Cuadro 6.6</vt:lpstr>
      <vt:lpstr>Cuadro 6.7</vt:lpstr>
      <vt:lpstr>Cuadro 6.8</vt:lpstr>
      <vt:lpstr>Cuadro 6.9</vt:lpstr>
      <vt:lpstr>Cuadro 6.10</vt:lpstr>
      <vt:lpstr>Cuadro 6.11</vt:lpstr>
      <vt:lpstr>Cuadro 6.12</vt:lpstr>
      <vt:lpstr>Cuadro 6.13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2021-07-29T15:45:53Z</dcterms:created>
  <dcterms:modified xsi:type="dcterms:W3CDTF">2025-03-11T17:31:07Z</dcterms:modified>
</cp:coreProperties>
</file>