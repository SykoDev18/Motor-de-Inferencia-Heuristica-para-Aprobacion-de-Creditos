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7\"/>
    </mc:Choice>
  </mc:AlternateContent>
  <xr:revisionPtr revIDLastSave="0" documentId="13_ncr:1_{1CEC4DDB-E403-449F-9006-A82F2C7B48DE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ÍNDICE" sheetId="7" r:id="rId1"/>
    <sheet name="Cuadro 7.1" sheetId="1" r:id="rId2"/>
    <sheet name="Cuadro 7.2" sheetId="16" r:id="rId3"/>
    <sheet name="Cuadro 7.3" sheetId="17" r:id="rId4"/>
    <sheet name="Cuadro 7.4" sheetId="18" r:id="rId5"/>
    <sheet name="Cuadro 7.5" sheetId="19" r:id="rId6"/>
    <sheet name="Cuadro 7.6" sheetId="20" r:id="rId7"/>
    <sheet name="Cuadro 7.7" sheetId="2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7" l="1"/>
</calcChain>
</file>

<file path=xl/sharedStrings.xml><?xml version="1.0" encoding="utf-8"?>
<sst xmlns="http://schemas.openxmlformats.org/spreadsheetml/2006/main" count="357" uniqueCount="95">
  <si>
    <t xml:space="preserve">Efectivo </t>
  </si>
  <si>
    <t>Estados Unidos Mexicanos</t>
  </si>
  <si>
    <t xml:space="preserve">Compras de 500 pesos o menos </t>
  </si>
  <si>
    <t xml:space="preserve">Compras de 501 pesos o más </t>
  </si>
  <si>
    <t>Mujeres</t>
  </si>
  <si>
    <t>Hombres</t>
  </si>
  <si>
    <t>1 a 14 999 habitantes</t>
  </si>
  <si>
    <t xml:space="preserve">15 000 y más habitantes </t>
  </si>
  <si>
    <t xml:space="preserve">Mujeres </t>
  </si>
  <si>
    <t>No lo ha utilizado</t>
  </si>
  <si>
    <t>Efectivo</t>
  </si>
  <si>
    <t>Pagos de servicios públicos o privados como agua, luz, internet, entre otros</t>
  </si>
  <si>
    <t>Cuadro 7.1</t>
  </si>
  <si>
    <t>Cuadro 7.2</t>
  </si>
  <si>
    <t>Cuadro 7.3</t>
  </si>
  <si>
    <t>Cuadro 7.4</t>
  </si>
  <si>
    <t>Sí recibe dinero de familiares o personas conocidas que viven en otro país</t>
  </si>
  <si>
    <t>No recibe dinero de familiares o personas conocidas que viven en otro país</t>
  </si>
  <si>
    <t>Transferencia electrónica o aplicación celular</t>
  </si>
  <si>
    <t xml:space="preserve">Total </t>
  </si>
  <si>
    <r>
      <t xml:space="preserve">Medio de pago </t>
    </r>
    <r>
      <rPr>
        <b/>
        <vertAlign val="superscript"/>
        <sz val="8"/>
        <color theme="1"/>
        <rFont val="Arial"/>
        <family val="2"/>
      </rPr>
      <t xml:space="preserve">2 </t>
    </r>
  </si>
  <si>
    <t>Población de 18 a 70 años</t>
  </si>
  <si>
    <t xml:space="preserve">Medio de pago </t>
  </si>
  <si>
    <r>
      <t>Población de 18 a 70 años</t>
    </r>
    <r>
      <rPr>
        <b/>
        <vertAlign val="superscript"/>
        <sz val="8"/>
        <color theme="1"/>
        <rFont val="Arial"/>
        <family val="2"/>
      </rPr>
      <t>1</t>
    </r>
  </si>
  <si>
    <t>Población de 18 a 70 años por tamaño de localidad y tipo de pago según sexo y medio de pago</t>
  </si>
  <si>
    <t>Absolutos</t>
  </si>
  <si>
    <t>Relativos</t>
  </si>
  <si>
    <t>ÍNDICE</t>
  </si>
  <si>
    <t>TABULADOS BÁSICOS</t>
  </si>
  <si>
    <t>Nivel de confianza del 90%</t>
  </si>
  <si>
    <t>Tema</t>
  </si>
  <si>
    <t>ID Cuadro</t>
  </si>
  <si>
    <t>Título</t>
  </si>
  <si>
    <r>
      <t xml:space="preserve">Tema 7. 
</t>
    </r>
    <r>
      <rPr>
        <sz val="11"/>
        <color theme="10"/>
        <rFont val="Arial"/>
        <family val="2"/>
      </rPr>
      <t>Pagos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</si>
  <si>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remesadoras.</t>
    </r>
  </si>
  <si>
    <r>
      <t xml:space="preserve">1 </t>
    </r>
    <r>
      <rPr>
        <sz val="8"/>
        <rFont val="Arial"/>
        <family val="2"/>
      </rPr>
      <t>La suma por tipo de compra o pago puede ser mayor al total porque una persona pudo haber realizado más de un tipo.</t>
    </r>
  </si>
  <si>
    <r>
      <t xml:space="preserve">2 </t>
    </r>
    <r>
      <rPr>
        <sz val="8"/>
        <rFont val="Arial"/>
        <family val="2"/>
      </rPr>
      <t>La suma de medio de pago puede ser mayor al total porque una persona pudo usar más de un tipo.</t>
    </r>
  </si>
  <si>
    <t>Tamaño de localidad y recepción de dinero de personas de otro país y medio de recepción</t>
  </si>
  <si>
    <t>Población de 18 a 70 años por tamaño de localidad y condición de recepción de dinero de personas de otro país en el último año y medio de recepción según sexo</t>
  </si>
  <si>
    <r>
      <t>Total</t>
    </r>
    <r>
      <rPr>
        <b/>
        <vertAlign val="superscript"/>
        <sz val="8"/>
        <rFont val="Arial"/>
        <family val="2"/>
      </rPr>
      <t xml:space="preserve">1 </t>
    </r>
    <r>
      <rPr>
        <b/>
        <sz val="8"/>
        <rFont val="Arial"/>
        <family val="2"/>
      </rPr>
      <t xml:space="preserve"> </t>
    </r>
  </si>
  <si>
    <t>Tamaño de localidad y compras en comercios o pagos de servicios</t>
  </si>
  <si>
    <t>Pagos de transporte público o privado como taxis, Uber, Didi, camión, metro, entre otros</t>
  </si>
  <si>
    <t>Uso físico de tarjeta de débito o crédito</t>
  </si>
  <si>
    <t>Transferencia electrónica o aplicación de celular</t>
  </si>
  <si>
    <t>Sí ha comprado o invertido en activos virtuales</t>
  </si>
  <si>
    <t>No ha comprado o invertido en activos virtuales</t>
  </si>
  <si>
    <t>Cuadro 7.5</t>
  </si>
  <si>
    <t>Al celular</t>
  </si>
  <si>
    <t>No ha realizado transferencias o envíos de dinero por internet o aplicación celular</t>
  </si>
  <si>
    <t>Cuadro 7.6</t>
  </si>
  <si>
    <t>Cuadro 7.7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</si>
  <si>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Bitcoin, ETHER, XRP, NFT, entre otros.</t>
    </r>
  </si>
  <si>
    <t>En algunos</t>
  </si>
  <si>
    <t>En pocos</t>
  </si>
  <si>
    <t>En ninguno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</si>
  <si>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persona pudo responder más de un tipo de compra.</t>
    </r>
  </si>
  <si>
    <t>Sí conoce el Dinero Móvil o DiMo</t>
  </si>
  <si>
    <t>No conoce el Dinero Móvil o DiMo</t>
  </si>
  <si>
    <t>No conoce el Cobro Digital o CoDi</t>
  </si>
  <si>
    <t>Sí conoce el Cobro Digital o CoDi</t>
  </si>
  <si>
    <t>No sabe</t>
  </si>
  <si>
    <t xml:space="preserve">En una cuenta o tarjeta </t>
  </si>
  <si>
    <t xml:space="preserve">En efectivo </t>
  </si>
  <si>
    <r>
      <t>Otra forma de recepción</t>
    </r>
    <r>
      <rPr>
        <vertAlign val="superscript"/>
        <sz val="8"/>
        <color theme="1"/>
        <rFont val="Arial"/>
        <family val="2"/>
      </rPr>
      <t>1</t>
    </r>
  </si>
  <si>
    <t xml:space="preserve">Tamaño de localidad
y tipo de pago </t>
  </si>
  <si>
    <r>
      <t xml:space="preserve">Fuente: </t>
    </r>
    <r>
      <rPr>
        <b/>
        <sz val="8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</si>
  <si>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Sí lo ha utilizado</t>
  </si>
  <si>
    <t>Tamaño de localidad y condición de compra
o inversión en activos virtuales</t>
  </si>
  <si>
    <t>Sí ha realizado transferencias o envíos de dinero
por internet o aplicación celular</t>
  </si>
  <si>
    <t>Compras en mercados, tienditas
de abarrotes, u otras</t>
  </si>
  <si>
    <t>Compras en supermercados, tiendas de autoservicio, farmacias
o tiendas departamentales</t>
  </si>
  <si>
    <t>Compras por celular o Internet
como Amazon, Mercado Libre, Shein, entre otros</t>
  </si>
  <si>
    <t>Tamaño de localidad y condición de realizar transferencias o envíos por internet
o aplicación celular</t>
  </si>
  <si>
    <t>Tamaño de localidad y nivel de aceptación de pagos con transferencia o tarjeta</t>
  </si>
  <si>
    <t>En todos o casi todos</t>
  </si>
  <si>
    <t>Encuesta Nacional de Inclusión Financiera (ENIF) 2024</t>
  </si>
  <si>
    <t>Población de 18 a 70 años por tamaño de localidad y compras en comercios o pagos de servicios según sexo y medio de pago</t>
  </si>
  <si>
    <t>Población de 18 a 70 años por tamaño de localidad y condición de realizar transferencias o envíos de dinero por internet o aplicación celular según sexo</t>
  </si>
  <si>
    <t>Población de 18 a 70 años por tamaño de localidad y nivel de aceptación de pagos  con transferencia o tarjeta en los comercios frecuentados según sexo</t>
  </si>
  <si>
    <t>Población de 18 a 70 años por tamaño de localidad y condición de compra o inversión en activos virtuales según sexo</t>
  </si>
  <si>
    <r>
      <t xml:space="preserve"> Población de 18 a 70 años por tamaño de localidad y condición de compra o inversión en activos virtuales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según sexo</t>
    </r>
  </si>
  <si>
    <t>Población de 18 a 70 años por tamaño de localidad y nivel de aceptación de pagos  con transferencia
o tarjeta en los comercios frecuentados según sexo</t>
  </si>
  <si>
    <r>
      <t>Población de 18 a 70 años por tamaño de localidad y condición de realizar transferencias o envíos de dinero 
por internet o aplicación celular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según sexo</t>
    </r>
  </si>
  <si>
    <t xml:space="preserve">Sexo </t>
  </si>
  <si>
    <t xml:space="preserve">Absolutos </t>
  </si>
  <si>
    <t>Población de 18 a 70 años por tamaño de localidad, condición de conocimiento de CoDi y DiMo y de uso de plataformas digitales según sexo</t>
  </si>
  <si>
    <t>Tamaño de localidad, condición de conocimiento de CoDi y DiMo y de uso de plataformas digitales</t>
  </si>
  <si>
    <t>Estimaciones puntuales.</t>
  </si>
  <si>
    <r>
      <rPr>
        <b/>
        <sz val="8"/>
        <color rgb="FF000000"/>
        <rFont val="Arial"/>
        <family val="2"/>
      </rPr>
      <t>Nota:</t>
    </r>
    <r>
      <rPr>
        <sz val="8"/>
        <color indexed="8"/>
        <rFont val="Arial"/>
        <family val="2"/>
      </rPr>
      <t xml:space="preserve"> Las estimaciones que aparecen en este cuadro están coloreadas de acuerdo con su nivel de precisión, en </t>
    </r>
    <r>
      <rPr>
        <i/>
        <sz val="8"/>
        <color indexed="8"/>
        <rFont val="Arial"/>
        <family val="2"/>
      </rPr>
      <t>alta</t>
    </r>
    <r>
      <rPr>
        <sz val="8"/>
        <color indexed="8"/>
        <rFont val="Arial"/>
        <family val="2"/>
      </rPr>
      <t xml:space="preserve">, </t>
    </r>
    <r>
      <rPr>
        <i/>
        <sz val="8"/>
        <color indexed="8"/>
        <rFont val="Arial"/>
        <family val="2"/>
      </rPr>
      <t>moderada</t>
    </r>
    <r>
      <rPr>
        <sz val="8"/>
        <color indexed="8"/>
        <rFont val="Arial"/>
        <family val="2"/>
      </rPr>
      <t xml:space="preserve"> y </t>
    </r>
    <r>
      <rPr>
        <i/>
        <sz val="8"/>
        <color indexed="8"/>
        <rFont val="Arial"/>
        <family val="2"/>
      </rPr>
      <t>baja</t>
    </r>
    <r>
      <rPr>
        <sz val="8"/>
        <color indexed="8"/>
        <rFont val="Arial"/>
        <family val="2"/>
      </rPr>
      <t>, tomando como referencia el coeficiente de variación CV (%). Una precisión baja requiere un uso cauteloso de la estimación en el que se analicen las causas de la alta variabilidad y se consideren otros indicadores de precisión y confiabilidad, como el intervalo de confianza.</t>
    </r>
  </si>
  <si>
    <r>
      <t xml:space="preserve">     </t>
    </r>
    <r>
      <rPr>
        <b/>
        <sz val="8"/>
        <color theme="1"/>
        <rFont val="Arial"/>
        <family val="2"/>
      </rPr>
      <t>Alta,</t>
    </r>
    <r>
      <rPr>
        <sz val="8"/>
        <color theme="1"/>
        <rFont val="Arial"/>
        <family val="2"/>
      </rPr>
      <t xml:space="preserve"> CV en el rango de (0, 15%) </t>
    </r>
  </si>
  <si>
    <r>
      <t xml:space="preserve">     </t>
    </r>
    <r>
      <rPr>
        <b/>
        <sz val="8"/>
        <color theme="1"/>
        <rFont val="Arial"/>
        <family val="2"/>
      </rPr>
      <t>Moderada,</t>
    </r>
    <r>
      <rPr>
        <sz val="8"/>
        <color theme="1"/>
        <rFont val="Arial"/>
        <family val="2"/>
      </rPr>
      <t xml:space="preserve"> CV en el rango de [ 15, 30%) </t>
    </r>
  </si>
  <si>
    <r>
      <rPr>
        <b/>
        <sz val="8"/>
        <color theme="1"/>
        <rFont val="Arial"/>
        <family val="2"/>
      </rPr>
      <t xml:space="preserve">     Baja</t>
    </r>
    <r>
      <rPr>
        <sz val="8"/>
        <color theme="1"/>
        <rFont val="Arial"/>
        <family val="2"/>
      </rPr>
      <t>, CV de 30% en adelante</t>
    </r>
  </si>
  <si>
    <t>Nivel de precisión de las estimaciones:</t>
  </si>
  <si>
    <t>Marzo 2025</t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</si>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</sst>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##\ ###\ ##0"/>
    <numFmt numFmtId="166" formatCode="#\ ###\ ##0"/>
    <numFmt numFmtId="167" formatCode="##,###,###,###,##0"/>
    <numFmt numFmtId="168" formatCode="_-* #,##0_-;\-* #,##0_-;_-* &quot;-&quot;??_-;_-@_-"/>
    <numFmt numFmtId="169" formatCode="###\ ###\ ##0.0"/>
    <numFmt numFmtId="170" formatCode="###,###,###,##0"/>
    <numFmt numFmtId="171" formatCode="###\ ###\ ##0.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b/>
      <vertAlign val="superscript"/>
      <sz val="8"/>
      <color theme="1"/>
      <name val="Arial"/>
      <family val="2"/>
    </font>
    <font>
      <b/>
      <sz val="8"/>
      <color rgb="FFFF0000"/>
      <name val="Arial"/>
      <family val="2"/>
    </font>
    <font>
      <vertAlign val="superscript"/>
      <sz val="8"/>
      <color theme="1"/>
      <name val="Arial"/>
      <family val="2"/>
    </font>
    <font>
      <sz val="9"/>
      <color rgb="FF00339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rgb="FF003399"/>
      <name val="Arial"/>
      <family val="2"/>
    </font>
    <font>
      <b/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indexed="8"/>
      <name val="Calibri"/>
      <family val="2"/>
      <scheme val="minor"/>
    </font>
    <font>
      <sz val="10"/>
      <color rgb="FF00008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vertAlign val="superscript"/>
      <sz val="8"/>
      <name val="Arial"/>
      <family val="2"/>
    </font>
    <font>
      <b/>
      <sz val="9"/>
      <color rgb="FFFF0000"/>
      <name val="Arial"/>
      <family val="2"/>
    </font>
    <font>
      <b/>
      <strike/>
      <sz val="8"/>
      <color rgb="FFFF0000"/>
      <name val="Arial"/>
      <family val="2"/>
    </font>
    <font>
      <b/>
      <vertAlign val="superscript"/>
      <sz val="9"/>
      <name val="Arial"/>
      <family val="2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Arial"/>
      <family val="2"/>
    </font>
    <font>
      <i/>
      <sz val="8"/>
      <color indexed="8"/>
      <name val="Arial"/>
      <family val="2"/>
    </font>
    <font>
      <sz val="10"/>
      <color indexed="1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indexed="9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auto="1"/>
      </top>
      <bottom/>
      <diagonal/>
    </border>
  </borders>
  <cellStyleXfs count="131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3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0" fillId="0" borderId="0"/>
  </cellStyleXfs>
  <cellXfs count="252">
    <xf numFmtId="0" fontId="0" fillId="0" borderId="0" xfId="0"/>
    <xf numFmtId="0" fontId="2" fillId="2" borderId="0" xfId="2" applyFont="1" applyFill="1"/>
    <xf numFmtId="0" fontId="1" fillId="0" borderId="0" xfId="2"/>
    <xf numFmtId="0" fontId="3" fillId="0" borderId="0" xfId="2" applyFont="1" applyAlignment="1">
      <alignment horizontal="center" vertical="center" wrapText="1"/>
    </xf>
    <xf numFmtId="0" fontId="6" fillId="2" borderId="0" xfId="2" applyFont="1" applyFill="1"/>
    <xf numFmtId="0" fontId="7" fillId="2" borderId="0" xfId="2" applyFont="1" applyFill="1"/>
    <xf numFmtId="0" fontId="8" fillId="2" borderId="0" xfId="2" applyFont="1" applyFill="1"/>
    <xf numFmtId="0" fontId="9" fillId="2" borderId="2" xfId="2" applyFont="1" applyFill="1" applyBorder="1" applyAlignment="1">
      <alignment horizontal="right" vertical="center" wrapText="1"/>
    </xf>
    <xf numFmtId="0" fontId="3" fillId="2" borderId="0" xfId="2" applyFont="1" applyFill="1" applyAlignment="1">
      <alignment horizontal="left"/>
    </xf>
    <xf numFmtId="0" fontId="9" fillId="0" borderId="0" xfId="2" applyFont="1" applyAlignment="1">
      <alignment horizontal="left"/>
    </xf>
    <xf numFmtId="0" fontId="9" fillId="2" borderId="0" xfId="2" applyFont="1" applyFill="1" applyAlignment="1">
      <alignment horizontal="left" wrapText="1" indent="2"/>
    </xf>
    <xf numFmtId="0" fontId="9" fillId="0" borderId="0" xfId="2" applyFont="1" applyAlignment="1">
      <alignment horizontal="left" indent="1"/>
    </xf>
    <xf numFmtId="0" fontId="9" fillId="0" borderId="3" xfId="2" applyFont="1" applyBorder="1" applyAlignment="1">
      <alignment horizontal="left"/>
    </xf>
    <xf numFmtId="0" fontId="3" fillId="2" borderId="3" xfId="2" applyFont="1" applyFill="1" applyBorder="1" applyAlignment="1">
      <alignment horizontal="left"/>
    </xf>
    <xf numFmtId="0" fontId="1" fillId="0" borderId="3" xfId="2" applyBorder="1"/>
    <xf numFmtId="0" fontId="13" fillId="2" borderId="0" xfId="2" applyFont="1" applyFill="1" applyAlignment="1">
      <alignment vertical="center"/>
    </xf>
    <xf numFmtId="0" fontId="12" fillId="2" borderId="0" xfId="2" applyFont="1" applyFill="1" applyAlignment="1">
      <alignment vertical="center"/>
    </xf>
    <xf numFmtId="167" fontId="12" fillId="2" borderId="0" xfId="2" applyNumberFormat="1" applyFont="1" applyFill="1" applyAlignment="1">
      <alignment vertical="center" wrapText="1"/>
    </xf>
    <xf numFmtId="0" fontId="12" fillId="2" borderId="0" xfId="2" applyFont="1" applyFill="1" applyAlignment="1">
      <alignment vertical="center" wrapText="1"/>
    </xf>
    <xf numFmtId="167" fontId="1" fillId="0" borderId="0" xfId="2" applyNumberFormat="1"/>
    <xf numFmtId="168" fontId="9" fillId="2" borderId="0" xfId="1" applyNumberFormat="1" applyFont="1" applyFill="1" applyBorder="1" applyAlignment="1">
      <alignment horizontal="left" vertical="center"/>
    </xf>
    <xf numFmtId="168" fontId="9" fillId="2" borderId="0" xfId="1" applyNumberFormat="1" applyFont="1" applyFill="1" applyAlignment="1">
      <alignment horizontal="left" wrapText="1" indent="1"/>
    </xf>
    <xf numFmtId="168" fontId="9" fillId="2" borderId="0" xfId="1" applyNumberFormat="1" applyFont="1" applyFill="1" applyBorder="1" applyAlignment="1">
      <alignment horizontal="left"/>
    </xf>
    <xf numFmtId="0" fontId="0" fillId="0" borderId="3" xfId="0" applyBorder="1"/>
    <xf numFmtId="0" fontId="5" fillId="0" borderId="0" xfId="4" applyFont="1"/>
    <xf numFmtId="0" fontId="2" fillId="2" borderId="0" xfId="4" applyFont="1" applyFill="1" applyAlignment="1">
      <alignment horizontal="right"/>
    </xf>
    <xf numFmtId="0" fontId="1" fillId="0" borderId="0" xfId="4"/>
    <xf numFmtId="0" fontId="2" fillId="2" borderId="0" xfId="4" applyFont="1" applyFill="1"/>
    <xf numFmtId="0" fontId="6" fillId="2" borderId="3" xfId="4" applyFont="1" applyFill="1" applyBorder="1"/>
    <xf numFmtId="0" fontId="8" fillId="2" borderId="0" xfId="4" applyFont="1" applyFill="1"/>
    <xf numFmtId="165" fontId="3" fillId="2" borderId="0" xfId="4" applyNumberFormat="1" applyFont="1" applyFill="1" applyAlignment="1">
      <alignment horizontal="right"/>
    </xf>
    <xf numFmtId="0" fontId="3" fillId="2" borderId="0" xfId="4" applyFont="1" applyFill="1" applyAlignment="1">
      <alignment horizontal="left"/>
    </xf>
    <xf numFmtId="0" fontId="4" fillId="2" borderId="0" xfId="4" applyFont="1" applyFill="1" applyAlignment="1">
      <alignment horizontal="left" wrapText="1" indent="2"/>
    </xf>
    <xf numFmtId="165" fontId="11" fillId="2" borderId="0" xfId="0" applyNumberFormat="1" applyFont="1" applyFill="1" applyAlignment="1" applyProtection="1">
      <alignment horizontal="right" vertical="center" wrapText="1" readingOrder="1"/>
      <protection locked="0"/>
    </xf>
    <xf numFmtId="0" fontId="3" fillId="2" borderId="3" xfId="4" applyFont="1" applyFill="1" applyBorder="1" applyAlignment="1">
      <alignment horizontal="left"/>
    </xf>
    <xf numFmtId="0" fontId="3" fillId="2" borderId="3" xfId="4" applyFont="1" applyFill="1" applyBorder="1" applyAlignment="1">
      <alignment horizontal="right"/>
    </xf>
    <xf numFmtId="165" fontId="3" fillId="2" borderId="3" xfId="4" applyNumberFormat="1" applyFont="1" applyFill="1" applyBorder="1" applyAlignment="1">
      <alignment horizontal="right"/>
    </xf>
    <xf numFmtId="0" fontId="4" fillId="2" borderId="0" xfId="2" applyFont="1" applyFill="1" applyAlignment="1">
      <alignment horizontal="left" indent="2"/>
    </xf>
    <xf numFmtId="0" fontId="3" fillId="2" borderId="0" xfId="4" applyFont="1" applyFill="1" applyAlignment="1">
      <alignment horizontal="right"/>
    </xf>
    <xf numFmtId="0" fontId="2" fillId="0" borderId="0" xfId="4" applyFont="1"/>
    <xf numFmtId="0" fontId="9" fillId="2" borderId="0" xfId="2" applyFont="1" applyFill="1" applyAlignment="1">
      <alignment horizontal="left" vertical="center" wrapText="1"/>
    </xf>
    <xf numFmtId="0" fontId="9" fillId="2" borderId="0" xfId="2" applyFont="1" applyFill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18" fillId="2" borderId="0" xfId="2" applyFont="1" applyFill="1" applyAlignment="1">
      <alignment horizontal="left" vertical="center"/>
    </xf>
    <xf numFmtId="0" fontId="19" fillId="2" borderId="0" xfId="2" applyFont="1" applyFill="1" applyAlignment="1">
      <alignment horizontal="right"/>
    </xf>
    <xf numFmtId="0" fontId="9" fillId="3" borderId="3" xfId="7" applyFont="1" applyFill="1" applyBorder="1" applyAlignment="1">
      <alignment horizontal="right" vertical="center"/>
    </xf>
    <xf numFmtId="0" fontId="15" fillId="2" borderId="1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/>
    </xf>
    <xf numFmtId="0" fontId="9" fillId="3" borderId="0" xfId="7" applyFont="1" applyFill="1" applyAlignment="1">
      <alignment horizontal="right" vertical="center"/>
    </xf>
    <xf numFmtId="0" fontId="9" fillId="0" borderId="0" xfId="2" applyFont="1" applyAlignment="1">
      <alignment horizontal="left" vertical="center"/>
    </xf>
    <xf numFmtId="0" fontId="4" fillId="2" borderId="0" xfId="2" applyFont="1" applyFill="1" applyAlignment="1">
      <alignment horizontal="left" vertical="center" wrapText="1" indent="2"/>
    </xf>
    <xf numFmtId="169" fontId="21" fillId="2" borderId="0" xfId="8" applyNumberFormat="1" applyFont="1" applyFill="1" applyAlignment="1" applyProtection="1">
      <alignment horizontal="right"/>
    </xf>
    <xf numFmtId="169" fontId="3" fillId="0" borderId="0" xfId="0" applyNumberFormat="1" applyFont="1" applyAlignment="1">
      <alignment horizontal="right" vertical="center" wrapText="1"/>
    </xf>
    <xf numFmtId="0" fontId="19" fillId="2" borderId="0" xfId="4" applyFont="1" applyFill="1" applyAlignment="1">
      <alignment horizontal="right"/>
    </xf>
    <xf numFmtId="0" fontId="18" fillId="0" borderId="0" xfId="4" applyFont="1"/>
    <xf numFmtId="0" fontId="7" fillId="2" borderId="0" xfId="4" applyFont="1" applyFill="1" applyAlignment="1">
      <alignment horizontal="right"/>
    </xf>
    <xf numFmtId="0" fontId="3" fillId="2" borderId="0" xfId="4" applyFont="1" applyFill="1" applyAlignment="1">
      <alignment horizontal="left" vertical="center"/>
    </xf>
    <xf numFmtId="0" fontId="3" fillId="0" borderId="0" xfId="4" applyFont="1" applyAlignment="1">
      <alignment horizontal="left" vertical="center" indent="1"/>
    </xf>
    <xf numFmtId="0" fontId="4" fillId="2" borderId="0" xfId="4" applyFont="1" applyFill="1" applyAlignment="1">
      <alignment horizontal="left" vertical="center" wrapText="1" indent="2"/>
    </xf>
    <xf numFmtId="0" fontId="3" fillId="2" borderId="0" xfId="4" applyFont="1" applyFill="1" applyAlignment="1">
      <alignment horizontal="left" vertical="center" indent="1"/>
    </xf>
    <xf numFmtId="0" fontId="9" fillId="2" borderId="0" xfId="4" applyFont="1" applyFill="1" applyAlignment="1">
      <alignment horizontal="left" vertical="center" indent="1"/>
    </xf>
    <xf numFmtId="0" fontId="9" fillId="0" borderId="0" xfId="4" applyFont="1" applyAlignment="1">
      <alignment horizontal="left" vertical="center" wrapText="1" indent="1"/>
    </xf>
    <xf numFmtId="0" fontId="10" fillId="2" borderId="0" xfId="4" applyFont="1" applyFill="1" applyAlignment="1">
      <alignment horizontal="left" vertical="center" wrapText="1" indent="2"/>
    </xf>
    <xf numFmtId="0" fontId="9" fillId="2" borderId="0" xfId="4" applyFont="1" applyFill="1" applyAlignment="1">
      <alignment horizontal="left" vertical="center" wrapText="1" indent="1"/>
    </xf>
    <xf numFmtId="0" fontId="3" fillId="2" borderId="0" xfId="2" applyFont="1" applyFill="1" applyAlignment="1">
      <alignment horizontal="center" vertical="center" wrapText="1"/>
    </xf>
    <xf numFmtId="165" fontId="3" fillId="2" borderId="3" xfId="2" applyNumberFormat="1" applyFont="1" applyFill="1" applyBorder="1" applyAlignment="1">
      <alignment horizontal="right"/>
    </xf>
    <xf numFmtId="0" fontId="23" fillId="0" borderId="0" xfId="0" applyFont="1"/>
    <xf numFmtId="0" fontId="22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left" vertical="center" indent="2"/>
    </xf>
    <xf numFmtId="0" fontId="0" fillId="0" borderId="0" xfId="0" applyAlignment="1">
      <alignment horizontal="left" vertical="center"/>
    </xf>
    <xf numFmtId="166" fontId="3" fillId="2" borderId="0" xfId="2" applyNumberFormat="1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2" borderId="0" xfId="2" applyFont="1" applyFill="1" applyAlignment="1">
      <alignment horizontal="right" vertical="center"/>
    </xf>
    <xf numFmtId="165" fontId="3" fillId="2" borderId="0" xfId="2" applyNumberFormat="1" applyFont="1" applyFill="1" applyAlignment="1">
      <alignment horizontal="right" vertical="center"/>
    </xf>
    <xf numFmtId="0" fontId="24" fillId="0" borderId="0" xfId="10" applyFont="1"/>
    <xf numFmtId="0" fontId="28" fillId="0" borderId="0" xfId="10" applyFont="1" applyAlignment="1">
      <alignment horizontal="center" vertical="center"/>
    </xf>
    <xf numFmtId="0" fontId="28" fillId="0" borderId="0" xfId="10" applyFont="1" applyAlignment="1">
      <alignment vertical="center"/>
    </xf>
    <xf numFmtId="0" fontId="29" fillId="0" borderId="0" xfId="10" applyFont="1" applyAlignment="1">
      <alignment vertical="center"/>
    </xf>
    <xf numFmtId="0" fontId="19" fillId="0" borderId="0" xfId="10" applyFont="1"/>
    <xf numFmtId="0" fontId="8" fillId="0" borderId="0" xfId="10" applyFont="1"/>
    <xf numFmtId="17" fontId="31" fillId="0" borderId="0" xfId="10" quotePrefix="1" applyNumberFormat="1" applyFont="1"/>
    <xf numFmtId="17" fontId="25" fillId="0" borderId="0" xfId="10" quotePrefix="1" applyNumberFormat="1" applyFont="1"/>
    <xf numFmtId="0" fontId="29" fillId="5" borderId="5" xfId="10" applyFont="1" applyFill="1" applyBorder="1" applyAlignment="1">
      <alignment horizontal="center" vertical="center"/>
    </xf>
    <xf numFmtId="0" fontId="29" fillId="5" borderId="6" xfId="10" applyFont="1" applyFill="1" applyBorder="1" applyAlignment="1">
      <alignment horizontal="center" vertical="center"/>
    </xf>
    <xf numFmtId="0" fontId="34" fillId="0" borderId="9" xfId="9" applyFont="1" applyBorder="1" applyAlignment="1" applyProtection="1">
      <alignment horizontal="center" vertical="center"/>
    </xf>
    <xf numFmtId="0" fontId="34" fillId="0" borderId="14" xfId="9" applyFont="1" applyBorder="1" applyAlignment="1" applyProtection="1">
      <alignment horizontal="center" vertical="center"/>
    </xf>
    <xf numFmtId="0" fontId="34" fillId="0" borderId="15" xfId="9" applyFont="1" applyBorder="1" applyAlignment="1" applyProtection="1">
      <alignment horizontal="center" vertical="center"/>
    </xf>
    <xf numFmtId="0" fontId="34" fillId="0" borderId="17" xfId="9" applyFont="1" applyBorder="1" applyAlignment="1" applyProtection="1">
      <alignment horizontal="center" vertical="center"/>
    </xf>
    <xf numFmtId="0" fontId="35" fillId="0" borderId="0" xfId="10" applyFont="1"/>
    <xf numFmtId="0" fontId="35" fillId="0" borderId="0" xfId="10" applyFont="1" applyAlignment="1">
      <alignment horizontal="left" vertical="center"/>
    </xf>
    <xf numFmtId="0" fontId="12" fillId="0" borderId="0" xfId="6" applyFont="1" applyAlignment="1">
      <alignment horizontal="left" vertical="center"/>
    </xf>
    <xf numFmtId="0" fontId="37" fillId="0" borderId="0" xfId="2" applyFont="1" applyAlignment="1">
      <alignment horizontal="left" vertical="center"/>
    </xf>
    <xf numFmtId="0" fontId="9" fillId="2" borderId="1" xfId="2" applyFont="1" applyFill="1" applyBorder="1" applyAlignment="1">
      <alignment horizontal="left" vertical="center" wrapText="1"/>
    </xf>
    <xf numFmtId="0" fontId="9" fillId="2" borderId="3" xfId="2" applyFont="1" applyFill="1" applyBorder="1" applyAlignment="1">
      <alignment horizontal="left" vertical="center" wrapText="1"/>
    </xf>
    <xf numFmtId="0" fontId="9" fillId="2" borderId="1" xfId="2" applyFont="1" applyFill="1" applyBorder="1" applyAlignment="1">
      <alignment horizontal="right" vertical="center" wrapText="1"/>
    </xf>
    <xf numFmtId="0" fontId="9" fillId="2" borderId="0" xfId="2" applyFont="1" applyFill="1" applyAlignment="1">
      <alignment horizontal="right" vertical="center" wrapText="1"/>
    </xf>
    <xf numFmtId="0" fontId="9" fillId="2" borderId="3" xfId="2" applyFont="1" applyFill="1" applyBorder="1" applyAlignment="1">
      <alignment horizontal="right" vertical="center" wrapText="1"/>
    </xf>
    <xf numFmtId="165" fontId="3" fillId="0" borderId="3" xfId="0" applyNumberFormat="1" applyFont="1" applyBorder="1" applyAlignment="1">
      <alignment horizontal="right" vertical="center" wrapText="1"/>
    </xf>
    <xf numFmtId="0" fontId="3" fillId="2" borderId="3" xfId="2" applyFont="1" applyFill="1" applyBorder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168" fontId="9" fillId="2" borderId="0" xfId="14" applyNumberFormat="1" applyFont="1" applyFill="1" applyBorder="1" applyAlignment="1">
      <alignment horizontal="left" vertical="center"/>
    </xf>
    <xf numFmtId="0" fontId="3" fillId="2" borderId="3" xfId="2" applyFont="1" applyFill="1" applyBorder="1" applyAlignment="1">
      <alignment horizontal="center" vertical="center" wrapText="1"/>
    </xf>
    <xf numFmtId="168" fontId="9" fillId="2" borderId="0" xfId="15" applyNumberFormat="1" applyFont="1" applyFill="1" applyBorder="1" applyAlignment="1">
      <alignment horizontal="left" vertical="center"/>
    </xf>
    <xf numFmtId="168" fontId="9" fillId="2" borderId="0" xfId="15" applyNumberFormat="1" applyFont="1" applyFill="1" applyBorder="1" applyAlignment="1">
      <alignment horizontal="left"/>
    </xf>
    <xf numFmtId="168" fontId="9" fillId="2" borderId="0" xfId="16" applyNumberFormat="1" applyFont="1" applyFill="1" applyBorder="1" applyAlignment="1">
      <alignment horizontal="left" vertical="center"/>
    </xf>
    <xf numFmtId="168" fontId="9" fillId="2" borderId="0" xfId="16" applyNumberFormat="1" applyFont="1" applyFill="1" applyBorder="1" applyAlignment="1">
      <alignment horizontal="left"/>
    </xf>
    <xf numFmtId="0" fontId="39" fillId="0" borderId="0" xfId="2" applyFont="1"/>
    <xf numFmtId="0" fontId="39" fillId="0" borderId="0" xfId="0" applyFont="1"/>
    <xf numFmtId="0" fontId="4" fillId="0" borderId="0" xfId="2" applyFont="1"/>
    <xf numFmtId="170" fontId="0" fillId="0" borderId="0" xfId="0" applyNumberFormat="1"/>
    <xf numFmtId="170" fontId="2" fillId="2" borderId="0" xfId="2" applyNumberFormat="1" applyFont="1" applyFill="1"/>
    <xf numFmtId="170" fontId="7" fillId="2" borderId="0" xfId="2" applyNumberFormat="1" applyFont="1" applyFill="1"/>
    <xf numFmtId="170" fontId="9" fillId="3" borderId="3" xfId="7" applyNumberFormat="1" applyFont="1" applyFill="1" applyBorder="1" applyAlignment="1">
      <alignment horizontal="right" vertical="center"/>
    </xf>
    <xf numFmtId="170" fontId="9" fillId="2" borderId="0" xfId="2" applyNumberFormat="1" applyFont="1" applyFill="1" applyAlignment="1">
      <alignment horizontal="right" vertical="center" wrapText="1"/>
    </xf>
    <xf numFmtId="170" fontId="3" fillId="0" borderId="0" xfId="0" applyNumberFormat="1" applyFont="1" applyAlignment="1">
      <alignment horizontal="right" vertical="center" wrapText="1"/>
    </xf>
    <xf numFmtId="170" fontId="3" fillId="2" borderId="3" xfId="2" applyNumberFormat="1" applyFont="1" applyFill="1" applyBorder="1" applyAlignment="1">
      <alignment horizontal="left"/>
    </xf>
    <xf numFmtId="170" fontId="3" fillId="2" borderId="0" xfId="2" applyNumberFormat="1" applyFont="1" applyFill="1" applyAlignment="1">
      <alignment horizontal="left"/>
    </xf>
    <xf numFmtId="170" fontId="1" fillId="0" borderId="0" xfId="2" applyNumberFormat="1"/>
    <xf numFmtId="170" fontId="9" fillId="3" borderId="0" xfId="7" applyNumberFormat="1" applyFont="1" applyFill="1" applyAlignment="1">
      <alignment horizontal="right" vertical="center"/>
    </xf>
    <xf numFmtId="170" fontId="8" fillId="2" borderId="0" xfId="2" applyNumberFormat="1" applyFont="1" applyFill="1"/>
    <xf numFmtId="170" fontId="3" fillId="0" borderId="0" xfId="2" applyNumberFormat="1" applyFont="1" applyAlignment="1">
      <alignment horizontal="center" vertical="center" wrapText="1"/>
    </xf>
    <xf numFmtId="170" fontId="39" fillId="0" borderId="0" xfId="2" applyNumberFormat="1" applyFont="1"/>
    <xf numFmtId="170" fontId="39" fillId="0" borderId="0" xfId="0" applyNumberFormat="1" applyFont="1"/>
    <xf numFmtId="170" fontId="3" fillId="0" borderId="3" xfId="0" applyNumberFormat="1" applyFont="1" applyBorder="1" applyAlignment="1">
      <alignment horizontal="right" vertical="center" wrapText="1"/>
    </xf>
    <xf numFmtId="170" fontId="0" fillId="0" borderId="3" xfId="0" applyNumberFormat="1" applyBorder="1"/>
    <xf numFmtId="170" fontId="9" fillId="2" borderId="0" xfId="2" applyNumberFormat="1" applyFont="1" applyFill="1" applyAlignment="1">
      <alignment horizontal="center" vertical="center" wrapText="1"/>
    </xf>
    <xf numFmtId="170" fontId="2" fillId="2" borderId="0" xfId="4" applyNumberFormat="1" applyFont="1" applyFill="1" applyAlignment="1">
      <alignment horizontal="right"/>
    </xf>
    <xf numFmtId="170" fontId="7" fillId="2" borderId="0" xfId="4" applyNumberFormat="1" applyFont="1" applyFill="1" applyAlignment="1">
      <alignment horizontal="right"/>
    </xf>
    <xf numFmtId="170" fontId="3" fillId="2" borderId="3" xfId="4" applyNumberFormat="1" applyFont="1" applyFill="1" applyBorder="1" applyAlignment="1">
      <alignment horizontal="right"/>
    </xf>
    <xf numFmtId="170" fontId="3" fillId="2" borderId="0" xfId="4" applyNumberFormat="1" applyFont="1" applyFill="1" applyAlignment="1">
      <alignment horizontal="right"/>
    </xf>
    <xf numFmtId="170" fontId="1" fillId="0" borderId="0" xfId="4" applyNumberFormat="1"/>
    <xf numFmtId="170" fontId="2" fillId="2" borderId="0" xfId="4" applyNumberFormat="1" applyFont="1" applyFill="1"/>
    <xf numFmtId="170" fontId="8" fillId="2" borderId="0" xfId="4" applyNumberFormat="1" applyFont="1" applyFill="1"/>
    <xf numFmtId="170" fontId="3" fillId="2" borderId="0" xfId="4" applyNumberFormat="1" applyFont="1" applyFill="1" applyAlignment="1">
      <alignment horizontal="left"/>
    </xf>
    <xf numFmtId="170" fontId="3" fillId="2" borderId="3" xfId="4" applyNumberFormat="1" applyFont="1" applyFill="1" applyBorder="1" applyAlignment="1">
      <alignment horizontal="left"/>
    </xf>
    <xf numFmtId="170" fontId="23" fillId="0" borderId="0" xfId="0" applyNumberFormat="1" applyFont="1"/>
    <xf numFmtId="170" fontId="3" fillId="2" borderId="0" xfId="2" applyNumberFormat="1" applyFont="1" applyFill="1" applyAlignment="1">
      <alignment horizontal="right" vertical="center" wrapText="1"/>
    </xf>
    <xf numFmtId="170" fontId="13" fillId="2" borderId="0" xfId="2" applyNumberFormat="1" applyFont="1" applyFill="1" applyAlignment="1">
      <alignment vertical="center"/>
    </xf>
    <xf numFmtId="170" fontId="12" fillId="2" borderId="0" xfId="2" applyNumberFormat="1" applyFont="1" applyFill="1" applyAlignment="1">
      <alignment vertical="center" wrapText="1"/>
    </xf>
    <xf numFmtId="170" fontId="12" fillId="2" borderId="0" xfId="2" applyNumberFormat="1" applyFont="1" applyFill="1" applyAlignment="1">
      <alignment vertical="center"/>
    </xf>
    <xf numFmtId="170" fontId="0" fillId="0" borderId="0" xfId="0" applyNumberFormat="1" applyAlignment="1">
      <alignment horizontal="right" vertical="center"/>
    </xf>
    <xf numFmtId="170" fontId="3" fillId="2" borderId="0" xfId="0" applyNumberFormat="1" applyFont="1" applyFill="1" applyAlignment="1">
      <alignment horizontal="right" vertical="center" wrapText="1"/>
    </xf>
    <xf numFmtId="169" fontId="9" fillId="2" borderId="0" xfId="0" applyNumberFormat="1" applyFont="1" applyFill="1" applyAlignment="1">
      <alignment horizontal="right" vertical="center" wrapText="1"/>
    </xf>
    <xf numFmtId="165" fontId="3" fillId="2" borderId="0" xfId="0" applyNumberFormat="1" applyFont="1" applyFill="1" applyAlignment="1">
      <alignment horizontal="right" vertical="center" wrapText="1"/>
    </xf>
    <xf numFmtId="169" fontId="3" fillId="2" borderId="0" xfId="0" applyNumberFormat="1" applyFont="1" applyFill="1" applyAlignment="1">
      <alignment horizontal="right" vertical="center" wrapText="1"/>
    </xf>
    <xf numFmtId="169" fontId="4" fillId="2" borderId="0" xfId="0" applyNumberFormat="1" applyFont="1" applyFill="1" applyAlignment="1">
      <alignment horizontal="right" vertical="center" wrapText="1"/>
    </xf>
    <xf numFmtId="169" fontId="10" fillId="2" borderId="0" xfId="0" applyNumberFormat="1" applyFont="1" applyFill="1" applyAlignment="1">
      <alignment horizontal="right" vertical="center" wrapText="1"/>
    </xf>
    <xf numFmtId="170" fontId="10" fillId="2" borderId="0" xfId="0" applyNumberFormat="1" applyFont="1" applyFill="1" applyAlignment="1">
      <alignment horizontal="right" vertical="center" wrapText="1"/>
    </xf>
    <xf numFmtId="165" fontId="10" fillId="2" borderId="0" xfId="0" applyNumberFormat="1" applyFont="1" applyFill="1" applyAlignment="1">
      <alignment horizontal="right" vertical="center" wrapText="1"/>
    </xf>
    <xf numFmtId="0" fontId="0" fillId="2" borderId="0" xfId="0" applyFill="1"/>
    <xf numFmtId="166" fontId="12" fillId="2" borderId="4" xfId="2" applyNumberFormat="1" applyFont="1" applyFill="1" applyBorder="1" applyAlignment="1" applyProtection="1">
      <alignment horizontal="right" vertical="center" wrapText="1" readingOrder="1"/>
      <protection locked="0"/>
    </xf>
    <xf numFmtId="165" fontId="12" fillId="2" borderId="0" xfId="0" applyNumberFormat="1" applyFont="1" applyFill="1" applyAlignment="1" applyProtection="1">
      <alignment horizontal="right" vertical="center" wrapText="1" readingOrder="1"/>
      <protection locked="0"/>
    </xf>
    <xf numFmtId="0" fontId="42" fillId="2" borderId="0" xfId="4" applyFont="1" applyFill="1" applyAlignment="1">
      <alignment horizontal="left" vertical="center" indent="1"/>
    </xf>
    <xf numFmtId="0" fontId="3" fillId="0" borderId="0" xfId="4" applyFont="1" applyAlignment="1">
      <alignment horizontal="left" vertical="center" indent="2"/>
    </xf>
    <xf numFmtId="170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6" fontId="12" fillId="2" borderId="4" xfId="2" applyNumberFormat="1" applyFont="1" applyFill="1" applyBorder="1" applyAlignment="1" applyProtection="1">
      <alignment horizontal="right" vertical="center" wrapText="1"/>
      <protection locked="0"/>
    </xf>
    <xf numFmtId="166" fontId="12" fillId="2" borderId="0" xfId="2" applyNumberFormat="1" applyFont="1" applyFill="1" applyAlignment="1" applyProtection="1">
      <alignment horizontal="right" vertical="center" wrapText="1"/>
      <protection locked="0"/>
    </xf>
    <xf numFmtId="0" fontId="9" fillId="0" borderId="0" xfId="4" applyFont="1" applyAlignment="1">
      <alignment horizontal="left" vertical="center" indent="2"/>
    </xf>
    <xf numFmtId="0" fontId="4" fillId="2" borderId="0" xfId="4" applyFont="1" applyFill="1" applyAlignment="1">
      <alignment horizontal="left" vertical="center" wrapText="1" indent="3"/>
    </xf>
    <xf numFmtId="0" fontId="4" fillId="2" borderId="0" xfId="4" applyFont="1" applyFill="1" applyAlignment="1">
      <alignment horizontal="left" vertical="center" wrapText="1" indent="1"/>
    </xf>
    <xf numFmtId="168" fontId="9" fillId="2" borderId="0" xfId="1" applyNumberFormat="1" applyFont="1" applyFill="1" applyBorder="1" applyAlignment="1">
      <alignment horizontal="left" vertical="center" indent="1"/>
    </xf>
    <xf numFmtId="0" fontId="9" fillId="0" borderId="0" xfId="2" applyFont="1" applyAlignment="1">
      <alignment horizontal="left" indent="2"/>
    </xf>
    <xf numFmtId="168" fontId="9" fillId="2" borderId="0" xfId="1" applyNumberFormat="1" applyFont="1" applyFill="1" applyAlignment="1">
      <alignment horizontal="left" wrapText="1" indent="2"/>
    </xf>
    <xf numFmtId="168" fontId="9" fillId="2" borderId="0" xfId="1" applyNumberFormat="1" applyFont="1" applyFill="1" applyBorder="1" applyAlignment="1">
      <alignment horizontal="left" indent="1"/>
    </xf>
    <xf numFmtId="168" fontId="9" fillId="2" borderId="0" xfId="16" applyNumberFormat="1" applyFont="1" applyFill="1" applyBorder="1" applyAlignment="1">
      <alignment horizontal="left" vertical="center" indent="1"/>
    </xf>
    <xf numFmtId="168" fontId="9" fillId="2" borderId="0" xfId="16" applyNumberFormat="1" applyFont="1" applyFill="1" applyBorder="1" applyAlignment="1">
      <alignment horizontal="left" indent="1"/>
    </xf>
    <xf numFmtId="0" fontId="4" fillId="0" borderId="0" xfId="4" applyFont="1" applyAlignment="1">
      <alignment horizontal="left" vertical="center" indent="2"/>
    </xf>
    <xf numFmtId="0" fontId="4" fillId="2" borderId="0" xfId="4" applyFont="1" applyFill="1" applyAlignment="1">
      <alignment horizontal="left" wrapText="1" indent="3"/>
    </xf>
    <xf numFmtId="168" fontId="9" fillId="2" borderId="0" xfId="14" applyNumberFormat="1" applyFont="1" applyFill="1" applyBorder="1" applyAlignment="1">
      <alignment horizontal="left" vertical="center" indent="1"/>
    </xf>
    <xf numFmtId="0" fontId="42" fillId="2" borderId="0" xfId="4" applyFont="1" applyFill="1" applyAlignment="1">
      <alignment horizontal="left" vertical="center" indent="2"/>
    </xf>
    <xf numFmtId="0" fontId="4" fillId="0" borderId="0" xfId="4" applyFont="1" applyAlignment="1">
      <alignment horizontal="left" vertical="center" wrapText="1" indent="2"/>
    </xf>
    <xf numFmtId="0" fontId="27" fillId="0" borderId="0" xfId="10" applyFont="1" applyAlignment="1">
      <alignment horizontal="center" vertical="center"/>
    </xf>
    <xf numFmtId="0" fontId="24" fillId="0" borderId="0" xfId="6" applyFont="1"/>
    <xf numFmtId="0" fontId="31" fillId="0" borderId="0" xfId="6" applyFont="1"/>
    <xf numFmtId="0" fontId="1" fillId="0" borderId="0" xfId="6"/>
    <xf numFmtId="0" fontId="3" fillId="0" borderId="21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171" fontId="3" fillId="0" borderId="2" xfId="0" applyNumberFormat="1" applyFont="1" applyBorder="1" applyAlignment="1">
      <alignment horizontal="right" vertical="center" wrapText="1"/>
    </xf>
    <xf numFmtId="0" fontId="45" fillId="0" borderId="3" xfId="0" applyFont="1" applyBorder="1" applyAlignment="1">
      <alignment horizontal="right"/>
    </xf>
    <xf numFmtId="171" fontId="3" fillId="0" borderId="0" xfId="0" applyNumberFormat="1" applyFont="1" applyAlignment="1">
      <alignment horizontal="right" vertical="center" wrapText="1"/>
    </xf>
    <xf numFmtId="0" fontId="45" fillId="0" borderId="0" xfId="0" applyFont="1" applyAlignment="1">
      <alignment horizontal="right"/>
    </xf>
    <xf numFmtId="0" fontId="9" fillId="2" borderId="21" xfId="4" applyFont="1" applyFill="1" applyBorder="1" applyAlignment="1">
      <alignment horizontal="left" vertical="center" wrapText="1"/>
    </xf>
    <xf numFmtId="0" fontId="9" fillId="2" borderId="0" xfId="4" applyFont="1" applyFill="1" applyAlignment="1">
      <alignment horizontal="left" vertical="center" wrapText="1"/>
    </xf>
    <xf numFmtId="0" fontId="3" fillId="2" borderId="2" xfId="4" applyFont="1" applyFill="1" applyBorder="1" applyAlignment="1">
      <alignment horizontal="left"/>
    </xf>
    <xf numFmtId="170" fontId="10" fillId="6" borderId="0" xfId="0" applyNumberFormat="1" applyFont="1" applyFill="1" applyAlignment="1">
      <alignment horizontal="right" vertical="center" wrapText="1"/>
    </xf>
    <xf numFmtId="170" fontId="3" fillId="6" borderId="0" xfId="0" applyNumberFormat="1" applyFont="1" applyFill="1" applyAlignment="1">
      <alignment horizontal="right" vertical="center" wrapText="1"/>
    </xf>
    <xf numFmtId="169" fontId="4" fillId="6" borderId="0" xfId="0" applyNumberFormat="1" applyFont="1" applyFill="1" applyAlignment="1">
      <alignment horizontal="right" vertical="center" wrapText="1"/>
    </xf>
    <xf numFmtId="169" fontId="9" fillId="6" borderId="0" xfId="0" applyNumberFormat="1" applyFont="1" applyFill="1" applyAlignment="1">
      <alignment horizontal="right" vertical="center" wrapText="1"/>
    </xf>
    <xf numFmtId="170" fontId="10" fillId="7" borderId="0" xfId="0" applyNumberFormat="1" applyFont="1" applyFill="1" applyAlignment="1">
      <alignment horizontal="right" vertical="center" wrapText="1"/>
    </xf>
    <xf numFmtId="169" fontId="4" fillId="7" borderId="0" xfId="0" applyNumberFormat="1" applyFont="1" applyFill="1" applyAlignment="1">
      <alignment horizontal="right" vertical="center" wrapText="1"/>
    </xf>
    <xf numFmtId="0" fontId="9" fillId="2" borderId="21" xfId="2" applyFont="1" applyFill="1" applyBorder="1" applyAlignment="1">
      <alignment horizontal="left" vertical="center" wrapText="1"/>
    </xf>
    <xf numFmtId="0" fontId="3" fillId="2" borderId="21" xfId="2" applyFont="1" applyFill="1" applyBorder="1" applyAlignment="1">
      <alignment horizontal="center"/>
    </xf>
    <xf numFmtId="0" fontId="3" fillId="2" borderId="21" xfId="2" applyFont="1" applyFill="1" applyBorder="1" applyAlignment="1">
      <alignment horizontal="right" vertical="center" wrapText="1"/>
    </xf>
    <xf numFmtId="0" fontId="3" fillId="2" borderId="21" xfId="2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 readingOrder="1"/>
    </xf>
    <xf numFmtId="0" fontId="12" fillId="2" borderId="0" xfId="0" applyFont="1" applyFill="1" applyAlignment="1">
      <alignment vertical="center" wrapText="1" readingOrder="1"/>
    </xf>
    <xf numFmtId="0" fontId="10" fillId="2" borderId="0" xfId="12" applyFont="1" applyFill="1" applyAlignment="1">
      <alignment vertical="center"/>
    </xf>
    <xf numFmtId="0" fontId="10" fillId="6" borderId="0" xfId="12" applyFont="1" applyFill="1" applyAlignment="1">
      <alignment vertical="center"/>
    </xf>
    <xf numFmtId="0" fontId="10" fillId="7" borderId="0" xfId="12" applyFont="1" applyFill="1" applyAlignment="1">
      <alignment vertical="center"/>
    </xf>
    <xf numFmtId="0" fontId="35" fillId="3" borderId="0" xfId="0" applyFont="1" applyFill="1" applyAlignment="1">
      <alignment horizontal="left" vertical="center" readingOrder="1"/>
    </xf>
    <xf numFmtId="170" fontId="13" fillId="2" borderId="0" xfId="4" applyNumberFormat="1" applyFont="1" applyFill="1" applyAlignment="1">
      <alignment horizontal="right" vertical="center"/>
    </xf>
    <xf numFmtId="0" fontId="13" fillId="2" borderId="0" xfId="4" applyFont="1" applyFill="1" applyAlignment="1">
      <alignment horizontal="right" vertical="center"/>
    </xf>
    <xf numFmtId="0" fontId="13" fillId="2" borderId="0" xfId="4" applyFont="1" applyFill="1" applyAlignment="1">
      <alignment vertical="center"/>
    </xf>
    <xf numFmtId="170" fontId="13" fillId="2" borderId="0" xfId="4" applyNumberFormat="1" applyFont="1" applyFill="1" applyAlignment="1">
      <alignment vertical="center"/>
    </xf>
    <xf numFmtId="0" fontId="10" fillId="0" borderId="0" xfId="12" applyFont="1" applyAlignment="1">
      <alignment vertical="center"/>
    </xf>
    <xf numFmtId="0" fontId="0" fillId="0" borderId="0" xfId="0" applyAlignment="1">
      <alignment horizontal="left"/>
    </xf>
    <xf numFmtId="0" fontId="26" fillId="0" borderId="0" xfId="6" applyFont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31" fillId="0" borderId="0" xfId="10" applyFont="1" applyAlignment="1">
      <alignment horizontal="right"/>
    </xf>
    <xf numFmtId="0" fontId="31" fillId="0" borderId="0" xfId="11" applyFont="1" applyAlignment="1">
      <alignment horizontal="center" vertical="center"/>
    </xf>
    <xf numFmtId="0" fontId="44" fillId="4" borderId="0" xfId="130" applyFont="1" applyFill="1" applyAlignment="1">
      <alignment horizontal="center" vertical="center"/>
    </xf>
    <xf numFmtId="0" fontId="29" fillId="5" borderId="6" xfId="10" applyFont="1" applyFill="1" applyBorder="1" applyAlignment="1">
      <alignment horizontal="center" vertical="center"/>
    </xf>
    <xf numFmtId="0" fontId="29" fillId="5" borderId="7" xfId="10" applyFont="1" applyFill="1" applyBorder="1" applyAlignment="1">
      <alignment horizontal="center" vertical="center"/>
    </xf>
    <xf numFmtId="0" fontId="32" fillId="0" borderId="8" xfId="8" applyFont="1" applyFill="1" applyBorder="1" applyAlignment="1">
      <alignment horizontal="center" vertical="center" wrapText="1"/>
    </xf>
    <xf numFmtId="0" fontId="32" fillId="0" borderId="13" xfId="8" applyFont="1" applyFill="1" applyBorder="1" applyAlignment="1">
      <alignment horizontal="center" vertical="center" wrapText="1"/>
    </xf>
    <xf numFmtId="0" fontId="32" fillId="0" borderId="16" xfId="8" applyFont="1" applyFill="1" applyBorder="1" applyAlignment="1">
      <alignment horizontal="left" vertical="center" wrapText="1" readingOrder="1"/>
    </xf>
    <xf numFmtId="0" fontId="24" fillId="0" borderId="10" xfId="10" applyFont="1" applyBorder="1" applyAlignment="1">
      <alignment horizontal="left" vertical="center" wrapText="1" indent="1"/>
    </xf>
    <xf numFmtId="0" fontId="24" fillId="0" borderId="11" xfId="10" applyFont="1" applyBorder="1" applyAlignment="1">
      <alignment horizontal="left" vertical="center" wrapText="1" indent="1"/>
    </xf>
    <xf numFmtId="0" fontId="24" fillId="0" borderId="12" xfId="10" applyFont="1" applyBorder="1" applyAlignment="1">
      <alignment horizontal="left" vertical="center" wrapText="1" indent="1"/>
    </xf>
    <xf numFmtId="0" fontId="38" fillId="0" borderId="10" xfId="10" applyFont="1" applyBorder="1" applyAlignment="1">
      <alignment horizontal="left" vertical="center" wrapText="1" indent="1"/>
    </xf>
    <xf numFmtId="0" fontId="38" fillId="0" borderId="11" xfId="10" applyFont="1" applyBorder="1" applyAlignment="1">
      <alignment horizontal="left" vertical="center" wrapText="1" indent="1"/>
    </xf>
    <xf numFmtId="0" fontId="38" fillId="0" borderId="12" xfId="10" applyFont="1" applyBorder="1" applyAlignment="1">
      <alignment horizontal="left" vertical="center" wrapText="1" indent="1"/>
    </xf>
    <xf numFmtId="0" fontId="38" fillId="0" borderId="18" xfId="10" applyFont="1" applyBorder="1" applyAlignment="1">
      <alignment horizontal="left" vertical="center" wrapText="1" indent="1"/>
    </xf>
    <xf numFmtId="0" fontId="38" fillId="0" borderId="19" xfId="10" applyFont="1" applyBorder="1" applyAlignment="1">
      <alignment horizontal="left" vertical="center" wrapText="1" indent="1"/>
    </xf>
    <xf numFmtId="0" fontId="38" fillId="0" borderId="20" xfId="10" applyFont="1" applyBorder="1" applyAlignment="1">
      <alignment horizontal="left" vertical="center" wrapText="1" inden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/>
    </xf>
    <xf numFmtId="0" fontId="1" fillId="0" borderId="3" xfId="2" applyBorder="1"/>
    <xf numFmtId="0" fontId="12" fillId="0" borderId="0" xfId="0" applyFont="1" applyAlignment="1">
      <alignment horizontal="left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9" fillId="2" borderId="0" xfId="2" applyFont="1" applyFill="1" applyAlignment="1">
      <alignment horizontal="left" vertical="center" wrapText="1"/>
    </xf>
    <xf numFmtId="0" fontId="9" fillId="2" borderId="3" xfId="2" applyFont="1" applyFill="1" applyBorder="1" applyAlignment="1">
      <alignment horizontal="left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 readingOrder="1"/>
    </xf>
    <xf numFmtId="0" fontId="9" fillId="2" borderId="21" xfId="4" applyFont="1" applyFill="1" applyBorder="1" applyAlignment="1">
      <alignment horizontal="left" vertical="center" wrapText="1"/>
    </xf>
    <xf numFmtId="0" fontId="9" fillId="2" borderId="0" xfId="4" applyFont="1" applyFill="1" applyAlignment="1">
      <alignment horizontal="left" vertical="center" wrapText="1"/>
    </xf>
    <xf numFmtId="0" fontId="9" fillId="2" borderId="3" xfId="4" applyFont="1" applyFill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8" fillId="0" borderId="0" xfId="4" applyFont="1" applyAlignment="1">
      <alignment horizontal="left" wrapText="1"/>
    </xf>
    <xf numFmtId="0" fontId="3" fillId="2" borderId="2" xfId="2" applyFont="1" applyFill="1" applyBorder="1" applyAlignment="1">
      <alignment horizontal="center" vertical="center" wrapText="1"/>
    </xf>
    <xf numFmtId="0" fontId="9" fillId="2" borderId="21" xfId="2" applyFont="1" applyFill="1" applyBorder="1" applyAlignment="1">
      <alignment horizontal="left" vertical="center" wrapText="1"/>
    </xf>
    <xf numFmtId="0" fontId="3" fillId="2" borderId="2" xfId="2" applyFont="1" applyFill="1" applyBorder="1" applyAlignment="1">
      <alignment horizontal="center" vertical="center"/>
    </xf>
    <xf numFmtId="0" fontId="9" fillId="2" borderId="21" xfId="2" applyFont="1" applyFill="1" applyBorder="1" applyAlignment="1">
      <alignment horizontal="center" vertical="center" wrapText="1"/>
    </xf>
    <xf numFmtId="0" fontId="1" fillId="0" borderId="2" xfId="2" applyBorder="1"/>
    <xf numFmtId="0" fontId="3" fillId="2" borderId="3" xfId="2" applyFont="1" applyFill="1" applyBorder="1" applyAlignment="1">
      <alignment horizontal="center" vertical="center" wrapText="1"/>
    </xf>
    <xf numFmtId="0" fontId="1" fillId="0" borderId="21" xfId="2" applyBorder="1"/>
    <xf numFmtId="0" fontId="48" fillId="8" borderId="0" xfId="0" applyFont="1" applyFill="1" applyAlignment="1">
      <alignment vertical="center"/>
    </xf>
  </cellXfs>
  <cellStyles count="131">
    <cellStyle name="Hipervínculo" xfId="9" builtinId="8"/>
    <cellStyle name="Hipervínculo 2" xfId="8" xr:uid="{00000000-0005-0000-0000-000001000000}"/>
    <cellStyle name="Millares" xfId="1" builtinId="3"/>
    <cellStyle name="Millares 10" xfId="27" xr:uid="{74B9CAB1-477D-4FAF-8B4D-FFDA826F9164}"/>
    <cellStyle name="Millares 10 2" xfId="121" xr:uid="{BDD42D7C-7EA5-4269-9233-DC0BFA22AD3F}"/>
    <cellStyle name="Millares 10 3" xfId="102" xr:uid="{30C082B7-DD97-42AC-83AE-3127BB04C7DA}"/>
    <cellStyle name="Millares 10 4" xfId="87" xr:uid="{F4B375E3-AC83-4E40-94A2-302FA85069EF}"/>
    <cellStyle name="Millares 10 5" xfId="72" xr:uid="{B5745F9C-51EC-4771-9895-812DADF7CE12}"/>
    <cellStyle name="Millares 10 6" xfId="57" xr:uid="{0BF00626-2A1B-4A18-8D6F-142CA89D43F1}"/>
    <cellStyle name="Millares 10 7" xfId="42" xr:uid="{C2F53193-5BE3-4928-BCC9-363D611592FC}"/>
    <cellStyle name="Millares 11" xfId="28" xr:uid="{BF7A9939-F9A6-4C1F-84B7-0062C0DFCB4E}"/>
    <cellStyle name="Millares 11 2" xfId="122" xr:uid="{85200013-8E76-4A0E-AAD8-B3E368A8BFB9}"/>
    <cellStyle name="Millares 11 3" xfId="103" xr:uid="{87024B6A-96BB-46CA-8347-93B09F029BCA}"/>
    <cellStyle name="Millares 11 4" xfId="88" xr:uid="{C10D6B0D-AC4B-4BEB-8DC6-27882982964B}"/>
    <cellStyle name="Millares 11 5" xfId="73" xr:uid="{A9C49192-2CB0-440F-B646-CF93BB46FE0B}"/>
    <cellStyle name="Millares 11 6" xfId="58" xr:uid="{A150A09C-17B6-4DB6-9886-31A16AE585AB}"/>
    <cellStyle name="Millares 11 7" xfId="43" xr:uid="{CF8EA9B8-9E89-402D-9881-180F4B78EF71}"/>
    <cellStyle name="Millares 12" xfId="29" xr:uid="{94C15F61-C950-49F8-9844-68820E87DE3A}"/>
    <cellStyle name="Millares 12 2" xfId="123" xr:uid="{EA53E91E-864A-426D-9E16-2ACE003B83CD}"/>
    <cellStyle name="Millares 12 3" xfId="104" xr:uid="{CEEC1FCD-E499-4509-BB21-9BBA4678FB69}"/>
    <cellStyle name="Millares 12 4" xfId="89" xr:uid="{A5DDD980-F958-490C-8392-C17798FE337A}"/>
    <cellStyle name="Millares 12 5" xfId="74" xr:uid="{E82CF286-E6FD-47A5-80C2-C7603171E909}"/>
    <cellStyle name="Millares 12 6" xfId="59" xr:uid="{A45D5203-534D-4E8A-9344-4EF705DC1BFE}"/>
    <cellStyle name="Millares 12 7" xfId="44" xr:uid="{38C44B5D-4008-423D-9210-6F30C36F30A4}"/>
    <cellStyle name="Millares 13" xfId="30" xr:uid="{D721D439-F7E6-44F0-858A-B3A16B233E20}"/>
    <cellStyle name="Millares 13 2" xfId="124" xr:uid="{6605ED8C-9E15-4C15-B181-CD454F6AF22F}"/>
    <cellStyle name="Millares 13 3" xfId="105" xr:uid="{49FD4A9E-D0A4-4819-834A-E154A7CFC154}"/>
    <cellStyle name="Millares 13 4" xfId="90" xr:uid="{7D424A36-855D-4793-953C-4F848BC5DAD5}"/>
    <cellStyle name="Millares 13 5" xfId="75" xr:uid="{DAA619E8-ECCF-4F52-A115-6A19958BC8EB}"/>
    <cellStyle name="Millares 13 6" xfId="60" xr:uid="{838875B5-5DBF-4D61-835F-6BDF947BB924}"/>
    <cellStyle name="Millares 13 7" xfId="45" xr:uid="{D703E5FF-FD68-4E49-B672-BBD4769F839C}"/>
    <cellStyle name="Millares 14" xfId="31" xr:uid="{ACB0F3A2-D722-45E1-9653-A673FDEB4048}"/>
    <cellStyle name="Millares 14 2" xfId="125" xr:uid="{2CD02600-F4DA-46B6-AB46-64D836E20BBD}"/>
    <cellStyle name="Millares 14 3" xfId="106" xr:uid="{F35065A6-B044-44AF-BC76-93EDECD09466}"/>
    <cellStyle name="Millares 14 4" xfId="91" xr:uid="{8DC4BEB2-2901-45C8-9F86-854A024407D2}"/>
    <cellStyle name="Millares 14 5" xfId="76" xr:uid="{857C3DE6-4950-4384-A289-91E9BB93E624}"/>
    <cellStyle name="Millares 14 6" xfId="61" xr:uid="{8430554D-0EE9-40E0-9180-B8B628ABA10A}"/>
    <cellStyle name="Millares 14 7" xfId="46" xr:uid="{A9E0ED6D-14D1-46DD-9A58-E75BA5FAA4C7}"/>
    <cellStyle name="Millares 15" xfId="32" xr:uid="{08113555-83CA-4C4C-AD46-F32E666814BD}"/>
    <cellStyle name="Millares 15 2" xfId="126" xr:uid="{C5BC2147-B525-49D2-9937-42F0B60855D9}"/>
    <cellStyle name="Millares 15 3" xfId="107" xr:uid="{EE414736-59E9-4B45-A27F-88B99FF3C905}"/>
    <cellStyle name="Millares 15 4" xfId="92" xr:uid="{21E65C69-9F4B-40B0-81C4-AB8320FE9004}"/>
    <cellStyle name="Millares 15 5" xfId="77" xr:uid="{C024114E-CF92-45AA-84B9-C5001BA52DB0}"/>
    <cellStyle name="Millares 15 6" xfId="62" xr:uid="{C647424D-96DA-4909-B6FD-07A18D2A94BE}"/>
    <cellStyle name="Millares 15 7" xfId="47" xr:uid="{3FC16299-A0D6-43F7-AA73-98708BE999BA}"/>
    <cellStyle name="Millares 16" xfId="127" xr:uid="{55E08483-C5B6-43FA-BF85-D3E74DF495B3}"/>
    <cellStyle name="Millares 17" xfId="128" xr:uid="{8D58C056-F61B-47B8-9943-6D2DD0AE569A}"/>
    <cellStyle name="Millares 18" xfId="129" xr:uid="{7CBB301F-4DD5-41FE-8A17-433126E3928D}"/>
    <cellStyle name="Millares 19" xfId="109" xr:uid="{00000000-0005-0000-0000-000049000000}"/>
    <cellStyle name="Millares 2" xfId="14" xr:uid="{09C5EDA7-6B24-48E9-A0F5-65844F7551C5}"/>
    <cellStyle name="Millares 2 2" xfId="113" xr:uid="{D75BA76C-65ED-49EC-865F-46102B65DB68}"/>
    <cellStyle name="Millares 2 3" xfId="94" xr:uid="{658A6B07-071B-490F-97D4-F7E82F09E929}"/>
    <cellStyle name="Millares 2 4" xfId="79" xr:uid="{D85F9167-39A0-4E03-A825-C0FC826F7E29}"/>
    <cellStyle name="Millares 2 5" xfId="64" xr:uid="{32A79C80-5B3A-4A3A-98E3-6D7C71B50943}"/>
    <cellStyle name="Millares 2 6" xfId="49" xr:uid="{2AC3BC99-14D7-415B-BA6C-C38C15596E9B}"/>
    <cellStyle name="Millares 2 7" xfId="34" xr:uid="{9EB0EE84-7816-4B22-9494-5433CD01ECFD}"/>
    <cellStyle name="Millares 2 8" xfId="19" xr:uid="{EC86FCC8-8ED5-4435-95DD-F113A5245718}"/>
    <cellStyle name="Millares 20" xfId="108" xr:uid="{00000000-0005-0000-0000-000049000000}"/>
    <cellStyle name="Millares 21" xfId="93" xr:uid="{00000000-0005-0000-0000-000049000000}"/>
    <cellStyle name="Millares 22" xfId="78" xr:uid="{00000000-0005-0000-0000-000049000000}"/>
    <cellStyle name="Millares 23" xfId="63" xr:uid="{00000000-0005-0000-0000-000049000000}"/>
    <cellStyle name="Millares 24" xfId="48" xr:uid="{00000000-0005-0000-0000-000049000000}"/>
    <cellStyle name="Millares 25" xfId="33" xr:uid="{00000000-0005-0000-0000-00003F000000}"/>
    <cellStyle name="Millares 3" xfId="15" xr:uid="{F801C441-29AA-48BF-A3EB-0F677143F209}"/>
    <cellStyle name="Millares 3 2" xfId="114" xr:uid="{91DC82B8-276B-4C2D-826B-66127FC3BD10}"/>
    <cellStyle name="Millares 3 3" xfId="95" xr:uid="{3D0C72A3-C50E-4A4D-986D-11CD4288FB1F}"/>
    <cellStyle name="Millares 3 4" xfId="80" xr:uid="{4BA7FDC5-10C0-4897-B83C-58D9DF748793}"/>
    <cellStyle name="Millares 3 5" xfId="65" xr:uid="{C346F12A-FD1A-4186-A168-054115D45617}"/>
    <cellStyle name="Millares 3 6" xfId="50" xr:uid="{8C6DC4C7-69FF-4325-BAFB-862C189F2D52}"/>
    <cellStyle name="Millares 3 7" xfId="35" xr:uid="{AF7526FE-AFB2-4B85-91F7-100002DC1E52}"/>
    <cellStyle name="Millares 3 8" xfId="20" xr:uid="{14868C0D-EE20-4CCC-94E5-06D402A5A17D}"/>
    <cellStyle name="Millares 4" xfId="16" xr:uid="{78D4CD26-C512-44E9-AD6E-8725F8847ACD}"/>
    <cellStyle name="Millares 4 2" xfId="115" xr:uid="{8AA23C57-8DAC-4261-9D91-E67B7B84F9F3}"/>
    <cellStyle name="Millares 4 3" xfId="96" xr:uid="{783660D4-9043-4900-8196-357C72D0EECE}"/>
    <cellStyle name="Millares 4 4" xfId="81" xr:uid="{F261ED20-D824-4D40-8B2D-0B259D6EED27}"/>
    <cellStyle name="Millares 4 5" xfId="66" xr:uid="{CA0458ED-FF99-4430-A9BC-8E9CC9EFB5A9}"/>
    <cellStyle name="Millares 4 6" xfId="51" xr:uid="{23B11DD1-1AFD-4E32-B82B-6BA57F9BF824}"/>
    <cellStyle name="Millares 4 7" xfId="36" xr:uid="{8BFA1209-081E-4F03-826D-40079F508B8D}"/>
    <cellStyle name="Millares 4 8" xfId="21" xr:uid="{C4875820-E50C-4ADD-A542-55800B236F73}"/>
    <cellStyle name="Millares 5" xfId="22" xr:uid="{03A3B6EF-2B17-45B3-B3CB-FBCD872038F3}"/>
    <cellStyle name="Millares 5 2" xfId="116" xr:uid="{1C4CCF02-C474-4B34-A5FE-45EA9F227AFA}"/>
    <cellStyle name="Millares 5 3" xfId="97" xr:uid="{B57D5CC6-3E09-430F-A228-16DCADFFCC15}"/>
    <cellStyle name="Millares 5 4" xfId="82" xr:uid="{0579B8FE-4ACD-426A-B388-11BF52700084}"/>
    <cellStyle name="Millares 5 5" xfId="67" xr:uid="{CC6682D3-D359-48D5-A04C-DB668F9B55CF}"/>
    <cellStyle name="Millares 5 6" xfId="52" xr:uid="{CC409022-CA14-4F2D-A317-176EB2CD11E2}"/>
    <cellStyle name="Millares 5 7" xfId="37" xr:uid="{F84D456C-4035-46BF-9DAA-5CD44C452F92}"/>
    <cellStyle name="Millares 6" xfId="23" xr:uid="{4D61E2F9-8F70-4563-A3F1-2F77F2685F4A}"/>
    <cellStyle name="Millares 6 2" xfId="117" xr:uid="{6A594710-EC3E-4A46-9BD3-44BD39E3566E}"/>
    <cellStyle name="Millares 6 3" xfId="98" xr:uid="{A45D0FD3-703F-4989-B64E-47E0756210C5}"/>
    <cellStyle name="Millares 6 4" xfId="83" xr:uid="{66CA6320-92ED-41C4-999F-5866C9BA77E8}"/>
    <cellStyle name="Millares 6 5" xfId="68" xr:uid="{C02A234A-881F-45AC-8BEF-5D4F56069841}"/>
    <cellStyle name="Millares 6 6" xfId="53" xr:uid="{57A09402-4D62-43DA-B653-4E026F311A6F}"/>
    <cellStyle name="Millares 6 7" xfId="38" xr:uid="{CBB08D34-1E99-410B-A5B2-852DB9748AD1}"/>
    <cellStyle name="Millares 7" xfId="24" xr:uid="{C7BB51F4-4AED-44A1-A7D0-66E46EB8E699}"/>
    <cellStyle name="Millares 7 2" xfId="118" xr:uid="{8BE98190-932E-4A71-9F27-D89A5B5FA111}"/>
    <cellStyle name="Millares 7 3" xfId="99" xr:uid="{2CA3CCA7-2ACE-4C7B-B71C-AD3C0D227AEB}"/>
    <cellStyle name="Millares 7 4" xfId="84" xr:uid="{141367DB-751A-432D-9A48-3097FF9AB4FA}"/>
    <cellStyle name="Millares 7 5" xfId="69" xr:uid="{EF9DB0D8-A0D6-495E-AEE9-25BF5DAE48EA}"/>
    <cellStyle name="Millares 7 6" xfId="54" xr:uid="{C280D99C-A488-4C6A-A42C-33A09395E613}"/>
    <cellStyle name="Millares 7 7" xfId="39" xr:uid="{F3066A6A-83AF-48B7-BEA4-D1B714B10032}"/>
    <cellStyle name="Millares 8" xfId="25" xr:uid="{C0FA2246-9286-4285-BC5E-130DE76BDD74}"/>
    <cellStyle name="Millares 8 2" xfId="119" xr:uid="{C1D7ABC8-C95D-4FF1-80C0-39A34ABCA6D0}"/>
    <cellStyle name="Millares 8 3" xfId="100" xr:uid="{94DAA2C0-6A35-4BAC-9F9E-7D698DD79A3F}"/>
    <cellStyle name="Millares 8 4" xfId="85" xr:uid="{069A2A5A-501C-442E-A0D5-2CB7327EC6AC}"/>
    <cellStyle name="Millares 8 5" xfId="70" xr:uid="{639D2D56-DD07-4E22-A8CA-F75B50DF7AA5}"/>
    <cellStyle name="Millares 8 6" xfId="55" xr:uid="{4FE4FCBD-6377-4E66-A801-EEC63CDF5C2D}"/>
    <cellStyle name="Millares 8 7" xfId="40" xr:uid="{15C23E11-0634-46D1-BD68-065891C630C0}"/>
    <cellStyle name="Millares 9" xfId="26" xr:uid="{CD2909FA-6D69-4CA3-A179-56F735BA51CB}"/>
    <cellStyle name="Millares 9 2" xfId="120" xr:uid="{4F7698AD-390F-4379-A991-F842C867C3C4}"/>
    <cellStyle name="Millares 9 3" xfId="101" xr:uid="{5CAE7653-68EB-4E84-A455-991A59C2DEB9}"/>
    <cellStyle name="Millares 9 4" xfId="86" xr:uid="{8461F872-226B-4202-846E-A63AE1D0CFB0}"/>
    <cellStyle name="Millares 9 5" xfId="71" xr:uid="{A35A5D9A-0340-4816-B119-6162877A7D03}"/>
    <cellStyle name="Millares 9 6" xfId="56" xr:uid="{AACE7563-89C2-477A-83E4-BF83F3265687}"/>
    <cellStyle name="Millares 9 7" xfId="41" xr:uid="{50D7B862-F18A-4BA0-ADE5-7660184DB088}"/>
    <cellStyle name="Normal" xfId="0" builtinId="0"/>
    <cellStyle name="Normal 10 2" xfId="2" xr:uid="{00000000-0005-0000-0000-000004000000}"/>
    <cellStyle name="Normal 10 3 3" xfId="13" xr:uid="{00000000-0005-0000-0000-000005000000}"/>
    <cellStyle name="Normal 11" xfId="7" xr:uid="{00000000-0005-0000-0000-000006000000}"/>
    <cellStyle name="Normal 2 2 2" xfId="12" xr:uid="{00000000-0005-0000-0000-000007000000}"/>
    <cellStyle name="Normal 3 2 5" xfId="112" xr:uid="{00000000-0005-0000-0000-000005000000}"/>
    <cellStyle name="Normal 4 2" xfId="111" xr:uid="{00000000-0005-0000-0000-000006000000}"/>
    <cellStyle name="Normal 4 2 2" xfId="5" xr:uid="{00000000-0005-0000-0000-000008000000}"/>
    <cellStyle name="Normal 4 3 2" xfId="3" xr:uid="{00000000-0005-0000-0000-000009000000}"/>
    <cellStyle name="Normal 5 2" xfId="4" xr:uid="{00000000-0005-0000-0000-00000A000000}"/>
    <cellStyle name="Normal 6" xfId="11" xr:uid="{00000000-0005-0000-0000-00000B000000}"/>
    <cellStyle name="Normal 6 2" xfId="130" xr:uid="{EAF473B8-5B06-4994-A32B-76BC42D3C555}"/>
    <cellStyle name="Normal 6 2 2" xfId="6" xr:uid="{00000000-0005-0000-0000-00000C000000}"/>
    <cellStyle name="Normal 7 2 2" xfId="10" xr:uid="{00000000-0005-0000-0000-00000D000000}"/>
    <cellStyle name="Normal 8" xfId="18" xr:uid="{00000000-0005-0000-0000-00000B000000}"/>
    <cellStyle name="Normal 9" xfId="110" xr:uid="{00000000-0005-0000-0000-00000C000000}"/>
    <cellStyle name="Normal 9 2" xfId="17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34" name="Imagen 33">
          <a:extLst>
            <a:ext uri="{FF2B5EF4-FFF2-40B4-BE49-F238E27FC236}">
              <a16:creationId xmlns:a16="http://schemas.microsoft.com/office/drawing/2014/main" id="{86B3017B-F321-461E-9D85-1EDBBE96F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showGridLines="0" tabSelected="1" workbookViewId="0"/>
  </sheetViews>
  <sheetFormatPr baseColWidth="10" defaultColWidth="11.42578125" defaultRowHeight="14.25" x14ac:dyDescent="0.2"/>
  <cols>
    <col min="1" max="1" width="1.7109375" style="74" customWidth="1"/>
    <col min="2" max="2" width="20.28515625" style="74" customWidth="1"/>
    <col min="3" max="3" width="17.42578125" style="74" customWidth="1"/>
    <col min="4" max="14" width="11.42578125" style="74"/>
    <col min="15" max="15" width="1.5703125" style="74" customWidth="1"/>
    <col min="16" max="16384" width="11.42578125" style="74"/>
  </cols>
  <sheetData>
    <row r="1" spans="1:20" s="175" customFormat="1" ht="20.100000000000001" customHeight="1" x14ac:dyDescent="0.25">
      <c r="A1" s="173"/>
      <c r="B1" s="174"/>
      <c r="C1" s="174"/>
    </row>
    <row r="2" spans="1:20" s="175" customFormat="1" ht="20.100000000000001" customHeight="1" x14ac:dyDescent="0.25">
      <c r="B2" s="208" t="s">
        <v>75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</row>
    <row r="3" spans="1:20" s="175" customFormat="1" ht="20.100000000000001" customHeight="1" x14ac:dyDescent="0.25">
      <c r="B3" s="209" t="s">
        <v>28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</row>
    <row r="4" spans="1:20" ht="6.95" customHeight="1" x14ac:dyDescent="0.2"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</row>
    <row r="5" spans="1:20" ht="20.100000000000001" customHeight="1" x14ac:dyDescent="0.2">
      <c r="A5" s="212" t="s">
        <v>87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76"/>
    </row>
    <row r="6" spans="1:20" ht="6.95" customHeight="1" x14ac:dyDescent="0.2">
      <c r="A6" s="75"/>
      <c r="B6" s="76" t="s">
        <v>29</v>
      </c>
      <c r="C6" s="77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5"/>
      <c r="T6" s="78"/>
    </row>
    <row r="7" spans="1:20" ht="20.100000000000001" customHeight="1" x14ac:dyDescent="0.2">
      <c r="A7" s="75"/>
      <c r="B7" s="211" t="s">
        <v>29</v>
      </c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75"/>
    </row>
    <row r="8" spans="1:20" ht="20.100000000000001" customHeight="1" x14ac:dyDescent="0.2">
      <c r="A8" s="79"/>
      <c r="B8" s="80" t="s">
        <v>93</v>
      </c>
      <c r="C8" s="81"/>
      <c r="D8" s="79"/>
      <c r="E8" s="79"/>
      <c r="F8" s="79"/>
      <c r="G8" s="79"/>
      <c r="H8" s="79"/>
      <c r="I8" s="79"/>
      <c r="J8" s="79"/>
      <c r="K8" s="79"/>
      <c r="L8" s="79"/>
      <c r="M8" s="210" t="str">
        <f>CONCATENATE("Total de tabulados: ", COUNTIF(C11:C17,"&lt;&gt;"))</f>
        <v>Total de tabulados: 7</v>
      </c>
      <c r="N8" s="210"/>
      <c r="O8" s="79"/>
    </row>
    <row r="9" spans="1:20" ht="6.95" customHeight="1" thickBot="1" x14ac:dyDescent="0.25"/>
    <row r="10" spans="1:20" ht="15.75" thickBot="1" x14ac:dyDescent="0.25">
      <c r="B10" s="82" t="s">
        <v>30</v>
      </c>
      <c r="C10" s="83" t="s">
        <v>31</v>
      </c>
      <c r="D10" s="213" t="s">
        <v>32</v>
      </c>
      <c r="E10" s="213"/>
      <c r="F10" s="213"/>
      <c r="G10" s="213"/>
      <c r="H10" s="213"/>
      <c r="I10" s="213"/>
      <c r="J10" s="213"/>
      <c r="K10" s="213"/>
      <c r="L10" s="213"/>
      <c r="M10" s="213"/>
      <c r="N10" s="214"/>
    </row>
    <row r="11" spans="1:20" ht="39.950000000000003" customHeight="1" x14ac:dyDescent="0.2">
      <c r="B11" s="215" t="s">
        <v>33</v>
      </c>
      <c r="C11" s="84" t="s">
        <v>12</v>
      </c>
      <c r="D11" s="218" t="s">
        <v>24</v>
      </c>
      <c r="E11" s="219"/>
      <c r="F11" s="219"/>
      <c r="G11" s="219"/>
      <c r="H11" s="219"/>
      <c r="I11" s="219"/>
      <c r="J11" s="219"/>
      <c r="K11" s="219"/>
      <c r="L11" s="219"/>
      <c r="M11" s="219"/>
      <c r="N11" s="220"/>
      <c r="O11" s="52"/>
      <c r="P11" s="52"/>
      <c r="Q11" s="52"/>
      <c r="R11" s="52"/>
      <c r="S11" s="52"/>
      <c r="T11" s="52"/>
    </row>
    <row r="12" spans="1:20" ht="39.950000000000003" customHeight="1" x14ac:dyDescent="0.2">
      <c r="B12" s="216"/>
      <c r="C12" s="85" t="s">
        <v>13</v>
      </c>
      <c r="D12" s="218" t="s">
        <v>85</v>
      </c>
      <c r="E12" s="219"/>
      <c r="F12" s="219"/>
      <c r="G12" s="219"/>
      <c r="H12" s="219"/>
      <c r="I12" s="219"/>
      <c r="J12" s="219"/>
      <c r="K12" s="219"/>
      <c r="L12" s="219"/>
      <c r="M12" s="219"/>
      <c r="N12" s="220"/>
      <c r="O12" s="52"/>
      <c r="P12" s="52"/>
      <c r="Q12" s="52"/>
      <c r="R12" s="52"/>
      <c r="S12" s="52"/>
      <c r="T12" s="52"/>
    </row>
    <row r="13" spans="1:20" ht="39.950000000000003" customHeight="1" x14ac:dyDescent="0.2">
      <c r="B13" s="216"/>
      <c r="C13" s="86" t="s">
        <v>14</v>
      </c>
      <c r="D13" s="221" t="s">
        <v>38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3"/>
      <c r="O13" s="52"/>
      <c r="P13" s="52"/>
      <c r="Q13" s="52"/>
      <c r="R13" s="52"/>
      <c r="S13" s="52"/>
      <c r="T13" s="52"/>
    </row>
    <row r="14" spans="1:20" ht="39.950000000000003" customHeight="1" x14ac:dyDescent="0.2">
      <c r="B14" s="216"/>
      <c r="C14" s="86" t="s">
        <v>15</v>
      </c>
      <c r="D14" s="221" t="s">
        <v>76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3"/>
      <c r="O14" s="52"/>
      <c r="P14" s="52"/>
      <c r="Q14" s="52"/>
      <c r="R14" s="52"/>
      <c r="S14" s="52"/>
      <c r="T14" s="52"/>
    </row>
    <row r="15" spans="1:20" ht="39.950000000000003" customHeight="1" x14ac:dyDescent="0.2">
      <c r="B15" s="216"/>
      <c r="C15" s="86" t="s">
        <v>46</v>
      </c>
      <c r="D15" s="221" t="s">
        <v>77</v>
      </c>
      <c r="E15" s="222"/>
      <c r="F15" s="222"/>
      <c r="G15" s="222"/>
      <c r="H15" s="222"/>
      <c r="I15" s="222"/>
      <c r="J15" s="222"/>
      <c r="K15" s="222"/>
      <c r="L15" s="222"/>
      <c r="M15" s="222"/>
      <c r="N15" s="223"/>
      <c r="O15" s="52"/>
      <c r="P15" s="52"/>
      <c r="Q15" s="52"/>
      <c r="R15" s="52"/>
      <c r="S15" s="52"/>
      <c r="T15" s="52"/>
    </row>
    <row r="16" spans="1:20" ht="39.950000000000003" customHeight="1" x14ac:dyDescent="0.2">
      <c r="B16" s="216"/>
      <c r="C16" s="85" t="s">
        <v>49</v>
      </c>
      <c r="D16" s="221" t="s">
        <v>78</v>
      </c>
      <c r="E16" s="222"/>
      <c r="F16" s="222"/>
      <c r="G16" s="222"/>
      <c r="H16" s="222"/>
      <c r="I16" s="222"/>
      <c r="J16" s="222"/>
      <c r="K16" s="222"/>
      <c r="L16" s="222"/>
      <c r="M16" s="222"/>
      <c r="N16" s="223"/>
      <c r="O16" s="52"/>
      <c r="P16" s="52"/>
      <c r="Q16" s="52"/>
      <c r="R16" s="52"/>
      <c r="S16" s="52"/>
      <c r="T16" s="52"/>
    </row>
    <row r="17" spans="2:14" ht="39.950000000000003" customHeight="1" thickBot="1" x14ac:dyDescent="0.25">
      <c r="B17" s="217"/>
      <c r="C17" s="87" t="s">
        <v>50</v>
      </c>
      <c r="D17" s="224" t="s">
        <v>79</v>
      </c>
      <c r="E17" s="225"/>
      <c r="F17" s="225"/>
      <c r="G17" s="225"/>
      <c r="H17" s="225"/>
      <c r="I17" s="225"/>
      <c r="J17" s="225"/>
      <c r="K17" s="225"/>
      <c r="L17" s="225"/>
      <c r="M17" s="225"/>
      <c r="N17" s="226"/>
    </row>
    <row r="19" spans="2:14" x14ac:dyDescent="0.2">
      <c r="B19" s="88"/>
    </row>
    <row r="20" spans="2:14" x14ac:dyDescent="0.2">
      <c r="B20" s="88"/>
    </row>
    <row r="21" spans="2:14" x14ac:dyDescent="0.2">
      <c r="B21" s="89"/>
    </row>
  </sheetData>
  <mergeCells count="14">
    <mergeCell ref="D10:N10"/>
    <mergeCell ref="B11:B17"/>
    <mergeCell ref="D11:N11"/>
    <mergeCell ref="D12:N12"/>
    <mergeCell ref="D15:N15"/>
    <mergeCell ref="D17:N17"/>
    <mergeCell ref="D13:N13"/>
    <mergeCell ref="D14:N14"/>
    <mergeCell ref="D16:N16"/>
    <mergeCell ref="B2:N2"/>
    <mergeCell ref="B3:N3"/>
    <mergeCell ref="M8:N8"/>
    <mergeCell ref="B7:N7"/>
    <mergeCell ref="A5:N5"/>
  </mergeCells>
  <hyperlinks>
    <hyperlink ref="C11" location="'Cuadro 7.1'!A1" tooltip="Ir a Cuadro 7.1" display="Cuadro 7.1" xr:uid="{00000000-0004-0000-0000-000000000000}"/>
    <hyperlink ref="C17" location="'Cuadro 7.7'!A1" tooltip="Ir a Cuadro 7.7" display="Cuadro 7.7" xr:uid="{00000000-0004-0000-0000-000001000000}"/>
    <hyperlink ref="C12" location="'Cuadro 7.2'!A1" tooltip="Ir a Cuadro 7.2" display="Cuadro 7.2" xr:uid="{00000000-0004-0000-0000-000002000000}"/>
    <hyperlink ref="C15" location="'Cuadro 7.5'!A1" tooltip="Ir a Cuadro 7.5" display="Cuadro 7.5" xr:uid="{00000000-0004-0000-0000-000003000000}"/>
    <hyperlink ref="C13:C14" location="'Cuadro 7.3'!A1" tooltip="Ir a Cuadro 7.3" display="Cuadro 7.3" xr:uid="{00177073-7A72-4EB7-A1E8-931FBB25DA5B}"/>
    <hyperlink ref="C14" location="'Cuadro 7.4'!A1" tooltip="Ir a Cuadro 7.4" display="Cuadro 7.4" xr:uid="{C2B3ADCA-D667-41C1-8A7B-8C843AA34FE5}"/>
    <hyperlink ref="C16" location="'Cuadro 7.6'!A1" tooltip="Ir a Cuadro 7.6" display="Cuadro 7.6" xr:uid="{4E664BEC-44B9-4FBA-AF01-4532DF4D2E5E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33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30.7109375" customWidth="1"/>
    <col min="3" max="3" width="1.7109375" customWidth="1"/>
    <col min="4" max="4" width="15.7109375" style="109" customWidth="1"/>
    <col min="5" max="5" width="15.7109375" customWidth="1"/>
    <col min="6" max="6" width="1.7109375" customWidth="1"/>
    <col min="7" max="7" width="15.7109375" style="109" customWidth="1"/>
    <col min="8" max="8" width="15.7109375" customWidth="1"/>
    <col min="9" max="9" width="1.7109375" customWidth="1"/>
    <col min="10" max="10" width="15.7109375" style="109" customWidth="1"/>
    <col min="11" max="11" width="15.7109375" customWidth="1"/>
    <col min="12" max="12" width="1.7109375" customWidth="1"/>
    <col min="13" max="13" width="15.7109375" style="109" customWidth="1"/>
    <col min="14" max="14" width="15.7109375" customWidth="1"/>
    <col min="15" max="15" width="1.7109375" customWidth="1"/>
    <col min="16" max="16" width="15.7109375" style="109" customWidth="1"/>
    <col min="17" max="17" width="15.7109375" customWidth="1"/>
    <col min="18" max="18" width="1.7109375" customWidth="1"/>
    <col min="19" max="19" width="15.7109375" style="109" customWidth="1"/>
    <col min="20" max="20" width="15.7109375" customWidth="1"/>
    <col min="21" max="21" width="1.7109375" customWidth="1"/>
    <col min="22" max="22" width="15.7109375" style="109" customWidth="1"/>
    <col min="23" max="23" width="15.7109375" customWidth="1"/>
    <col min="24" max="24" width="1.7109375" customWidth="1"/>
    <col min="25" max="25" width="15.7109375" style="109" customWidth="1"/>
    <col min="26" max="26" width="15.7109375" customWidth="1"/>
    <col min="27" max="27" width="1.7109375" customWidth="1"/>
    <col min="28" max="28" width="15.7109375" style="109" customWidth="1"/>
    <col min="29" max="29" width="15.7109375" customWidth="1"/>
    <col min="30" max="30" width="1.7109375" customWidth="1"/>
    <col min="31" max="31" width="15.7109375" style="109" customWidth="1"/>
    <col min="32" max="32" width="15.7109375" customWidth="1"/>
    <col min="33" max="33" width="1.7109375" customWidth="1"/>
    <col min="34" max="34" width="15.7109375" style="109" customWidth="1"/>
    <col min="35" max="35" width="15.7109375" customWidth="1"/>
    <col min="36" max="36" width="1.7109375" customWidth="1"/>
    <col min="37" max="37" width="15.7109375" style="109" customWidth="1"/>
    <col min="38" max="38" width="15.7109375" customWidth="1"/>
  </cols>
  <sheetData>
    <row r="1" spans="2:38" x14ac:dyDescent="0.25">
      <c r="B1" s="251" t="s">
        <v>94</v>
      </c>
      <c r="C1" s="42"/>
      <c r="AL1" s="51" t="s">
        <v>27</v>
      </c>
    </row>
    <row r="2" spans="2:38" ht="6.95" customHeight="1" x14ac:dyDescent="0.25"/>
    <row r="3" spans="2:38" x14ac:dyDescent="0.25">
      <c r="B3" s="42" t="s">
        <v>87</v>
      </c>
    </row>
    <row r="4" spans="2:38" ht="6.95" customHeight="1" x14ac:dyDescent="0.25">
      <c r="B4" s="1"/>
      <c r="C4" s="1"/>
      <c r="D4" s="110"/>
      <c r="E4" s="1"/>
      <c r="F4" s="1"/>
      <c r="G4" s="110"/>
      <c r="H4" s="1"/>
      <c r="I4" s="1"/>
      <c r="J4" s="117"/>
      <c r="K4" s="2"/>
      <c r="L4" s="2"/>
      <c r="M4" s="120"/>
      <c r="N4" s="3"/>
    </row>
    <row r="5" spans="2:38" x14ac:dyDescent="0.25">
      <c r="B5" s="43" t="s">
        <v>24</v>
      </c>
      <c r="C5" s="43"/>
      <c r="D5" s="110"/>
      <c r="E5" s="1"/>
      <c r="F5" s="1"/>
      <c r="G5" s="110"/>
      <c r="H5" s="1"/>
      <c r="I5" s="1"/>
      <c r="J5" s="110"/>
      <c r="K5" s="1"/>
      <c r="L5" s="1"/>
      <c r="M5" s="120"/>
      <c r="N5" s="3"/>
      <c r="O5" s="2"/>
      <c r="AL5" s="44" t="s">
        <v>12</v>
      </c>
    </row>
    <row r="6" spans="2:38" ht="6.95" customHeight="1" x14ac:dyDescent="0.25">
      <c r="B6" s="4"/>
      <c r="C6" s="4"/>
      <c r="D6" s="111"/>
      <c r="E6" s="5"/>
      <c r="F6" s="5"/>
      <c r="G6" s="111"/>
      <c r="H6" s="5"/>
      <c r="I6" s="5"/>
      <c r="J6" s="119"/>
      <c r="K6" s="6"/>
      <c r="L6" s="6"/>
      <c r="M6" s="120"/>
      <c r="N6" s="3"/>
      <c r="O6" s="2"/>
    </row>
    <row r="7" spans="2:38" ht="15" customHeight="1" x14ac:dyDescent="0.25">
      <c r="B7" s="232" t="s">
        <v>64</v>
      </c>
      <c r="C7" s="92"/>
      <c r="D7" s="229" t="s">
        <v>21</v>
      </c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46"/>
      <c r="P7" s="229" t="s">
        <v>4</v>
      </c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47"/>
      <c r="AB7" s="229" t="s">
        <v>5</v>
      </c>
      <c r="AC7" s="229"/>
      <c r="AD7" s="229"/>
      <c r="AE7" s="229"/>
      <c r="AF7" s="229"/>
      <c r="AG7" s="229"/>
      <c r="AH7" s="229"/>
      <c r="AI7" s="229"/>
      <c r="AJ7" s="229"/>
      <c r="AK7" s="229"/>
      <c r="AL7" s="229"/>
    </row>
    <row r="8" spans="2:38" ht="15" customHeight="1" x14ac:dyDescent="0.25">
      <c r="B8" s="233"/>
      <c r="C8" s="40"/>
      <c r="D8" s="227" t="s">
        <v>39</v>
      </c>
      <c r="E8" s="227"/>
      <c r="F8" s="94"/>
      <c r="G8" s="235" t="s">
        <v>22</v>
      </c>
      <c r="H8" s="235"/>
      <c r="I8" s="235"/>
      <c r="J8" s="235"/>
      <c r="K8" s="235"/>
      <c r="L8" s="235"/>
      <c r="M8" s="235"/>
      <c r="N8" s="235"/>
      <c r="O8" s="41"/>
      <c r="P8" s="227" t="s">
        <v>39</v>
      </c>
      <c r="Q8" s="227"/>
      <c r="R8" s="94"/>
      <c r="S8" s="235" t="s">
        <v>22</v>
      </c>
      <c r="T8" s="235"/>
      <c r="U8" s="227"/>
      <c r="V8" s="235"/>
      <c r="W8" s="235"/>
      <c r="X8" s="235"/>
      <c r="Y8" s="235"/>
      <c r="Z8" s="235"/>
      <c r="AA8" s="41"/>
      <c r="AB8" s="227" t="s">
        <v>39</v>
      </c>
      <c r="AC8" s="227"/>
      <c r="AD8" s="95"/>
      <c r="AE8" s="228" t="s">
        <v>22</v>
      </c>
      <c r="AF8" s="228"/>
      <c r="AG8" s="228"/>
      <c r="AH8" s="230"/>
      <c r="AI8" s="230"/>
      <c r="AJ8" s="230"/>
      <c r="AK8" s="230"/>
      <c r="AL8" s="230"/>
    </row>
    <row r="9" spans="2:38" ht="30" customHeight="1" x14ac:dyDescent="0.25">
      <c r="B9" s="233"/>
      <c r="C9" s="40"/>
      <c r="D9" s="228"/>
      <c r="E9" s="228"/>
      <c r="F9" s="95"/>
      <c r="G9" s="228" t="s">
        <v>0</v>
      </c>
      <c r="H9" s="228"/>
      <c r="I9" s="41"/>
      <c r="J9" s="228" t="s">
        <v>42</v>
      </c>
      <c r="K9" s="228"/>
      <c r="L9" s="41"/>
      <c r="M9" s="228" t="s">
        <v>43</v>
      </c>
      <c r="N9" s="228"/>
      <c r="O9" s="3"/>
      <c r="P9" s="228"/>
      <c r="Q9" s="228"/>
      <c r="R9" s="95"/>
      <c r="S9" s="228" t="s">
        <v>0</v>
      </c>
      <c r="T9" s="228"/>
      <c r="U9" s="94"/>
      <c r="V9" s="228" t="s">
        <v>42</v>
      </c>
      <c r="W9" s="228"/>
      <c r="X9" s="41"/>
      <c r="Y9" s="228" t="s">
        <v>43</v>
      </c>
      <c r="Z9" s="228"/>
      <c r="AA9" s="3"/>
      <c r="AB9" s="228"/>
      <c r="AC9" s="228"/>
      <c r="AD9" s="95"/>
      <c r="AE9" s="228" t="s">
        <v>0</v>
      </c>
      <c r="AF9" s="228"/>
      <c r="AG9" s="7"/>
      <c r="AH9" s="228" t="s">
        <v>42</v>
      </c>
      <c r="AI9" s="228"/>
      <c r="AJ9" s="41"/>
      <c r="AK9" s="228" t="s">
        <v>43</v>
      </c>
      <c r="AL9" s="228"/>
    </row>
    <row r="10" spans="2:38" x14ac:dyDescent="0.25">
      <c r="B10" s="234"/>
      <c r="C10" s="93"/>
      <c r="D10" s="112" t="s">
        <v>25</v>
      </c>
      <c r="E10" s="45" t="s">
        <v>26</v>
      </c>
      <c r="F10" s="96"/>
      <c r="G10" s="112" t="s">
        <v>25</v>
      </c>
      <c r="H10" s="45" t="s">
        <v>26</v>
      </c>
      <c r="I10" s="45"/>
      <c r="J10" s="112" t="s">
        <v>25</v>
      </c>
      <c r="K10" s="45" t="s">
        <v>26</v>
      </c>
      <c r="L10" s="45"/>
      <c r="M10" s="112" t="s">
        <v>25</v>
      </c>
      <c r="N10" s="45" t="s">
        <v>26</v>
      </c>
      <c r="O10" s="45"/>
      <c r="P10" s="112" t="s">
        <v>25</v>
      </c>
      <c r="Q10" s="45" t="s">
        <v>26</v>
      </c>
      <c r="R10" s="96"/>
      <c r="S10" s="112" t="s">
        <v>25</v>
      </c>
      <c r="T10" s="45" t="s">
        <v>26</v>
      </c>
      <c r="U10" s="45"/>
      <c r="V10" s="112" t="s">
        <v>25</v>
      </c>
      <c r="W10" s="45" t="s">
        <v>26</v>
      </c>
      <c r="X10" s="45"/>
      <c r="Y10" s="112" t="s">
        <v>25</v>
      </c>
      <c r="Z10" s="45" t="s">
        <v>26</v>
      </c>
      <c r="AA10" s="45"/>
      <c r="AB10" s="112" t="s">
        <v>25</v>
      </c>
      <c r="AC10" s="45" t="s">
        <v>26</v>
      </c>
      <c r="AD10" s="96"/>
      <c r="AE10" s="112" t="s">
        <v>25</v>
      </c>
      <c r="AF10" s="45" t="s">
        <v>26</v>
      </c>
      <c r="AG10" s="45"/>
      <c r="AH10" s="112" t="s">
        <v>25</v>
      </c>
      <c r="AI10" s="45" t="s">
        <v>26</v>
      </c>
      <c r="AJ10" s="45"/>
      <c r="AK10" s="112" t="s">
        <v>25</v>
      </c>
      <c r="AL10" s="45" t="s">
        <v>26</v>
      </c>
    </row>
    <row r="11" spans="2:38" ht="6.95" customHeight="1" x14ac:dyDescent="0.25">
      <c r="B11" s="40"/>
      <c r="C11" s="40"/>
      <c r="D11" s="113"/>
      <c r="E11" s="95"/>
      <c r="F11" s="95"/>
      <c r="G11" s="118"/>
      <c r="H11" s="48"/>
      <c r="I11" s="48"/>
      <c r="J11" s="118"/>
      <c r="K11" s="48"/>
      <c r="L11" s="48"/>
      <c r="M11" s="118"/>
      <c r="N11" s="48"/>
      <c r="O11" s="48"/>
      <c r="P11" s="113"/>
      <c r="Q11" s="95"/>
      <c r="R11" s="95"/>
      <c r="S11" s="118"/>
      <c r="T11" s="48"/>
      <c r="U11" s="48"/>
      <c r="V11" s="114"/>
      <c r="W11" s="48"/>
      <c r="X11" s="48"/>
      <c r="Y11" s="118"/>
      <c r="Z11" s="48"/>
      <c r="AA11" s="48"/>
      <c r="AB11" s="125"/>
      <c r="AC11" s="41"/>
      <c r="AD11" s="41"/>
      <c r="AE11" s="118"/>
      <c r="AF11" s="48"/>
      <c r="AG11" s="48"/>
      <c r="AH11" s="118"/>
      <c r="AI11" s="48"/>
      <c r="AJ11" s="48"/>
      <c r="AK11" s="118"/>
      <c r="AL11" s="48"/>
    </row>
    <row r="12" spans="2:38" ht="15" customHeight="1" x14ac:dyDescent="0.25">
      <c r="B12" s="49" t="s">
        <v>1</v>
      </c>
      <c r="C12" s="49"/>
      <c r="D12" s="141">
        <v>86621605</v>
      </c>
      <c r="E12" s="142">
        <v>100</v>
      </c>
      <c r="F12" s="143"/>
      <c r="G12" s="141">
        <v>75109617</v>
      </c>
      <c r="H12" s="142">
        <v>86.710026903799999</v>
      </c>
      <c r="I12" s="143"/>
      <c r="J12" s="141">
        <v>18386546</v>
      </c>
      <c r="K12" s="142">
        <v>21.226281826600001</v>
      </c>
      <c r="L12" s="143"/>
      <c r="M12" s="141">
        <v>7899130</v>
      </c>
      <c r="N12" s="142">
        <v>9.1191221867000003</v>
      </c>
      <c r="O12" s="143"/>
      <c r="P12" s="141">
        <v>46488980</v>
      </c>
      <c r="Q12" s="142">
        <v>100</v>
      </c>
      <c r="R12" s="143"/>
      <c r="S12" s="141">
        <v>40891049</v>
      </c>
      <c r="T12" s="142">
        <v>87.958585023799998</v>
      </c>
      <c r="U12" s="143"/>
      <c r="V12" s="141">
        <v>8814369</v>
      </c>
      <c r="W12" s="142">
        <v>18.960125604000002</v>
      </c>
      <c r="X12" s="143"/>
      <c r="Y12" s="141">
        <v>4185657</v>
      </c>
      <c r="Z12" s="142">
        <v>9.0035466470000003</v>
      </c>
      <c r="AA12" s="143"/>
      <c r="AB12" s="141">
        <v>40132625</v>
      </c>
      <c r="AC12" s="142">
        <v>100</v>
      </c>
      <c r="AD12" s="143"/>
      <c r="AE12" s="141">
        <v>34218568</v>
      </c>
      <c r="AF12" s="142">
        <v>85.263717486700003</v>
      </c>
      <c r="AG12" s="143"/>
      <c r="AH12" s="141">
        <v>9572177</v>
      </c>
      <c r="AI12" s="142">
        <v>23.851360333399999</v>
      </c>
      <c r="AJ12" s="143"/>
      <c r="AK12" s="141">
        <v>3713473</v>
      </c>
      <c r="AL12" s="142">
        <v>9.2530030119000006</v>
      </c>
    </row>
    <row r="13" spans="2:38" ht="6.95" customHeight="1" x14ac:dyDescent="0.25">
      <c r="B13" s="10"/>
      <c r="C13" s="10"/>
      <c r="D13" s="141"/>
      <c r="E13" s="145"/>
      <c r="F13" s="143"/>
      <c r="G13" s="141"/>
      <c r="H13" s="145"/>
      <c r="I13" s="143"/>
      <c r="J13" s="141"/>
      <c r="K13" s="145"/>
      <c r="L13" s="143"/>
      <c r="M13" s="141"/>
      <c r="N13" s="145"/>
      <c r="O13" s="143"/>
      <c r="P13" s="141"/>
      <c r="Q13" s="145"/>
      <c r="R13" s="143"/>
      <c r="S13" s="141"/>
      <c r="T13" s="145"/>
      <c r="U13" s="143"/>
      <c r="V13" s="141"/>
      <c r="W13" s="145"/>
      <c r="X13" s="143"/>
      <c r="Y13" s="141"/>
      <c r="Z13" s="145"/>
      <c r="AA13" s="143"/>
      <c r="AB13" s="141"/>
      <c r="AC13" s="145"/>
      <c r="AD13" s="143"/>
      <c r="AE13" s="141"/>
      <c r="AF13" s="145"/>
      <c r="AG13" s="143"/>
      <c r="AH13" s="141"/>
      <c r="AI13" s="145"/>
      <c r="AJ13" s="143"/>
      <c r="AK13" s="141"/>
      <c r="AL13" s="145"/>
    </row>
    <row r="14" spans="2:38" ht="15" customHeight="1" x14ac:dyDescent="0.25">
      <c r="B14" s="50" t="s">
        <v>2</v>
      </c>
      <c r="C14" s="50"/>
      <c r="D14" s="147">
        <v>86621605</v>
      </c>
      <c r="E14" s="145">
        <v>100</v>
      </c>
      <c r="F14" s="148"/>
      <c r="G14" s="147">
        <v>73836459</v>
      </c>
      <c r="H14" s="145">
        <v>85.240234234900001</v>
      </c>
      <c r="I14" s="148"/>
      <c r="J14" s="147">
        <v>9011616</v>
      </c>
      <c r="K14" s="145">
        <v>10.403427643700001</v>
      </c>
      <c r="L14" s="148"/>
      <c r="M14" s="147">
        <v>3773530</v>
      </c>
      <c r="N14" s="145">
        <v>4.3563381214000003</v>
      </c>
      <c r="O14" s="148"/>
      <c r="P14" s="147">
        <v>46488980</v>
      </c>
      <c r="Q14" s="145">
        <v>100</v>
      </c>
      <c r="R14" s="148"/>
      <c r="S14" s="147">
        <v>40150774</v>
      </c>
      <c r="T14" s="145">
        <v>86.3662184027</v>
      </c>
      <c r="U14" s="148"/>
      <c r="V14" s="147">
        <v>4213768</v>
      </c>
      <c r="W14" s="145">
        <v>9.0640147406999994</v>
      </c>
      <c r="X14" s="148"/>
      <c r="Y14" s="147">
        <v>2124438</v>
      </c>
      <c r="Z14" s="145">
        <v>4.5697668566000003</v>
      </c>
      <c r="AA14" s="148"/>
      <c r="AB14" s="147">
        <v>40132625</v>
      </c>
      <c r="AC14" s="145">
        <v>100</v>
      </c>
      <c r="AD14" s="148"/>
      <c r="AE14" s="147">
        <v>33685685</v>
      </c>
      <c r="AF14" s="145">
        <v>83.935912490099994</v>
      </c>
      <c r="AG14" s="148"/>
      <c r="AH14" s="147">
        <v>4797848</v>
      </c>
      <c r="AI14" s="145">
        <v>11.954981763599999</v>
      </c>
      <c r="AJ14" s="148"/>
      <c r="AK14" s="147">
        <v>1649092</v>
      </c>
      <c r="AL14" s="145">
        <v>4.1091057463</v>
      </c>
    </row>
    <row r="15" spans="2:38" ht="15" customHeight="1" x14ac:dyDescent="0.25">
      <c r="B15" s="50" t="s">
        <v>3</v>
      </c>
      <c r="C15" s="50"/>
      <c r="D15" s="147">
        <v>86621605</v>
      </c>
      <c r="E15" s="145">
        <v>100</v>
      </c>
      <c r="F15" s="148"/>
      <c r="G15" s="147">
        <v>63646667</v>
      </c>
      <c r="H15" s="145">
        <v>73.476665550099995</v>
      </c>
      <c r="I15" s="148"/>
      <c r="J15" s="147">
        <v>16434888</v>
      </c>
      <c r="K15" s="145">
        <v>18.973197275699999</v>
      </c>
      <c r="L15" s="148"/>
      <c r="M15" s="147">
        <v>6540050</v>
      </c>
      <c r="N15" s="145">
        <v>7.5501371741999996</v>
      </c>
      <c r="O15" s="148"/>
      <c r="P15" s="147">
        <v>46488980</v>
      </c>
      <c r="Q15" s="145">
        <v>100</v>
      </c>
      <c r="R15" s="148"/>
      <c r="S15" s="147">
        <v>35295173</v>
      </c>
      <c r="T15" s="145">
        <v>75.921590449999997</v>
      </c>
      <c r="U15" s="148"/>
      <c r="V15" s="147">
        <v>7814804</v>
      </c>
      <c r="W15" s="145">
        <v>16.8100139001</v>
      </c>
      <c r="X15" s="148"/>
      <c r="Y15" s="147">
        <v>3379003</v>
      </c>
      <c r="Z15" s="145">
        <v>7.2683956499000004</v>
      </c>
      <c r="AA15" s="148"/>
      <c r="AB15" s="147">
        <v>40132625</v>
      </c>
      <c r="AC15" s="145">
        <v>100</v>
      </c>
      <c r="AD15" s="148"/>
      <c r="AE15" s="147">
        <v>28351494</v>
      </c>
      <c r="AF15" s="145">
        <v>70.644504315399999</v>
      </c>
      <c r="AG15" s="148"/>
      <c r="AH15" s="147">
        <v>8620084</v>
      </c>
      <c r="AI15" s="145">
        <v>21.478993711499999</v>
      </c>
      <c r="AJ15" s="148"/>
      <c r="AK15" s="147">
        <v>3161047</v>
      </c>
      <c r="AL15" s="145">
        <v>7.8765019730999999</v>
      </c>
    </row>
    <row r="16" spans="2:38" ht="6.95" customHeight="1" x14ac:dyDescent="0.25">
      <c r="B16" s="162"/>
      <c r="C16" s="11"/>
      <c r="D16" s="141"/>
      <c r="E16" s="145"/>
      <c r="F16" s="143"/>
      <c r="G16" s="141"/>
      <c r="H16" s="145"/>
      <c r="I16" s="143"/>
      <c r="J16" s="141"/>
      <c r="K16" s="145"/>
      <c r="L16" s="143"/>
      <c r="M16" s="141"/>
      <c r="N16" s="145"/>
      <c r="O16" s="143"/>
      <c r="P16" s="141"/>
      <c r="Q16" s="145"/>
      <c r="R16" s="143"/>
      <c r="S16" s="141"/>
      <c r="T16" s="145"/>
      <c r="U16" s="143"/>
      <c r="V16" s="141"/>
      <c r="W16" s="145"/>
      <c r="X16" s="143"/>
      <c r="Y16" s="141"/>
      <c r="Z16" s="145"/>
      <c r="AA16" s="143"/>
      <c r="AB16" s="141"/>
      <c r="AC16" s="145"/>
      <c r="AD16" s="143"/>
      <c r="AE16" s="141"/>
      <c r="AF16" s="145"/>
      <c r="AG16" s="143"/>
      <c r="AH16" s="141"/>
      <c r="AI16" s="145"/>
      <c r="AJ16" s="143"/>
      <c r="AK16" s="141"/>
      <c r="AL16" s="145"/>
    </row>
    <row r="17" spans="2:38" ht="15" customHeight="1" x14ac:dyDescent="0.25">
      <c r="B17" s="161" t="s">
        <v>6</v>
      </c>
      <c r="C17" s="20"/>
      <c r="D17" s="141">
        <v>29898068</v>
      </c>
      <c r="E17" s="142">
        <v>100</v>
      </c>
      <c r="F17" s="143"/>
      <c r="G17" s="141">
        <v>28467957</v>
      </c>
      <c r="H17" s="142">
        <v>95.216710992800003</v>
      </c>
      <c r="I17" s="143"/>
      <c r="J17" s="141">
        <v>2692323</v>
      </c>
      <c r="K17" s="142">
        <v>9.0050066111000007</v>
      </c>
      <c r="L17" s="143"/>
      <c r="M17" s="141">
        <v>1434141</v>
      </c>
      <c r="N17" s="142">
        <v>4.7967681390000001</v>
      </c>
      <c r="O17" s="143"/>
      <c r="P17" s="141">
        <v>16352530</v>
      </c>
      <c r="Q17" s="142">
        <v>100</v>
      </c>
      <c r="R17" s="143"/>
      <c r="S17" s="141">
        <v>15611807</v>
      </c>
      <c r="T17" s="142">
        <v>95.470285026200003</v>
      </c>
      <c r="U17" s="143"/>
      <c r="V17" s="141">
        <v>1328575</v>
      </c>
      <c r="W17" s="142">
        <v>8.12458378</v>
      </c>
      <c r="X17" s="143"/>
      <c r="Y17" s="187">
        <v>804029</v>
      </c>
      <c r="Z17" s="142">
        <v>4.9168477293999997</v>
      </c>
      <c r="AA17" s="143"/>
      <c r="AB17" s="141">
        <v>13545538</v>
      </c>
      <c r="AC17" s="142">
        <v>100</v>
      </c>
      <c r="AD17" s="143"/>
      <c r="AE17" s="141">
        <v>12856150</v>
      </c>
      <c r="AF17" s="142">
        <v>94.910589745500005</v>
      </c>
      <c r="AG17" s="143"/>
      <c r="AH17" s="141">
        <v>1363748</v>
      </c>
      <c r="AI17" s="142">
        <v>10.067876226099999</v>
      </c>
      <c r="AJ17" s="143"/>
      <c r="AK17" s="187">
        <v>630112</v>
      </c>
      <c r="AL17" s="189">
        <v>4.6518048968999999</v>
      </c>
    </row>
    <row r="18" spans="2:38" ht="6.95" customHeight="1" x14ac:dyDescent="0.25">
      <c r="B18" s="163"/>
      <c r="C18" s="21"/>
      <c r="D18" s="141"/>
      <c r="E18" s="145"/>
      <c r="F18" s="143"/>
      <c r="G18" s="141"/>
      <c r="H18" s="145"/>
      <c r="I18" s="143"/>
      <c r="J18" s="141"/>
      <c r="K18" s="145"/>
      <c r="L18" s="143"/>
      <c r="M18" s="141"/>
      <c r="N18" s="145"/>
      <c r="O18" s="143"/>
      <c r="P18" s="141"/>
      <c r="Q18" s="145"/>
      <c r="R18" s="143"/>
      <c r="S18" s="141"/>
      <c r="T18" s="145"/>
      <c r="U18" s="143"/>
      <c r="V18" s="141"/>
      <c r="W18" s="145"/>
      <c r="X18" s="143"/>
      <c r="Y18" s="141"/>
      <c r="Z18" s="145"/>
      <c r="AA18" s="143"/>
      <c r="AB18" s="141"/>
      <c r="AC18" s="145"/>
      <c r="AD18" s="143"/>
      <c r="AE18" s="141"/>
      <c r="AF18" s="145"/>
      <c r="AG18" s="143"/>
      <c r="AH18" s="141"/>
      <c r="AI18" s="145"/>
      <c r="AJ18" s="143"/>
      <c r="AK18" s="141"/>
      <c r="AL18" s="145"/>
    </row>
    <row r="19" spans="2:38" ht="15" customHeight="1" x14ac:dyDescent="0.25">
      <c r="B19" s="50" t="s">
        <v>2</v>
      </c>
      <c r="C19" s="50"/>
      <c r="D19" s="147">
        <v>29898068</v>
      </c>
      <c r="E19" s="145">
        <v>100</v>
      </c>
      <c r="F19" s="148"/>
      <c r="G19" s="147">
        <v>28117239</v>
      </c>
      <c r="H19" s="145">
        <v>94.043665296399993</v>
      </c>
      <c r="I19" s="148"/>
      <c r="J19" s="147">
        <v>1194532</v>
      </c>
      <c r="K19" s="145">
        <v>3.9953484619999999</v>
      </c>
      <c r="L19" s="148"/>
      <c r="M19" s="186">
        <v>586297</v>
      </c>
      <c r="N19" s="145">
        <v>1.9609862416999999</v>
      </c>
      <c r="O19" s="148"/>
      <c r="P19" s="147">
        <v>16352530</v>
      </c>
      <c r="Q19" s="145">
        <v>100</v>
      </c>
      <c r="R19" s="148"/>
      <c r="S19" s="147">
        <v>15408492</v>
      </c>
      <c r="T19" s="145">
        <v>94.226960598800005</v>
      </c>
      <c r="U19" s="148"/>
      <c r="V19" s="186">
        <v>622514</v>
      </c>
      <c r="W19" s="188">
        <v>3.8068360064000002</v>
      </c>
      <c r="X19" s="148"/>
      <c r="Y19" s="186">
        <v>321524</v>
      </c>
      <c r="Z19" s="188">
        <v>1.9662033947999999</v>
      </c>
      <c r="AA19" s="148"/>
      <c r="AB19" s="147">
        <v>13545538</v>
      </c>
      <c r="AC19" s="145">
        <v>100</v>
      </c>
      <c r="AD19" s="148"/>
      <c r="AE19" s="147">
        <v>12708747</v>
      </c>
      <c r="AF19" s="145">
        <v>93.822386382900007</v>
      </c>
      <c r="AG19" s="148"/>
      <c r="AH19" s="186">
        <v>572018</v>
      </c>
      <c r="AI19" s="188">
        <v>4.2229256600999996</v>
      </c>
      <c r="AJ19" s="148"/>
      <c r="AK19" s="186">
        <v>264773</v>
      </c>
      <c r="AL19" s="188">
        <v>1.954687957</v>
      </c>
    </row>
    <row r="20" spans="2:38" ht="15" customHeight="1" x14ac:dyDescent="0.25">
      <c r="B20" s="50" t="s">
        <v>3</v>
      </c>
      <c r="C20" s="50"/>
      <c r="D20" s="147">
        <v>29898068</v>
      </c>
      <c r="E20" s="145">
        <v>100</v>
      </c>
      <c r="F20" s="148"/>
      <c r="G20" s="147">
        <v>26415640</v>
      </c>
      <c r="H20" s="145">
        <v>88.352330993400003</v>
      </c>
      <c r="I20" s="148"/>
      <c r="J20" s="147">
        <v>2315368</v>
      </c>
      <c r="K20" s="145">
        <v>7.7442060804999997</v>
      </c>
      <c r="L20" s="148"/>
      <c r="M20" s="147">
        <v>1167060</v>
      </c>
      <c r="N20" s="145">
        <v>3.9034629261</v>
      </c>
      <c r="O20" s="148"/>
      <c r="P20" s="147">
        <v>16352530</v>
      </c>
      <c r="Q20" s="145">
        <v>100</v>
      </c>
      <c r="R20" s="148"/>
      <c r="S20" s="147">
        <v>14621777</v>
      </c>
      <c r="T20" s="145">
        <v>89.415992509999995</v>
      </c>
      <c r="U20" s="148"/>
      <c r="V20" s="186">
        <v>1080989</v>
      </c>
      <c r="W20" s="145">
        <v>6.6105306028999999</v>
      </c>
      <c r="X20" s="148"/>
      <c r="Y20" s="186">
        <v>649764</v>
      </c>
      <c r="Z20" s="188">
        <v>3.9734768870999999</v>
      </c>
      <c r="AA20" s="148"/>
      <c r="AB20" s="147">
        <v>13545538</v>
      </c>
      <c r="AC20" s="145">
        <v>100</v>
      </c>
      <c r="AD20" s="148"/>
      <c r="AE20" s="147">
        <v>11793863</v>
      </c>
      <c r="AF20" s="145">
        <v>87.068250814400002</v>
      </c>
      <c r="AG20" s="148"/>
      <c r="AH20" s="147">
        <v>1234379</v>
      </c>
      <c r="AI20" s="145">
        <v>9.1128089560000003</v>
      </c>
      <c r="AJ20" s="148"/>
      <c r="AK20" s="186">
        <v>517296</v>
      </c>
      <c r="AL20" s="188">
        <v>3.8189402295999999</v>
      </c>
    </row>
    <row r="21" spans="2:38" ht="6.95" customHeight="1" x14ac:dyDescent="0.25">
      <c r="B21" s="164"/>
      <c r="C21" s="22"/>
      <c r="D21" s="141"/>
      <c r="E21" s="150"/>
      <c r="F21" s="143"/>
      <c r="G21" s="141"/>
      <c r="H21" s="150"/>
      <c r="I21" s="143"/>
      <c r="J21" s="141"/>
      <c r="K21" s="150"/>
      <c r="L21" s="143"/>
      <c r="M21" s="141"/>
      <c r="N21" s="150"/>
      <c r="O21" s="143"/>
      <c r="P21" s="141"/>
      <c r="Q21" s="150"/>
      <c r="R21" s="143"/>
      <c r="S21" s="141"/>
      <c r="T21" s="150"/>
      <c r="U21" s="143"/>
      <c r="V21" s="141"/>
      <c r="W21" s="150"/>
      <c r="X21" s="143"/>
      <c r="Y21" s="141"/>
      <c r="Z21" s="150"/>
      <c r="AA21" s="143"/>
      <c r="AB21" s="141"/>
      <c r="AC21" s="150"/>
      <c r="AD21" s="143"/>
      <c r="AE21" s="141"/>
      <c r="AF21" s="150"/>
      <c r="AG21" s="143"/>
      <c r="AH21" s="141"/>
      <c r="AI21" s="150"/>
      <c r="AJ21" s="143"/>
      <c r="AK21" s="141"/>
      <c r="AL21" s="150"/>
    </row>
    <row r="22" spans="2:38" ht="15" customHeight="1" x14ac:dyDescent="0.25">
      <c r="B22" s="161" t="s">
        <v>7</v>
      </c>
      <c r="C22" s="20"/>
      <c r="D22" s="141">
        <v>56723537</v>
      </c>
      <c r="E22" s="142">
        <v>100</v>
      </c>
      <c r="F22" s="143"/>
      <c r="G22" s="141">
        <v>46641660</v>
      </c>
      <c r="H22" s="142">
        <v>82.226289943799998</v>
      </c>
      <c r="I22" s="143"/>
      <c r="J22" s="141">
        <v>15694223</v>
      </c>
      <c r="K22" s="142">
        <v>27.667920285000001</v>
      </c>
      <c r="L22" s="143"/>
      <c r="M22" s="141">
        <v>6464989</v>
      </c>
      <c r="N22" s="142">
        <v>11.3973657884</v>
      </c>
      <c r="O22" s="143"/>
      <c r="P22" s="141">
        <v>30136450</v>
      </c>
      <c r="Q22" s="142">
        <v>100</v>
      </c>
      <c r="R22" s="143"/>
      <c r="S22" s="141">
        <v>25279242</v>
      </c>
      <c r="T22" s="142">
        <v>83.882613911099995</v>
      </c>
      <c r="U22" s="143"/>
      <c r="V22" s="141">
        <v>7485794</v>
      </c>
      <c r="W22" s="142">
        <v>24.8396675786</v>
      </c>
      <c r="X22" s="143"/>
      <c r="Y22" s="141">
        <v>3381628</v>
      </c>
      <c r="Z22" s="142">
        <v>11.2210562293</v>
      </c>
      <c r="AA22" s="143"/>
      <c r="AB22" s="141">
        <v>26587087</v>
      </c>
      <c r="AC22" s="142">
        <v>100</v>
      </c>
      <c r="AD22" s="143"/>
      <c r="AE22" s="141">
        <v>21362418</v>
      </c>
      <c r="AF22" s="142">
        <v>80.348847543900007</v>
      </c>
      <c r="AG22" s="143"/>
      <c r="AH22" s="141">
        <v>8208429</v>
      </c>
      <c r="AI22" s="142">
        <v>30.8737433326</v>
      </c>
      <c r="AJ22" s="143"/>
      <c r="AK22" s="141">
        <v>3083361</v>
      </c>
      <c r="AL22" s="142">
        <v>11.5972125867</v>
      </c>
    </row>
    <row r="23" spans="2:38" ht="6.95" customHeight="1" x14ac:dyDescent="0.25">
      <c r="B23" s="161"/>
      <c r="C23" s="20"/>
      <c r="D23" s="141"/>
      <c r="E23" s="145"/>
      <c r="F23" s="143"/>
      <c r="G23" s="141"/>
      <c r="H23" s="145"/>
      <c r="I23" s="143"/>
      <c r="J23" s="141"/>
      <c r="K23" s="145"/>
      <c r="L23" s="143"/>
      <c r="M23" s="141"/>
      <c r="N23" s="145"/>
      <c r="O23" s="143"/>
      <c r="P23" s="141"/>
      <c r="Q23" s="145"/>
      <c r="R23" s="143"/>
      <c r="S23" s="141"/>
      <c r="T23" s="145"/>
      <c r="U23" s="143"/>
      <c r="V23" s="141"/>
      <c r="W23" s="145"/>
      <c r="X23" s="143"/>
      <c r="Y23" s="141"/>
      <c r="Z23" s="145"/>
      <c r="AA23" s="143"/>
      <c r="AB23" s="141"/>
      <c r="AC23" s="145"/>
      <c r="AD23" s="143"/>
      <c r="AE23" s="141"/>
      <c r="AF23" s="145"/>
      <c r="AG23" s="143"/>
      <c r="AH23" s="141"/>
      <c r="AI23" s="145"/>
      <c r="AJ23" s="143"/>
      <c r="AK23" s="141"/>
      <c r="AL23" s="145"/>
    </row>
    <row r="24" spans="2:38" ht="15" customHeight="1" x14ac:dyDescent="0.25">
      <c r="B24" s="50" t="s">
        <v>2</v>
      </c>
      <c r="C24" s="50"/>
      <c r="D24" s="147">
        <v>56723537</v>
      </c>
      <c r="E24" s="145">
        <v>100</v>
      </c>
      <c r="F24" s="148"/>
      <c r="G24" s="147">
        <v>45719220</v>
      </c>
      <c r="H24" s="145">
        <v>80.600086697699993</v>
      </c>
      <c r="I24" s="148"/>
      <c r="J24" s="147">
        <v>7817084</v>
      </c>
      <c r="K24" s="145">
        <v>13.7810235635</v>
      </c>
      <c r="L24" s="148"/>
      <c r="M24" s="147">
        <v>3187233</v>
      </c>
      <c r="N24" s="145">
        <v>5.6188897388000001</v>
      </c>
      <c r="O24" s="148"/>
      <c r="P24" s="147">
        <v>30136450</v>
      </c>
      <c r="Q24" s="145">
        <v>100</v>
      </c>
      <c r="R24" s="148"/>
      <c r="S24" s="147">
        <v>24742282</v>
      </c>
      <c r="T24" s="145">
        <v>82.100851294700007</v>
      </c>
      <c r="U24" s="148"/>
      <c r="V24" s="147">
        <v>3591254</v>
      </c>
      <c r="W24" s="145">
        <v>11.9166457894</v>
      </c>
      <c r="X24" s="148"/>
      <c r="Y24" s="147">
        <v>1802914</v>
      </c>
      <c r="Z24" s="145">
        <v>5.9825029158999996</v>
      </c>
      <c r="AA24" s="148"/>
      <c r="AB24" s="147">
        <v>26587087</v>
      </c>
      <c r="AC24" s="145">
        <v>100</v>
      </c>
      <c r="AD24" s="148"/>
      <c r="AE24" s="147">
        <v>20976938</v>
      </c>
      <c r="AF24" s="145">
        <v>78.8989707673</v>
      </c>
      <c r="AG24" s="148"/>
      <c r="AH24" s="147">
        <v>4225830</v>
      </c>
      <c r="AI24" s="145">
        <v>15.8942948507</v>
      </c>
      <c r="AJ24" s="148"/>
      <c r="AK24" s="147">
        <v>1384319</v>
      </c>
      <c r="AL24" s="145">
        <v>5.2067343819999996</v>
      </c>
    </row>
    <row r="25" spans="2:38" ht="15" customHeight="1" x14ac:dyDescent="0.25">
      <c r="B25" s="50" t="s">
        <v>3</v>
      </c>
      <c r="C25" s="50"/>
      <c r="D25" s="147">
        <v>56723537</v>
      </c>
      <c r="E25" s="145">
        <v>100</v>
      </c>
      <c r="F25" s="148"/>
      <c r="G25" s="147">
        <v>37231027</v>
      </c>
      <c r="H25" s="145">
        <v>65.635940509099996</v>
      </c>
      <c r="I25" s="148"/>
      <c r="J25" s="147">
        <v>14119520</v>
      </c>
      <c r="K25" s="145">
        <v>24.8918187172</v>
      </c>
      <c r="L25" s="148"/>
      <c r="M25" s="147">
        <v>5372990</v>
      </c>
      <c r="N25" s="145">
        <v>9.4722407736999994</v>
      </c>
      <c r="O25" s="148"/>
      <c r="P25" s="147">
        <v>30136450</v>
      </c>
      <c r="Q25" s="145">
        <v>100</v>
      </c>
      <c r="R25" s="148"/>
      <c r="S25" s="147">
        <v>20673396</v>
      </c>
      <c r="T25" s="145">
        <v>68.599307483100006</v>
      </c>
      <c r="U25" s="148"/>
      <c r="V25" s="147">
        <v>6733815</v>
      </c>
      <c r="W25" s="145">
        <v>22.344420129100001</v>
      </c>
      <c r="X25" s="148"/>
      <c r="Y25" s="147">
        <v>2729239</v>
      </c>
      <c r="Z25" s="145">
        <v>9.0562723878</v>
      </c>
      <c r="AA25" s="148"/>
      <c r="AB25" s="147">
        <v>26587087</v>
      </c>
      <c r="AC25" s="145">
        <v>100</v>
      </c>
      <c r="AD25" s="148"/>
      <c r="AE25" s="147">
        <v>16557631</v>
      </c>
      <c r="AF25" s="145">
        <v>62.2769655058</v>
      </c>
      <c r="AG25" s="148"/>
      <c r="AH25" s="147">
        <v>7385705</v>
      </c>
      <c r="AI25" s="145">
        <v>27.779293760200002</v>
      </c>
      <c r="AJ25" s="148"/>
      <c r="AK25" s="147">
        <v>2643751</v>
      </c>
      <c r="AL25" s="145">
        <v>9.9437407340000004</v>
      </c>
    </row>
    <row r="26" spans="2:38" ht="6.95" customHeight="1" x14ac:dyDescent="0.25">
      <c r="B26" s="12"/>
      <c r="C26" s="12"/>
      <c r="D26" s="115"/>
      <c r="E26" s="13"/>
      <c r="F26" s="13"/>
      <c r="G26" s="115"/>
      <c r="H26" s="13"/>
      <c r="I26" s="13"/>
      <c r="J26" s="115"/>
      <c r="K26" s="13"/>
      <c r="L26" s="13"/>
      <c r="M26" s="115"/>
      <c r="N26" s="13"/>
      <c r="O26" s="14"/>
      <c r="P26" s="123"/>
      <c r="Q26" s="97"/>
      <c r="R26" s="97"/>
      <c r="S26" s="124"/>
      <c r="T26" s="23"/>
      <c r="U26" s="23"/>
      <c r="V26" s="124"/>
      <c r="W26" s="23"/>
      <c r="X26" s="23"/>
      <c r="Y26" s="124"/>
      <c r="Z26" s="23"/>
      <c r="AA26" s="23"/>
      <c r="AB26" s="124"/>
      <c r="AC26" s="23"/>
      <c r="AD26" s="23"/>
      <c r="AE26" s="124"/>
      <c r="AF26" s="23"/>
      <c r="AG26" s="23"/>
      <c r="AH26" s="124"/>
      <c r="AI26" s="23"/>
      <c r="AJ26" s="23"/>
      <c r="AK26" s="124"/>
      <c r="AL26" s="23"/>
    </row>
    <row r="27" spans="2:38" ht="6.95" customHeight="1" x14ac:dyDescent="0.25">
      <c r="B27" s="9"/>
      <c r="C27" s="9"/>
      <c r="D27" s="116"/>
      <c r="E27" s="8"/>
      <c r="F27" s="8"/>
      <c r="G27" s="116"/>
      <c r="H27" s="8"/>
      <c r="I27" s="8"/>
      <c r="J27" s="116"/>
      <c r="K27" s="8"/>
      <c r="L27" s="8"/>
      <c r="M27" s="116"/>
      <c r="N27" s="8"/>
      <c r="O27" s="2"/>
    </row>
    <row r="28" spans="2:38" s="107" customFormat="1" ht="12" customHeight="1" x14ac:dyDescent="0.25">
      <c r="B28" s="108" t="s">
        <v>55</v>
      </c>
      <c r="C28" s="8"/>
      <c r="D28" s="116"/>
      <c r="E28" s="8"/>
      <c r="F28" s="8"/>
      <c r="G28" s="116"/>
      <c r="H28" s="8"/>
      <c r="I28" s="8"/>
      <c r="J28" s="116"/>
      <c r="K28" s="106"/>
      <c r="L28" s="106"/>
      <c r="M28" s="121"/>
      <c r="P28" s="122"/>
      <c r="S28" s="122"/>
      <c r="V28" s="122"/>
      <c r="Y28" s="122"/>
      <c r="AB28" s="122"/>
      <c r="AE28" s="122"/>
      <c r="AH28" s="122"/>
      <c r="AK28" s="122"/>
    </row>
    <row r="29" spans="2:38" ht="24" customHeight="1" x14ac:dyDescent="0.25">
      <c r="B29" s="236" t="s">
        <v>88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197"/>
      <c r="R29" s="197"/>
      <c r="S29" s="197"/>
    </row>
    <row r="30" spans="2:38" ht="12" customHeight="1" x14ac:dyDescent="0.25">
      <c r="B30" s="198" t="s">
        <v>89</v>
      </c>
      <c r="C30" s="198"/>
    </row>
    <row r="31" spans="2:38" ht="12" customHeight="1" x14ac:dyDescent="0.25">
      <c r="B31" s="199" t="s">
        <v>90</v>
      </c>
      <c r="C31" s="199"/>
    </row>
    <row r="32" spans="2:38" ht="12" customHeight="1" x14ac:dyDescent="0.25">
      <c r="B32" s="200" t="s">
        <v>91</v>
      </c>
      <c r="C32" s="200"/>
    </row>
    <row r="33" spans="2:7" ht="12" customHeight="1" x14ac:dyDescent="0.25">
      <c r="B33" s="231" t="s">
        <v>65</v>
      </c>
      <c r="C33" s="231"/>
      <c r="D33" s="231"/>
      <c r="E33" s="231"/>
      <c r="F33" s="231"/>
      <c r="G33" s="231"/>
    </row>
  </sheetData>
  <mergeCells count="21">
    <mergeCell ref="B33:G33"/>
    <mergeCell ref="P8:Q9"/>
    <mergeCell ref="B7:B10"/>
    <mergeCell ref="S9:T9"/>
    <mergeCell ref="V9:W9"/>
    <mergeCell ref="G9:H9"/>
    <mergeCell ref="J9:K9"/>
    <mergeCell ref="D7:N7"/>
    <mergeCell ref="P7:Z7"/>
    <mergeCell ref="D8:E9"/>
    <mergeCell ref="M9:N9"/>
    <mergeCell ref="S8:Z8"/>
    <mergeCell ref="G8:N8"/>
    <mergeCell ref="Y9:Z9"/>
    <mergeCell ref="B29:P29"/>
    <mergeCell ref="AB8:AC9"/>
    <mergeCell ref="AH9:AI9"/>
    <mergeCell ref="AB7:AL7"/>
    <mergeCell ref="AE8:AL8"/>
    <mergeCell ref="AK9:AL9"/>
    <mergeCell ref="AE9:AF9"/>
  </mergeCells>
  <hyperlinks>
    <hyperlink ref="AL1" location="Índice!A1" tooltip="Ir a ÍNDICE" display="INDICE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BF43-C520-463E-A7EC-90047E97AC48}">
  <dimension ref="B1:S65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9" customWidth="1"/>
    <col min="5" max="5" width="15.7109375" customWidth="1"/>
    <col min="6" max="6" width="1.7109375" customWidth="1"/>
    <col min="7" max="7" width="15.7109375" style="109" customWidth="1"/>
    <col min="8" max="8" width="15.7109375" customWidth="1"/>
    <col min="9" max="9" width="1.7109375" customWidth="1"/>
    <col min="10" max="10" width="15.7109375" style="109" customWidth="1"/>
    <col min="11" max="11" width="15.7109375" customWidth="1"/>
  </cols>
  <sheetData>
    <row r="1" spans="2:11" x14ac:dyDescent="0.25">
      <c r="B1" s="251" t="s">
        <v>94</v>
      </c>
      <c r="C1" s="42"/>
      <c r="K1" s="51" t="s">
        <v>27</v>
      </c>
    </row>
    <row r="2" spans="2:11" ht="6.95" customHeight="1" x14ac:dyDescent="0.25"/>
    <row r="3" spans="2:11" x14ac:dyDescent="0.25">
      <c r="B3" s="42" t="s">
        <v>87</v>
      </c>
    </row>
    <row r="4" spans="2:11" ht="6.95" customHeight="1" x14ac:dyDescent="0.25">
      <c r="B4" s="24"/>
      <c r="C4" s="24"/>
      <c r="D4" s="126"/>
      <c r="E4" s="25"/>
      <c r="F4" s="25"/>
      <c r="G4" s="126"/>
      <c r="H4" s="26"/>
      <c r="I4" s="26"/>
      <c r="J4" s="130"/>
    </row>
    <row r="5" spans="2:11" x14ac:dyDescent="0.25">
      <c r="B5" s="54" t="s">
        <v>85</v>
      </c>
      <c r="C5" s="54"/>
      <c r="D5" s="126"/>
      <c r="E5" s="25"/>
      <c r="F5" s="25"/>
      <c r="G5" s="126"/>
      <c r="H5" s="27"/>
      <c r="I5" s="27"/>
      <c r="J5" s="131"/>
      <c r="K5" s="53" t="s">
        <v>13</v>
      </c>
    </row>
    <row r="6" spans="2:11" ht="6.95" customHeight="1" x14ac:dyDescent="0.25">
      <c r="B6" s="28"/>
      <c r="C6" s="28"/>
      <c r="D6" s="127"/>
      <c r="E6" s="55"/>
      <c r="F6" s="55"/>
      <c r="G6" s="127"/>
      <c r="H6" s="29"/>
      <c r="I6" s="29"/>
      <c r="J6" s="132"/>
      <c r="K6" s="29"/>
    </row>
    <row r="7" spans="2:11" ht="15" customHeight="1" x14ac:dyDescent="0.25">
      <c r="B7" s="237" t="s">
        <v>86</v>
      </c>
      <c r="C7" s="183"/>
      <c r="D7" s="240" t="s">
        <v>21</v>
      </c>
      <c r="E7" s="240"/>
      <c r="F7" s="176"/>
      <c r="G7" s="242" t="s">
        <v>83</v>
      </c>
      <c r="H7" s="242"/>
      <c r="I7" s="242"/>
      <c r="J7" s="242"/>
      <c r="K7" s="242"/>
    </row>
    <row r="8" spans="2:11" ht="15" customHeight="1" x14ac:dyDescent="0.25">
      <c r="B8" s="238"/>
      <c r="C8" s="184"/>
      <c r="D8" s="241"/>
      <c r="E8" s="241"/>
      <c r="F8" s="177"/>
      <c r="G8" s="241" t="s">
        <v>8</v>
      </c>
      <c r="H8" s="241"/>
      <c r="I8" s="177"/>
      <c r="J8" s="241" t="s">
        <v>5</v>
      </c>
      <c r="K8" s="241"/>
    </row>
    <row r="9" spans="2:11" ht="15" customHeight="1" x14ac:dyDescent="0.25">
      <c r="B9" s="239"/>
      <c r="C9" s="185"/>
      <c r="D9" s="178" t="s">
        <v>84</v>
      </c>
      <c r="E9" s="179" t="s">
        <v>26</v>
      </c>
      <c r="F9" s="180"/>
      <c r="G9" s="178" t="s">
        <v>84</v>
      </c>
      <c r="H9" s="179" t="s">
        <v>26</v>
      </c>
      <c r="I9" s="180"/>
      <c r="J9" s="178" t="s">
        <v>84</v>
      </c>
      <c r="K9" s="179" t="s">
        <v>26</v>
      </c>
    </row>
    <row r="10" spans="2:11" ht="6.95" customHeight="1" x14ac:dyDescent="0.25">
      <c r="B10" s="31"/>
      <c r="C10" s="31"/>
      <c r="D10" s="177"/>
      <c r="E10" s="181"/>
      <c r="F10" s="182"/>
      <c r="G10" s="177"/>
      <c r="H10" s="181"/>
      <c r="I10" s="182"/>
      <c r="J10" s="177"/>
      <c r="K10" s="181"/>
    </row>
    <row r="11" spans="2:11" x14ac:dyDescent="0.25">
      <c r="B11" s="56" t="s">
        <v>1</v>
      </c>
      <c r="C11" s="56"/>
      <c r="D11" s="141">
        <v>86621605</v>
      </c>
      <c r="E11" s="142">
        <v>100</v>
      </c>
      <c r="F11" s="144"/>
      <c r="G11" s="141">
        <v>46488980</v>
      </c>
      <c r="H11" s="142">
        <v>100</v>
      </c>
      <c r="I11" s="144"/>
      <c r="J11" s="141">
        <v>40132625</v>
      </c>
      <c r="K11" s="142">
        <v>100</v>
      </c>
    </row>
    <row r="12" spans="2:11" ht="6.95" customHeight="1" x14ac:dyDescent="0.25">
      <c r="B12" s="31"/>
      <c r="C12" s="31"/>
      <c r="D12" s="141"/>
      <c r="E12" s="145"/>
      <c r="F12" s="144"/>
      <c r="G12" s="141"/>
      <c r="H12" s="145"/>
      <c r="I12" s="146"/>
      <c r="J12" s="141"/>
      <c r="K12" s="145"/>
    </row>
    <row r="13" spans="2:11" x14ac:dyDescent="0.25">
      <c r="B13" s="158" t="s">
        <v>59</v>
      </c>
      <c r="C13" s="57"/>
      <c r="D13" s="141">
        <v>32888255</v>
      </c>
      <c r="E13" s="142">
        <v>37.967727566400001</v>
      </c>
      <c r="F13" s="144"/>
      <c r="G13" s="141">
        <v>16190812</v>
      </c>
      <c r="H13" s="142">
        <v>34.8272042105</v>
      </c>
      <c r="I13" s="144"/>
      <c r="J13" s="141">
        <v>16697443</v>
      </c>
      <c r="K13" s="142">
        <v>41.605658737699997</v>
      </c>
    </row>
    <row r="14" spans="2:11" ht="6.95" customHeight="1" x14ac:dyDescent="0.25">
      <c r="B14" s="158"/>
      <c r="C14" s="57"/>
      <c r="D14" s="141"/>
      <c r="E14" s="142"/>
      <c r="F14" s="144"/>
      <c r="G14" s="141"/>
      <c r="H14" s="142"/>
      <c r="I14" s="144"/>
      <c r="J14" s="141"/>
      <c r="K14" s="142"/>
    </row>
    <row r="15" spans="2:11" x14ac:dyDescent="0.25">
      <c r="B15" s="159" t="s">
        <v>66</v>
      </c>
      <c r="C15" s="57"/>
      <c r="D15" s="147">
        <v>4203775</v>
      </c>
      <c r="E15" s="145">
        <v>12.781994666499999</v>
      </c>
      <c r="F15" s="144"/>
      <c r="G15" s="147">
        <v>1806893</v>
      </c>
      <c r="H15" s="145">
        <v>11.1599899993</v>
      </c>
      <c r="I15" s="144"/>
      <c r="J15" s="147">
        <v>2396882</v>
      </c>
      <c r="K15" s="145">
        <v>14.3547847416</v>
      </c>
    </row>
    <row r="16" spans="2:11" x14ac:dyDescent="0.25">
      <c r="B16" s="159" t="s">
        <v>9</v>
      </c>
      <c r="C16" s="57"/>
      <c r="D16" s="147">
        <v>28684480</v>
      </c>
      <c r="E16" s="145">
        <v>87.218005333500003</v>
      </c>
      <c r="F16" s="144"/>
      <c r="G16" s="147">
        <v>14383919</v>
      </c>
      <c r="H16" s="145">
        <v>88.840010000700005</v>
      </c>
      <c r="I16" s="144"/>
      <c r="J16" s="147">
        <v>14300561</v>
      </c>
      <c r="K16" s="145">
        <v>85.6452152584</v>
      </c>
    </row>
    <row r="17" spans="2:11" ht="6.95" customHeight="1" x14ac:dyDescent="0.25">
      <c r="B17" s="159"/>
      <c r="C17" s="57"/>
      <c r="D17" s="147"/>
      <c r="E17" s="145"/>
      <c r="F17" s="144"/>
      <c r="G17" s="141"/>
      <c r="H17" s="142"/>
      <c r="I17" s="144"/>
      <c r="J17" s="141"/>
      <c r="K17" s="142"/>
    </row>
    <row r="18" spans="2:11" x14ac:dyDescent="0.25">
      <c r="B18" s="158" t="s">
        <v>58</v>
      </c>
      <c r="C18" s="57"/>
      <c r="D18" s="141">
        <v>53733350</v>
      </c>
      <c r="E18" s="142">
        <v>62.032272433599999</v>
      </c>
      <c r="F18" s="144"/>
      <c r="G18" s="141">
        <v>30298168</v>
      </c>
      <c r="H18" s="142">
        <v>65.1727957895</v>
      </c>
      <c r="I18" s="144"/>
      <c r="J18" s="141">
        <v>23435182</v>
      </c>
      <c r="K18" s="142">
        <v>58.394341262300003</v>
      </c>
    </row>
    <row r="19" spans="2:11" ht="6.95" customHeight="1" x14ac:dyDescent="0.25">
      <c r="B19" s="160"/>
      <c r="C19" s="58"/>
      <c r="D19" s="147"/>
      <c r="E19" s="145"/>
      <c r="F19" s="146"/>
      <c r="G19" s="147"/>
      <c r="H19" s="145"/>
      <c r="I19" s="146"/>
      <c r="J19" s="147"/>
      <c r="K19" s="145"/>
    </row>
    <row r="20" spans="2:11" x14ac:dyDescent="0.25">
      <c r="B20" s="153" t="s">
        <v>56</v>
      </c>
      <c r="C20" s="59"/>
      <c r="D20" s="141">
        <v>15989360</v>
      </c>
      <c r="E20" s="142">
        <v>18.4588590802</v>
      </c>
      <c r="F20" s="144"/>
      <c r="G20" s="141">
        <v>7276875</v>
      </c>
      <c r="H20" s="142">
        <v>15.652903118099999</v>
      </c>
      <c r="I20" s="144"/>
      <c r="J20" s="141">
        <v>8712485</v>
      </c>
      <c r="K20" s="142">
        <v>21.709232824899999</v>
      </c>
    </row>
    <row r="21" spans="2:11" ht="6.95" customHeight="1" x14ac:dyDescent="0.25">
      <c r="B21" s="153"/>
      <c r="C21" s="59"/>
      <c r="D21" s="141"/>
      <c r="E21" s="142"/>
      <c r="F21" s="144"/>
      <c r="G21" s="141"/>
      <c r="H21" s="142"/>
      <c r="I21" s="144"/>
      <c r="J21" s="141"/>
      <c r="K21" s="142"/>
    </row>
    <row r="22" spans="2:11" ht="15" customHeight="1" x14ac:dyDescent="0.25">
      <c r="B22" s="159" t="s">
        <v>66</v>
      </c>
      <c r="C22" s="59"/>
      <c r="D22" s="147">
        <v>1082664</v>
      </c>
      <c r="E22" s="145">
        <v>6.7711528165999999</v>
      </c>
      <c r="F22" s="144"/>
      <c r="G22" s="186">
        <v>389683</v>
      </c>
      <c r="H22" s="188">
        <v>5.3550871767999997</v>
      </c>
      <c r="I22" s="144"/>
      <c r="J22" s="147">
        <v>692981</v>
      </c>
      <c r="K22" s="145">
        <v>7.9538845691000004</v>
      </c>
    </row>
    <row r="23" spans="2:11" x14ac:dyDescent="0.25">
      <c r="B23" s="159" t="s">
        <v>9</v>
      </c>
      <c r="C23" s="59"/>
      <c r="D23" s="147">
        <v>14906696</v>
      </c>
      <c r="E23" s="145">
        <v>93.228847183400006</v>
      </c>
      <c r="F23" s="144"/>
      <c r="G23" s="147">
        <v>6887192</v>
      </c>
      <c r="H23" s="145">
        <v>94.644912823200002</v>
      </c>
      <c r="I23" s="144"/>
      <c r="J23" s="147">
        <v>8019504</v>
      </c>
      <c r="K23" s="145">
        <v>92.046115430900002</v>
      </c>
    </row>
    <row r="24" spans="2:11" ht="6.95" customHeight="1" x14ac:dyDescent="0.25">
      <c r="B24" s="159"/>
      <c r="C24" s="59"/>
      <c r="D24" s="147"/>
      <c r="E24" s="145"/>
      <c r="F24" s="144"/>
      <c r="G24" s="141"/>
      <c r="H24" s="142"/>
      <c r="I24" s="144"/>
      <c r="J24" s="141"/>
      <c r="K24" s="142"/>
    </row>
    <row r="25" spans="2:11" x14ac:dyDescent="0.25">
      <c r="B25" s="153" t="s">
        <v>57</v>
      </c>
      <c r="C25" s="59"/>
      <c r="D25" s="141">
        <v>70632245</v>
      </c>
      <c r="E25" s="142">
        <v>81.5411409198</v>
      </c>
      <c r="F25" s="144"/>
      <c r="G25" s="141">
        <v>39212105</v>
      </c>
      <c r="H25" s="142">
        <v>84.347096881900001</v>
      </c>
      <c r="I25" s="144"/>
      <c r="J25" s="141">
        <v>31420140</v>
      </c>
      <c r="K25" s="142">
        <v>78.290767175100001</v>
      </c>
    </row>
    <row r="26" spans="2:11" ht="6.95" customHeight="1" x14ac:dyDescent="0.25">
      <c r="B26" s="32"/>
      <c r="C26" s="32"/>
      <c r="D26" s="141"/>
      <c r="E26" s="151"/>
      <c r="F26" s="33"/>
      <c r="G26" s="141"/>
      <c r="H26" s="151"/>
      <c r="I26" s="151"/>
      <c r="J26" s="141"/>
      <c r="K26" s="151"/>
    </row>
    <row r="27" spans="2:11" x14ac:dyDescent="0.25">
      <c r="B27" s="100" t="s">
        <v>6</v>
      </c>
      <c r="C27" s="100"/>
      <c r="D27" s="141">
        <v>29898068</v>
      </c>
      <c r="E27" s="142">
        <v>100</v>
      </c>
      <c r="F27" s="144"/>
      <c r="G27" s="141">
        <v>16352530</v>
      </c>
      <c r="H27" s="142">
        <v>100</v>
      </c>
      <c r="I27" s="144"/>
      <c r="J27" s="141">
        <v>13545538</v>
      </c>
      <c r="K27" s="142">
        <v>100</v>
      </c>
    </row>
    <row r="28" spans="2:11" ht="7.5" customHeight="1" x14ac:dyDescent="0.25">
      <c r="B28" s="57"/>
      <c r="C28" s="57"/>
      <c r="D28" s="141"/>
      <c r="E28" s="145"/>
      <c r="F28" s="144"/>
      <c r="G28" s="141"/>
      <c r="H28" s="145"/>
      <c r="I28" s="146"/>
      <c r="J28" s="141"/>
      <c r="K28" s="145"/>
    </row>
    <row r="29" spans="2:11" x14ac:dyDescent="0.25">
      <c r="B29" s="158" t="s">
        <v>59</v>
      </c>
      <c r="C29" s="57"/>
      <c r="D29" s="141">
        <v>8759897</v>
      </c>
      <c r="E29" s="142">
        <v>29.299207560799999</v>
      </c>
      <c r="F29" s="144"/>
      <c r="G29" s="141">
        <v>4547478</v>
      </c>
      <c r="H29" s="142">
        <v>27.8090179318</v>
      </c>
      <c r="I29" s="144"/>
      <c r="J29" s="141">
        <v>4212419</v>
      </c>
      <c r="K29" s="142">
        <v>31.098203703700001</v>
      </c>
    </row>
    <row r="30" spans="2:11" ht="6.95" customHeight="1" x14ac:dyDescent="0.25">
      <c r="B30" s="158"/>
      <c r="C30" s="57"/>
      <c r="D30" s="141"/>
      <c r="E30" s="142"/>
      <c r="F30" s="144"/>
      <c r="G30" s="141"/>
      <c r="H30" s="142"/>
      <c r="I30" s="144"/>
      <c r="J30" s="141"/>
      <c r="K30" s="142"/>
    </row>
    <row r="31" spans="2:11" x14ac:dyDescent="0.25">
      <c r="B31" s="159" t="s">
        <v>66</v>
      </c>
      <c r="C31" s="57"/>
      <c r="D31" s="186">
        <v>717323</v>
      </c>
      <c r="E31" s="188">
        <v>8.1887150043000005</v>
      </c>
      <c r="F31" s="144"/>
      <c r="G31" s="190">
        <v>290366</v>
      </c>
      <c r="H31" s="188">
        <v>6.3852095600999998</v>
      </c>
      <c r="I31" s="144"/>
      <c r="J31" s="186">
        <v>426957</v>
      </c>
      <c r="K31" s="188">
        <v>10.135672638500001</v>
      </c>
    </row>
    <row r="32" spans="2:11" x14ac:dyDescent="0.25">
      <c r="B32" s="159" t="s">
        <v>9</v>
      </c>
      <c r="C32" s="57"/>
      <c r="D32" s="147">
        <v>8042574</v>
      </c>
      <c r="E32" s="145">
        <v>91.811284995700007</v>
      </c>
      <c r="F32" s="144"/>
      <c r="G32" s="147">
        <v>4257112</v>
      </c>
      <c r="H32" s="145">
        <v>93.614790439900005</v>
      </c>
      <c r="I32" s="144"/>
      <c r="J32" s="147">
        <v>3785462</v>
      </c>
      <c r="K32" s="145">
        <v>89.864327361500003</v>
      </c>
    </row>
    <row r="33" spans="2:11" ht="6.95" customHeight="1" x14ac:dyDescent="0.25">
      <c r="B33" s="159"/>
      <c r="C33" s="57"/>
      <c r="D33" s="147"/>
      <c r="E33" s="145"/>
      <c r="F33" s="144"/>
      <c r="G33" s="141"/>
      <c r="H33" s="142"/>
      <c r="I33" s="144"/>
      <c r="J33" s="141"/>
      <c r="K33" s="142"/>
    </row>
    <row r="34" spans="2:11" x14ac:dyDescent="0.25">
      <c r="B34" s="158" t="s">
        <v>58</v>
      </c>
      <c r="C34" s="57"/>
      <c r="D34" s="141">
        <v>21138171</v>
      </c>
      <c r="E34" s="142">
        <v>70.700792439200001</v>
      </c>
      <c r="F34" s="144"/>
      <c r="G34" s="141">
        <v>11805052</v>
      </c>
      <c r="H34" s="142">
        <v>72.1909820682</v>
      </c>
      <c r="I34" s="144"/>
      <c r="J34" s="141">
        <v>9333119</v>
      </c>
      <c r="K34" s="142">
        <v>68.901796296300006</v>
      </c>
    </row>
    <row r="35" spans="2:11" ht="7.5" customHeight="1" x14ac:dyDescent="0.25">
      <c r="B35" s="160"/>
      <c r="C35" s="58"/>
      <c r="D35" s="147"/>
      <c r="E35" s="145"/>
      <c r="F35" s="146"/>
      <c r="G35" s="147"/>
      <c r="H35" s="145"/>
      <c r="I35" s="146"/>
      <c r="J35" s="147"/>
      <c r="K35" s="145"/>
    </row>
    <row r="36" spans="2:11" x14ac:dyDescent="0.25">
      <c r="B36" s="153" t="s">
        <v>56</v>
      </c>
      <c r="C36" s="58"/>
      <c r="D36" s="141">
        <v>4330359</v>
      </c>
      <c r="E36" s="142">
        <v>14.483741892599999</v>
      </c>
      <c r="F36" s="144"/>
      <c r="G36" s="141">
        <v>1893886</v>
      </c>
      <c r="H36" s="142">
        <v>11.581608472799999</v>
      </c>
      <c r="I36" s="144"/>
      <c r="J36" s="141">
        <v>2436473</v>
      </c>
      <c r="K36" s="142">
        <v>17.987273742799999</v>
      </c>
    </row>
    <row r="37" spans="2:11" ht="6.95" customHeight="1" x14ac:dyDescent="0.25">
      <c r="B37" s="153"/>
      <c r="C37" s="58"/>
      <c r="D37" s="141"/>
      <c r="E37" s="142"/>
      <c r="F37" s="144"/>
      <c r="G37" s="141"/>
      <c r="H37" s="142"/>
      <c r="I37" s="144"/>
      <c r="J37" s="141"/>
      <c r="K37" s="142"/>
    </row>
    <row r="38" spans="2:11" ht="15" customHeight="1" x14ac:dyDescent="0.25">
      <c r="B38" s="159" t="s">
        <v>66</v>
      </c>
      <c r="C38" s="59"/>
      <c r="D38" s="186">
        <v>235239</v>
      </c>
      <c r="E38" s="188">
        <v>5.4323209692000001</v>
      </c>
      <c r="F38" s="144"/>
      <c r="G38" s="190">
        <v>91668</v>
      </c>
      <c r="H38" s="191">
        <v>4.8402068550999999</v>
      </c>
      <c r="I38" s="144"/>
      <c r="J38" s="186">
        <v>143571</v>
      </c>
      <c r="K38" s="188">
        <v>5.8925750460000001</v>
      </c>
    </row>
    <row r="39" spans="2:11" x14ac:dyDescent="0.25">
      <c r="B39" s="159" t="s">
        <v>9</v>
      </c>
      <c r="C39" s="59"/>
      <c r="D39" s="147">
        <v>4095120</v>
      </c>
      <c r="E39" s="145">
        <v>94.567679030799994</v>
      </c>
      <c r="F39" s="144"/>
      <c r="G39" s="147">
        <v>1802218</v>
      </c>
      <c r="H39" s="145">
        <v>95.159793144899993</v>
      </c>
      <c r="I39" s="144"/>
      <c r="J39" s="147">
        <v>2292902</v>
      </c>
      <c r="K39" s="145">
        <v>94.107424953999995</v>
      </c>
    </row>
    <row r="40" spans="2:11" ht="6.95" customHeight="1" x14ac:dyDescent="0.25">
      <c r="B40" s="159"/>
      <c r="C40" s="59"/>
      <c r="D40" s="147"/>
      <c r="E40" s="145"/>
      <c r="F40" s="144"/>
      <c r="G40" s="141"/>
      <c r="H40" s="142"/>
      <c r="I40" s="144"/>
      <c r="J40" s="141"/>
      <c r="K40" s="142"/>
    </row>
    <row r="41" spans="2:11" x14ac:dyDescent="0.25">
      <c r="B41" s="153" t="s">
        <v>57</v>
      </c>
      <c r="C41" s="60"/>
      <c r="D41" s="141">
        <v>25567709</v>
      </c>
      <c r="E41" s="142">
        <v>85.516258107400006</v>
      </c>
      <c r="F41" s="144"/>
      <c r="G41" s="141">
        <v>14458644</v>
      </c>
      <c r="H41" s="142">
        <v>88.418391527200001</v>
      </c>
      <c r="I41" s="144"/>
      <c r="J41" s="141">
        <v>11109065</v>
      </c>
      <c r="K41" s="142">
        <v>82.012726257200001</v>
      </c>
    </row>
    <row r="42" spans="2:11" ht="7.5" customHeight="1" x14ac:dyDescent="0.25">
      <c r="B42" s="152"/>
      <c r="C42" s="60"/>
      <c r="D42" s="141"/>
      <c r="E42" s="151"/>
      <c r="F42" s="33"/>
      <c r="G42" s="141"/>
      <c r="H42" s="151"/>
      <c r="I42" s="151"/>
      <c r="J42" s="141"/>
      <c r="K42" s="151"/>
    </row>
    <row r="43" spans="2:11" x14ac:dyDescent="0.25">
      <c r="B43" s="100" t="s">
        <v>7</v>
      </c>
      <c r="C43" s="100"/>
      <c r="D43" s="141">
        <v>56723537</v>
      </c>
      <c r="E43" s="142">
        <v>100</v>
      </c>
      <c r="F43" s="144"/>
      <c r="G43" s="141">
        <v>30136450</v>
      </c>
      <c r="H43" s="142">
        <v>100</v>
      </c>
      <c r="I43" s="144"/>
      <c r="J43" s="141">
        <v>26587087</v>
      </c>
      <c r="K43" s="142">
        <v>100</v>
      </c>
    </row>
    <row r="44" spans="2:11" ht="6.95" customHeight="1" x14ac:dyDescent="0.25">
      <c r="B44" s="100"/>
      <c r="C44" s="100"/>
      <c r="D44" s="141"/>
      <c r="E44" s="145"/>
      <c r="F44" s="144"/>
      <c r="G44" s="141"/>
      <c r="H44" s="145"/>
      <c r="I44" s="146"/>
      <c r="J44" s="141"/>
      <c r="K44" s="145"/>
    </row>
    <row r="45" spans="2:11" x14ac:dyDescent="0.25">
      <c r="B45" s="158" t="s">
        <v>59</v>
      </c>
      <c r="C45" s="100"/>
      <c r="D45" s="141">
        <v>24128358</v>
      </c>
      <c r="E45" s="142">
        <v>42.536765646299997</v>
      </c>
      <c r="F45" s="144"/>
      <c r="G45" s="141">
        <v>11643334</v>
      </c>
      <c r="H45" s="142">
        <v>38.635386716100001</v>
      </c>
      <c r="I45" s="144"/>
      <c r="J45" s="141">
        <v>12485024</v>
      </c>
      <c r="K45" s="142">
        <v>46.958976739299999</v>
      </c>
    </row>
    <row r="46" spans="2:11" ht="6.95" customHeight="1" x14ac:dyDescent="0.25">
      <c r="B46" s="158"/>
      <c r="C46" s="100"/>
      <c r="D46" s="141"/>
      <c r="E46" s="142"/>
      <c r="F46" s="144"/>
      <c r="G46" s="141"/>
      <c r="H46" s="142"/>
      <c r="I46" s="144"/>
      <c r="J46" s="141"/>
      <c r="K46" s="142"/>
    </row>
    <row r="47" spans="2:11" x14ac:dyDescent="0.25">
      <c r="B47" s="159" t="s">
        <v>66</v>
      </c>
      <c r="C47" s="100"/>
      <c r="D47" s="147">
        <v>3486452</v>
      </c>
      <c r="E47" s="145">
        <v>14.4496032428</v>
      </c>
      <c r="F47" s="144"/>
      <c r="G47" s="147">
        <v>1516527</v>
      </c>
      <c r="H47" s="145">
        <v>13.0248518165</v>
      </c>
      <c r="I47" s="144"/>
      <c r="J47" s="147">
        <v>1969925</v>
      </c>
      <c r="K47" s="145">
        <v>15.7783036701</v>
      </c>
    </row>
    <row r="48" spans="2:11" x14ac:dyDescent="0.25">
      <c r="B48" s="159" t="s">
        <v>9</v>
      </c>
      <c r="C48" s="100"/>
      <c r="D48" s="147">
        <v>20641906</v>
      </c>
      <c r="E48" s="145">
        <v>85.550396757200005</v>
      </c>
      <c r="F48" s="144"/>
      <c r="G48" s="147">
        <v>10126807</v>
      </c>
      <c r="H48" s="145">
        <v>86.975148183499996</v>
      </c>
      <c r="I48" s="144"/>
      <c r="J48" s="147">
        <v>10515099</v>
      </c>
      <c r="K48" s="145">
        <v>84.221696329899999</v>
      </c>
    </row>
    <row r="49" spans="2:19" ht="6.95" customHeight="1" x14ac:dyDescent="0.25">
      <c r="B49" s="159"/>
      <c r="C49" s="100"/>
      <c r="D49" s="147"/>
      <c r="E49" s="145"/>
      <c r="F49" s="144"/>
      <c r="G49" s="141"/>
      <c r="H49" s="142"/>
      <c r="I49" s="144"/>
      <c r="J49" s="141"/>
      <c r="K49" s="142"/>
    </row>
    <row r="50" spans="2:19" x14ac:dyDescent="0.25">
      <c r="B50" s="158" t="s">
        <v>58</v>
      </c>
      <c r="C50" s="100"/>
      <c r="D50" s="141">
        <v>32595179</v>
      </c>
      <c r="E50" s="142">
        <v>57.463234353700003</v>
      </c>
      <c r="F50" s="144"/>
      <c r="G50" s="141">
        <v>18493116</v>
      </c>
      <c r="H50" s="142">
        <v>61.364613283899999</v>
      </c>
      <c r="I50" s="144"/>
      <c r="J50" s="141">
        <v>14102063</v>
      </c>
      <c r="K50" s="142">
        <v>53.041023260700001</v>
      </c>
    </row>
    <row r="51" spans="2:19" ht="6.95" customHeight="1" x14ac:dyDescent="0.25">
      <c r="B51" s="159"/>
      <c r="C51" s="57"/>
      <c r="D51" s="141"/>
      <c r="E51" s="142"/>
      <c r="F51" s="144"/>
      <c r="G51" s="141"/>
      <c r="H51" s="142"/>
      <c r="I51" s="144"/>
      <c r="J51" s="141"/>
      <c r="K51" s="142"/>
    </row>
    <row r="52" spans="2:19" x14ac:dyDescent="0.25">
      <c r="B52" s="153" t="s">
        <v>56</v>
      </c>
      <c r="C52" s="57"/>
      <c r="D52" s="141">
        <v>11659001</v>
      </c>
      <c r="E52" s="142">
        <v>20.554079693599999</v>
      </c>
      <c r="F52" s="144"/>
      <c r="G52" s="141">
        <v>5382989</v>
      </c>
      <c r="H52" s="142">
        <v>17.862054090600001</v>
      </c>
      <c r="I52" s="144"/>
      <c r="J52" s="141">
        <v>6276012</v>
      </c>
      <c r="K52" s="142">
        <v>23.605489386599999</v>
      </c>
    </row>
    <row r="53" spans="2:19" ht="6.95" customHeight="1" x14ac:dyDescent="0.25">
      <c r="B53" s="153"/>
      <c r="C53" s="57"/>
      <c r="D53" s="141"/>
      <c r="E53" s="142"/>
      <c r="F53" s="144"/>
      <c r="G53" s="141"/>
      <c r="H53" s="142"/>
      <c r="I53" s="144"/>
      <c r="J53" s="141"/>
      <c r="K53" s="142"/>
    </row>
    <row r="54" spans="2:19" x14ac:dyDescent="0.25">
      <c r="B54" s="159" t="s">
        <v>66</v>
      </c>
      <c r="C54" s="57"/>
      <c r="D54" s="147">
        <v>847425</v>
      </c>
      <c r="E54" s="145">
        <v>7.2684186234999997</v>
      </c>
      <c r="F54" s="144"/>
      <c r="G54" s="186">
        <v>298015</v>
      </c>
      <c r="H54" s="188">
        <v>5.5362364664000001</v>
      </c>
      <c r="I54" s="144"/>
      <c r="J54" s="186">
        <v>549410</v>
      </c>
      <c r="K54" s="188">
        <v>8.7541260277999999</v>
      </c>
    </row>
    <row r="55" spans="2:19" x14ac:dyDescent="0.25">
      <c r="B55" s="159" t="s">
        <v>9</v>
      </c>
      <c r="C55" s="57"/>
      <c r="D55" s="147">
        <v>10811576</v>
      </c>
      <c r="E55" s="145">
        <v>92.731581376500003</v>
      </c>
      <c r="F55" s="144"/>
      <c r="G55" s="147">
        <v>5084974</v>
      </c>
      <c r="H55" s="145">
        <v>94.463763533600002</v>
      </c>
      <c r="I55" s="144"/>
      <c r="J55" s="147">
        <v>5726602</v>
      </c>
      <c r="K55" s="145">
        <v>91.245873972200002</v>
      </c>
    </row>
    <row r="56" spans="2:19" ht="6.95" customHeight="1" x14ac:dyDescent="0.25">
      <c r="B56" s="159"/>
      <c r="C56" s="57"/>
      <c r="D56" s="147"/>
      <c r="E56" s="145"/>
      <c r="F56" s="144"/>
      <c r="G56" s="141"/>
      <c r="H56" s="142"/>
      <c r="I56" s="144"/>
      <c r="J56" s="141"/>
      <c r="K56" s="142"/>
    </row>
    <row r="57" spans="2:19" x14ac:dyDescent="0.25">
      <c r="B57" s="153" t="s">
        <v>57</v>
      </c>
      <c r="C57" s="57"/>
      <c r="D57" s="141">
        <v>45064536</v>
      </c>
      <c r="E57" s="142">
        <v>79.445920306399998</v>
      </c>
      <c r="F57" s="144"/>
      <c r="G57" s="141">
        <v>24753461</v>
      </c>
      <c r="H57" s="142">
        <v>82.137945909400003</v>
      </c>
      <c r="I57" s="144"/>
      <c r="J57" s="141">
        <v>20311075</v>
      </c>
      <c r="K57" s="142">
        <v>76.394510613400001</v>
      </c>
    </row>
    <row r="58" spans="2:19" ht="6.95" customHeight="1" x14ac:dyDescent="0.25">
      <c r="B58" s="34"/>
      <c r="C58" s="34"/>
      <c r="D58" s="128"/>
      <c r="E58" s="35"/>
      <c r="F58" s="35"/>
      <c r="G58" s="128"/>
      <c r="H58" s="34"/>
      <c r="I58" s="34"/>
      <c r="J58" s="134"/>
      <c r="K58" s="36"/>
    </row>
    <row r="59" spans="2:19" ht="6.95" customHeight="1" x14ac:dyDescent="0.25">
      <c r="B59" s="31"/>
      <c r="C59" s="31"/>
      <c r="D59" s="129"/>
      <c r="E59" s="38"/>
      <c r="F59" s="38"/>
      <c r="G59" s="129"/>
      <c r="H59" s="31"/>
      <c r="I59" s="31"/>
      <c r="J59" s="133"/>
      <c r="K59" s="30"/>
    </row>
    <row r="60" spans="2:19" ht="36" customHeight="1" x14ac:dyDescent="0.25">
      <c r="B60" s="236" t="s">
        <v>88</v>
      </c>
      <c r="C60" s="236"/>
      <c r="D60" s="236"/>
      <c r="E60" s="236"/>
      <c r="F60" s="236"/>
      <c r="G60" s="236"/>
      <c r="H60" s="236"/>
      <c r="I60" s="236"/>
      <c r="J60" s="236"/>
      <c r="K60" s="236"/>
      <c r="L60" s="197"/>
      <c r="M60" s="197"/>
      <c r="N60" s="197"/>
      <c r="O60" s="197"/>
      <c r="P60" s="197"/>
      <c r="Q60" s="197"/>
      <c r="R60" s="197"/>
      <c r="S60" s="197"/>
    </row>
    <row r="61" spans="2:19" ht="12" customHeight="1" x14ac:dyDescent="0.25">
      <c r="B61" s="201" t="s">
        <v>92</v>
      </c>
      <c r="C61" s="201"/>
      <c r="D61" s="202"/>
      <c r="E61" s="203"/>
      <c r="F61" s="203"/>
      <c r="G61" s="202"/>
      <c r="H61" s="204"/>
      <c r="I61" s="204"/>
      <c r="J61" s="205"/>
      <c r="K61" s="204"/>
    </row>
    <row r="62" spans="2:19" ht="12" customHeight="1" x14ac:dyDescent="0.25">
      <c r="B62" s="198" t="s">
        <v>89</v>
      </c>
      <c r="C62" s="198"/>
    </row>
    <row r="63" spans="2:19" ht="12" customHeight="1" x14ac:dyDescent="0.25">
      <c r="B63" s="199" t="s">
        <v>90</v>
      </c>
      <c r="C63" s="206"/>
    </row>
    <row r="64" spans="2:19" ht="12" customHeight="1" x14ac:dyDescent="0.25">
      <c r="B64" s="200" t="s">
        <v>91</v>
      </c>
      <c r="C64" s="206"/>
    </row>
    <row r="65" spans="2:7" ht="12" customHeight="1" x14ac:dyDescent="0.25">
      <c r="B65" s="231" t="s">
        <v>65</v>
      </c>
      <c r="C65" s="231"/>
      <c r="D65" s="231"/>
      <c r="E65" s="231"/>
      <c r="F65" s="231"/>
      <c r="G65" s="231"/>
    </row>
  </sheetData>
  <mergeCells count="7">
    <mergeCell ref="B65:G65"/>
    <mergeCell ref="B7:B9"/>
    <mergeCell ref="D7:E8"/>
    <mergeCell ref="G7:K7"/>
    <mergeCell ref="G8:H8"/>
    <mergeCell ref="J8:K8"/>
    <mergeCell ref="B60:K60"/>
  </mergeCells>
  <hyperlinks>
    <hyperlink ref="K1" location="Índice!A1" tooltip="Ir a ÍNDICE" display="INDICE" xr:uid="{EAE5A279-17C8-492B-B618-8AE5A4D451F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908B-E111-4D2E-9863-A0F0A48DC3DF}">
  <dimension ref="B1:K51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9" customWidth="1"/>
    <col min="5" max="5" width="15.7109375" customWidth="1"/>
    <col min="6" max="6" width="1.7109375" customWidth="1"/>
    <col min="7" max="7" width="15.7109375" style="109" customWidth="1"/>
    <col min="8" max="8" width="15.7109375" customWidth="1"/>
    <col min="9" max="9" width="1.7109375" customWidth="1"/>
    <col min="10" max="10" width="15.7109375" style="109" customWidth="1"/>
    <col min="11" max="11" width="15.7109375" customWidth="1"/>
  </cols>
  <sheetData>
    <row r="1" spans="2:11" x14ac:dyDescent="0.25">
      <c r="B1" s="251" t="s">
        <v>94</v>
      </c>
      <c r="C1" s="42"/>
      <c r="K1" s="51" t="s">
        <v>27</v>
      </c>
    </row>
    <row r="2" spans="2:11" ht="6.95" customHeight="1" x14ac:dyDescent="0.25"/>
    <row r="3" spans="2:11" x14ac:dyDescent="0.25">
      <c r="B3" s="42" t="s">
        <v>87</v>
      </c>
      <c r="G3" s="135"/>
    </row>
    <row r="4" spans="2:11" ht="6.95" customHeight="1" x14ac:dyDescent="0.25">
      <c r="B4" s="39"/>
      <c r="C4" s="39"/>
      <c r="D4" s="126"/>
      <c r="E4" s="25"/>
      <c r="F4" s="25"/>
      <c r="G4" s="126"/>
      <c r="H4" s="26"/>
      <c r="I4" s="26"/>
      <c r="J4" s="130"/>
    </row>
    <row r="5" spans="2:11" ht="30" customHeight="1" x14ac:dyDescent="0.25">
      <c r="B5" s="243" t="s">
        <v>38</v>
      </c>
      <c r="C5" s="243"/>
      <c r="D5" s="243"/>
      <c r="E5" s="243"/>
      <c r="F5" s="243"/>
      <c r="G5" s="243"/>
      <c r="H5" s="27"/>
      <c r="I5" s="27"/>
      <c r="J5" s="131"/>
      <c r="K5" s="53" t="s">
        <v>14</v>
      </c>
    </row>
    <row r="6" spans="2:11" ht="6.95" customHeight="1" x14ac:dyDescent="0.25">
      <c r="B6" s="28"/>
      <c r="C6" s="28"/>
      <c r="D6" s="127"/>
      <c r="E6" s="55"/>
      <c r="F6" s="55"/>
      <c r="G6" s="127"/>
      <c r="H6" s="29"/>
      <c r="I6" s="29"/>
      <c r="J6" s="132"/>
      <c r="K6" s="29"/>
    </row>
    <row r="7" spans="2:11" ht="15" customHeight="1" x14ac:dyDescent="0.25">
      <c r="B7" s="237" t="s">
        <v>37</v>
      </c>
      <c r="C7" s="183"/>
      <c r="D7" s="240" t="s">
        <v>21</v>
      </c>
      <c r="E7" s="240"/>
      <c r="F7" s="176"/>
      <c r="G7" s="242" t="s">
        <v>83</v>
      </c>
      <c r="H7" s="242"/>
      <c r="I7" s="242"/>
      <c r="J7" s="242"/>
      <c r="K7" s="242"/>
    </row>
    <row r="8" spans="2:11" x14ac:dyDescent="0.25">
      <c r="B8" s="238"/>
      <c r="C8" s="184"/>
      <c r="D8" s="241"/>
      <c r="E8" s="241"/>
      <c r="F8" s="177"/>
      <c r="G8" s="241" t="s">
        <v>8</v>
      </c>
      <c r="H8" s="241"/>
      <c r="I8" s="177"/>
      <c r="J8" s="241" t="s">
        <v>5</v>
      </c>
      <c r="K8" s="241"/>
    </row>
    <row r="9" spans="2:11" ht="15" customHeight="1" x14ac:dyDescent="0.25">
      <c r="B9" s="239"/>
      <c r="C9" s="34"/>
      <c r="D9" s="178" t="s">
        <v>84</v>
      </c>
      <c r="E9" s="179" t="s">
        <v>26</v>
      </c>
      <c r="F9" s="180"/>
      <c r="G9" s="178" t="s">
        <v>84</v>
      </c>
      <c r="H9" s="179" t="s">
        <v>26</v>
      </c>
      <c r="I9" s="180"/>
      <c r="J9" s="178" t="s">
        <v>84</v>
      </c>
      <c r="K9" s="179" t="s">
        <v>26</v>
      </c>
    </row>
    <row r="10" spans="2:11" ht="6.95" customHeight="1" x14ac:dyDescent="0.25">
      <c r="B10" s="31"/>
      <c r="C10" s="31"/>
      <c r="D10" s="177"/>
      <c r="E10" s="181"/>
      <c r="F10" s="182"/>
      <c r="G10" s="177"/>
      <c r="H10" s="181"/>
      <c r="I10" s="182"/>
      <c r="J10" s="177"/>
      <c r="K10" s="181"/>
    </row>
    <row r="11" spans="2:11" x14ac:dyDescent="0.25">
      <c r="B11" s="31" t="s">
        <v>1</v>
      </c>
      <c r="C11" s="31"/>
      <c r="D11" s="141">
        <v>86621605</v>
      </c>
      <c r="E11" s="142">
        <v>100</v>
      </c>
      <c r="F11" s="144"/>
      <c r="G11" s="141">
        <v>46488980</v>
      </c>
      <c r="H11" s="142">
        <v>100</v>
      </c>
      <c r="I11" s="144"/>
      <c r="J11" s="141">
        <v>40132625</v>
      </c>
      <c r="K11" s="142">
        <v>100</v>
      </c>
    </row>
    <row r="12" spans="2:11" ht="6.95" customHeight="1" x14ac:dyDescent="0.25">
      <c r="B12" s="31"/>
      <c r="C12" s="31"/>
      <c r="D12" s="141"/>
      <c r="E12" s="145"/>
      <c r="F12" s="144"/>
      <c r="G12" s="141"/>
      <c r="H12" s="145"/>
      <c r="I12" s="146"/>
      <c r="J12" s="141"/>
      <c r="K12" s="145"/>
    </row>
    <row r="13" spans="2:11" ht="30" customHeight="1" x14ac:dyDescent="0.25">
      <c r="B13" s="61" t="s">
        <v>16</v>
      </c>
      <c r="C13" s="61"/>
      <c r="D13" s="141">
        <v>8980214</v>
      </c>
      <c r="E13" s="142">
        <v>10.3671757179</v>
      </c>
      <c r="F13" s="144"/>
      <c r="G13" s="141">
        <v>5551592</v>
      </c>
      <c r="H13" s="142">
        <v>11.941737590300001</v>
      </c>
      <c r="I13" s="144"/>
      <c r="J13" s="141">
        <v>3428622</v>
      </c>
      <c r="K13" s="142">
        <v>8.5432288568000008</v>
      </c>
    </row>
    <row r="14" spans="2:11" ht="6.95" customHeight="1" x14ac:dyDescent="0.25">
      <c r="B14" s="61"/>
      <c r="C14" s="61"/>
      <c r="D14" s="141"/>
      <c r="E14" s="142"/>
      <c r="F14" s="144"/>
      <c r="G14" s="141"/>
      <c r="H14" s="142"/>
      <c r="I14" s="144"/>
      <c r="J14" s="141"/>
      <c r="K14" s="142"/>
    </row>
    <row r="15" spans="2:11" x14ac:dyDescent="0.25">
      <c r="B15" s="58" t="s">
        <v>61</v>
      </c>
      <c r="C15" s="58"/>
      <c r="D15" s="147">
        <v>3240419</v>
      </c>
      <c r="E15" s="145">
        <v>36.083984190099997</v>
      </c>
      <c r="F15" s="144"/>
      <c r="G15" s="147">
        <v>2062766</v>
      </c>
      <c r="H15" s="145">
        <v>37.156296788399999</v>
      </c>
      <c r="I15" s="146"/>
      <c r="J15" s="147">
        <v>1177653</v>
      </c>
      <c r="K15" s="145">
        <v>34.347705871300001</v>
      </c>
    </row>
    <row r="16" spans="2:11" x14ac:dyDescent="0.25">
      <c r="B16" s="58" t="s">
        <v>62</v>
      </c>
      <c r="C16" s="58"/>
      <c r="D16" s="147">
        <v>4456397</v>
      </c>
      <c r="E16" s="145">
        <v>49.624619190600001</v>
      </c>
      <c r="F16" s="144"/>
      <c r="G16" s="147">
        <v>2703135</v>
      </c>
      <c r="H16" s="145">
        <v>48.6911682271</v>
      </c>
      <c r="I16" s="146"/>
      <c r="J16" s="147">
        <v>1753262</v>
      </c>
      <c r="K16" s="145">
        <v>51.136054076500002</v>
      </c>
    </row>
    <row r="17" spans="2:11" x14ac:dyDescent="0.25">
      <c r="B17" s="58" t="s">
        <v>47</v>
      </c>
      <c r="C17" s="58"/>
      <c r="D17" s="147">
        <v>381455</v>
      </c>
      <c r="E17" s="145">
        <v>4.2477272813000004</v>
      </c>
      <c r="F17" s="146"/>
      <c r="G17" s="186">
        <v>210766</v>
      </c>
      <c r="H17" s="188">
        <v>3.7964965725000002</v>
      </c>
      <c r="I17" s="146"/>
      <c r="J17" s="186">
        <v>170689</v>
      </c>
      <c r="K17" s="188">
        <v>4.9783557359000001</v>
      </c>
    </row>
    <row r="18" spans="2:11" x14ac:dyDescent="0.25">
      <c r="B18" s="62" t="s">
        <v>63</v>
      </c>
      <c r="C18" s="62"/>
      <c r="D18" s="147">
        <v>901943</v>
      </c>
      <c r="E18" s="145">
        <v>10.043669337900001</v>
      </c>
      <c r="F18" s="146"/>
      <c r="G18" s="147">
        <v>574925</v>
      </c>
      <c r="H18" s="145">
        <v>10.356038412</v>
      </c>
      <c r="I18" s="146"/>
      <c r="J18" s="186">
        <v>327018</v>
      </c>
      <c r="K18" s="188">
        <v>9.5378843161999995</v>
      </c>
    </row>
    <row r="19" spans="2:11" ht="6.95" customHeight="1" x14ac:dyDescent="0.25">
      <c r="B19" s="62"/>
      <c r="C19" s="62"/>
      <c r="D19" s="147"/>
      <c r="E19" s="145"/>
      <c r="F19" s="146"/>
      <c r="G19" s="147"/>
      <c r="H19" s="145"/>
      <c r="I19" s="146"/>
      <c r="J19" s="147"/>
      <c r="K19" s="145"/>
    </row>
    <row r="20" spans="2:11" ht="30" customHeight="1" x14ac:dyDescent="0.25">
      <c r="B20" s="63" t="s">
        <v>17</v>
      </c>
      <c r="C20" s="63"/>
      <c r="D20" s="141">
        <v>77641391</v>
      </c>
      <c r="E20" s="142">
        <v>89.632824282100003</v>
      </c>
      <c r="F20" s="144"/>
      <c r="G20" s="141">
        <v>40937388</v>
      </c>
      <c r="H20" s="142">
        <v>88.058262409700006</v>
      </c>
      <c r="I20" s="144"/>
      <c r="J20" s="141">
        <v>36704003</v>
      </c>
      <c r="K20" s="142">
        <v>91.456771143200001</v>
      </c>
    </row>
    <row r="21" spans="2:11" ht="6.95" customHeight="1" x14ac:dyDescent="0.25">
      <c r="B21" s="32"/>
      <c r="C21" s="32"/>
      <c r="D21" s="141"/>
      <c r="E21" s="151"/>
      <c r="F21" s="33"/>
      <c r="G21" s="141"/>
      <c r="H21" s="151"/>
      <c r="I21" s="151"/>
      <c r="J21" s="141"/>
      <c r="K21" s="151"/>
    </row>
    <row r="22" spans="2:11" x14ac:dyDescent="0.25">
      <c r="B22" s="102" t="s">
        <v>6</v>
      </c>
      <c r="C22" s="102"/>
      <c r="D22" s="141">
        <v>29898068</v>
      </c>
      <c r="E22" s="142">
        <v>100</v>
      </c>
      <c r="F22" s="144"/>
      <c r="G22" s="141">
        <v>16352530</v>
      </c>
      <c r="H22" s="142">
        <v>100</v>
      </c>
      <c r="I22" s="144"/>
      <c r="J22" s="141">
        <v>13545538</v>
      </c>
      <c r="K22" s="142">
        <v>100</v>
      </c>
    </row>
    <row r="23" spans="2:11" ht="6.95" customHeight="1" x14ac:dyDescent="0.25">
      <c r="B23" s="102"/>
      <c r="C23" s="102"/>
      <c r="D23" s="141"/>
      <c r="E23" s="145"/>
      <c r="F23" s="144"/>
      <c r="G23" s="141"/>
      <c r="H23" s="145"/>
      <c r="I23" s="146"/>
      <c r="J23" s="141"/>
      <c r="K23" s="145"/>
    </row>
    <row r="24" spans="2:11" ht="30" customHeight="1" x14ac:dyDescent="0.25">
      <c r="B24" s="61" t="s">
        <v>16</v>
      </c>
      <c r="C24" s="61"/>
      <c r="D24" s="141">
        <v>4617262</v>
      </c>
      <c r="E24" s="142">
        <v>15.4433457038</v>
      </c>
      <c r="F24" s="144"/>
      <c r="G24" s="141">
        <v>2849799</v>
      </c>
      <c r="H24" s="142">
        <v>17.427266606500002</v>
      </c>
      <c r="I24" s="144"/>
      <c r="J24" s="141">
        <v>1767463</v>
      </c>
      <c r="K24" s="142">
        <v>13.0483041722</v>
      </c>
    </row>
    <row r="25" spans="2:11" ht="6.95" customHeight="1" x14ac:dyDescent="0.25">
      <c r="B25" s="61"/>
      <c r="C25" s="61"/>
      <c r="D25" s="141"/>
      <c r="E25" s="142"/>
      <c r="F25" s="144"/>
      <c r="G25" s="141"/>
      <c r="H25" s="142"/>
      <c r="I25" s="144"/>
      <c r="J25" s="141"/>
      <c r="K25" s="142"/>
    </row>
    <row r="26" spans="2:11" x14ac:dyDescent="0.25">
      <c r="B26" s="58" t="s">
        <v>61</v>
      </c>
      <c r="C26" s="58"/>
      <c r="D26" s="147">
        <v>1572398</v>
      </c>
      <c r="E26" s="145">
        <v>34.054770987700003</v>
      </c>
      <c r="F26" s="144"/>
      <c r="G26" s="147">
        <v>978869</v>
      </c>
      <c r="H26" s="145">
        <v>34.348703189200002</v>
      </c>
      <c r="I26" s="146"/>
      <c r="J26" s="186">
        <v>593529</v>
      </c>
      <c r="K26" s="145">
        <v>33.580844408099999</v>
      </c>
    </row>
    <row r="27" spans="2:11" x14ac:dyDescent="0.25">
      <c r="B27" s="58" t="s">
        <v>62</v>
      </c>
      <c r="C27" s="58"/>
      <c r="D27" s="147">
        <v>2382814</v>
      </c>
      <c r="E27" s="145">
        <v>51.606644803800002</v>
      </c>
      <c r="F27" s="144"/>
      <c r="G27" s="147">
        <v>1422489</v>
      </c>
      <c r="H27" s="145">
        <v>49.915415087200003</v>
      </c>
      <c r="I27" s="146"/>
      <c r="J27" s="147">
        <v>960325</v>
      </c>
      <c r="K27" s="145">
        <v>54.333527773999997</v>
      </c>
    </row>
    <row r="28" spans="2:11" x14ac:dyDescent="0.25">
      <c r="B28" s="58" t="s">
        <v>47</v>
      </c>
      <c r="C28" s="58"/>
      <c r="D28" s="186">
        <v>180778</v>
      </c>
      <c r="E28" s="188">
        <v>3.9152640677999999</v>
      </c>
      <c r="F28" s="146"/>
      <c r="G28" s="186">
        <v>135441</v>
      </c>
      <c r="H28" s="188">
        <v>4.7526509764</v>
      </c>
      <c r="I28" s="146"/>
      <c r="J28" s="190">
        <v>45337</v>
      </c>
      <c r="K28" s="191">
        <v>2.5650890569999998</v>
      </c>
    </row>
    <row r="29" spans="2:11" x14ac:dyDescent="0.25">
      <c r="B29" s="62" t="s">
        <v>63</v>
      </c>
      <c r="C29" s="62"/>
      <c r="D29" s="186">
        <v>481272</v>
      </c>
      <c r="E29" s="188">
        <v>10.4233201408</v>
      </c>
      <c r="F29" s="146"/>
      <c r="G29" s="186">
        <v>313000</v>
      </c>
      <c r="H29" s="188">
        <v>10.9832307472</v>
      </c>
      <c r="I29" s="146"/>
      <c r="J29" s="186">
        <v>168272</v>
      </c>
      <c r="K29" s="188">
        <v>9.5205387608999992</v>
      </c>
    </row>
    <row r="30" spans="2:11" ht="6.95" customHeight="1" x14ac:dyDescent="0.25">
      <c r="B30" s="62"/>
      <c r="C30" s="62"/>
      <c r="D30" s="147"/>
      <c r="E30" s="145"/>
      <c r="F30" s="146"/>
      <c r="G30" s="147"/>
      <c r="H30" s="145"/>
      <c r="I30" s="146"/>
      <c r="J30" s="147"/>
      <c r="K30" s="145"/>
    </row>
    <row r="31" spans="2:11" ht="30" customHeight="1" x14ac:dyDescent="0.25">
      <c r="B31" s="63" t="s">
        <v>17</v>
      </c>
      <c r="C31" s="63"/>
      <c r="D31" s="141">
        <v>25280806</v>
      </c>
      <c r="E31" s="142">
        <v>84.556654296199994</v>
      </c>
      <c r="F31" s="144"/>
      <c r="G31" s="141">
        <v>13502731</v>
      </c>
      <c r="H31" s="142">
        <v>82.572733393500002</v>
      </c>
      <c r="I31" s="144"/>
      <c r="J31" s="141">
        <v>11778075</v>
      </c>
      <c r="K31" s="142">
        <v>86.951695827799995</v>
      </c>
    </row>
    <row r="32" spans="2:11" ht="6.95" customHeight="1" x14ac:dyDescent="0.25">
      <c r="B32" s="103"/>
      <c r="C32" s="103"/>
      <c r="D32" s="141"/>
      <c r="E32" s="151"/>
      <c r="F32" s="33"/>
      <c r="G32" s="141"/>
      <c r="H32" s="151"/>
      <c r="I32" s="151"/>
      <c r="J32" s="141"/>
      <c r="K32" s="151"/>
    </row>
    <row r="33" spans="2:11" x14ac:dyDescent="0.25">
      <c r="B33" s="102" t="s">
        <v>7</v>
      </c>
      <c r="C33" s="102"/>
      <c r="D33" s="141">
        <v>56723537</v>
      </c>
      <c r="E33" s="142">
        <v>100</v>
      </c>
      <c r="F33" s="144"/>
      <c r="G33" s="141">
        <v>30136450</v>
      </c>
      <c r="H33" s="142">
        <v>100</v>
      </c>
      <c r="I33" s="144"/>
      <c r="J33" s="141">
        <v>26587087</v>
      </c>
      <c r="K33" s="142">
        <v>100</v>
      </c>
    </row>
    <row r="34" spans="2:11" ht="6.95" customHeight="1" x14ac:dyDescent="0.25">
      <c r="B34" s="102"/>
      <c r="C34" s="102"/>
      <c r="D34" s="141"/>
      <c r="E34" s="145"/>
      <c r="F34" s="144"/>
      <c r="G34" s="141"/>
      <c r="H34" s="145"/>
      <c r="I34" s="146"/>
      <c r="J34" s="141"/>
      <c r="K34" s="145"/>
    </row>
    <row r="35" spans="2:11" ht="30" customHeight="1" x14ac:dyDescent="0.25">
      <c r="B35" s="61" t="s">
        <v>16</v>
      </c>
      <c r="C35" s="61"/>
      <c r="D35" s="141">
        <v>4362952</v>
      </c>
      <c r="E35" s="142">
        <v>7.6916078065000004</v>
      </c>
      <c r="F35" s="144"/>
      <c r="G35" s="141">
        <v>2701793</v>
      </c>
      <c r="H35" s="142">
        <v>8.9651999489000005</v>
      </c>
      <c r="I35" s="144"/>
      <c r="J35" s="141">
        <v>1661159</v>
      </c>
      <c r="K35" s="142">
        <v>6.2479917412999999</v>
      </c>
    </row>
    <row r="36" spans="2:11" ht="6.95" customHeight="1" x14ac:dyDescent="0.25">
      <c r="B36" s="61"/>
      <c r="C36" s="61"/>
      <c r="D36" s="141"/>
      <c r="E36" s="142"/>
      <c r="F36" s="144"/>
      <c r="G36" s="141"/>
      <c r="H36" s="142"/>
      <c r="I36" s="144"/>
      <c r="J36" s="141"/>
      <c r="K36" s="142"/>
    </row>
    <row r="37" spans="2:11" x14ac:dyDescent="0.25">
      <c r="B37" s="58" t="s">
        <v>61</v>
      </c>
      <c r="C37" s="58"/>
      <c r="D37" s="147">
        <v>1668021</v>
      </c>
      <c r="E37" s="145">
        <v>38.231477220000002</v>
      </c>
      <c r="F37" s="144"/>
      <c r="G37" s="147">
        <v>1083897</v>
      </c>
      <c r="H37" s="145">
        <v>40.117692214000002</v>
      </c>
      <c r="I37" s="146"/>
      <c r="J37" s="147">
        <v>584124</v>
      </c>
      <c r="K37" s="145">
        <v>35.163641770600002</v>
      </c>
    </row>
    <row r="38" spans="2:11" x14ac:dyDescent="0.25">
      <c r="B38" s="58" t="s">
        <v>62</v>
      </c>
      <c r="C38" s="58"/>
      <c r="D38" s="147">
        <v>2073583</v>
      </c>
      <c r="E38" s="145">
        <v>47.527064244599998</v>
      </c>
      <c r="F38" s="144"/>
      <c r="G38" s="147">
        <v>1280646</v>
      </c>
      <c r="H38" s="145">
        <v>47.399856317599998</v>
      </c>
      <c r="I38" s="146"/>
      <c r="J38" s="147">
        <v>792937</v>
      </c>
      <c r="K38" s="145">
        <v>47.733961649699999</v>
      </c>
    </row>
    <row r="39" spans="2:11" x14ac:dyDescent="0.25">
      <c r="B39" s="58" t="s">
        <v>47</v>
      </c>
      <c r="C39" s="58"/>
      <c r="D39" s="186">
        <v>200677</v>
      </c>
      <c r="E39" s="188">
        <v>4.5995692824000001</v>
      </c>
      <c r="F39" s="146"/>
      <c r="G39" s="186">
        <v>75325</v>
      </c>
      <c r="H39" s="188">
        <v>2.7879634005999998</v>
      </c>
      <c r="I39" s="146"/>
      <c r="J39" s="186">
        <v>125352</v>
      </c>
      <c r="K39" s="188">
        <v>7.5460566990000002</v>
      </c>
    </row>
    <row r="40" spans="2:11" x14ac:dyDescent="0.25">
      <c r="B40" s="62" t="s">
        <v>63</v>
      </c>
      <c r="C40" s="62"/>
      <c r="D40" s="147">
        <v>420671</v>
      </c>
      <c r="E40" s="145">
        <v>9.6418892530000004</v>
      </c>
      <c r="F40" s="146"/>
      <c r="G40" s="186">
        <v>261925</v>
      </c>
      <c r="H40" s="188">
        <v>9.6944880677</v>
      </c>
      <c r="I40" s="146"/>
      <c r="J40" s="186">
        <v>158746</v>
      </c>
      <c r="K40" s="188">
        <v>9.5563398807999995</v>
      </c>
    </row>
    <row r="41" spans="2:11" ht="6.95" customHeight="1" x14ac:dyDescent="0.25">
      <c r="B41" s="62"/>
      <c r="C41" s="62"/>
      <c r="D41" s="147"/>
      <c r="E41" s="145"/>
      <c r="F41" s="146"/>
      <c r="G41" s="147"/>
      <c r="H41" s="145"/>
      <c r="I41" s="146"/>
      <c r="J41" s="147"/>
      <c r="K41" s="145"/>
    </row>
    <row r="42" spans="2:11" ht="30" customHeight="1" x14ac:dyDescent="0.25">
      <c r="B42" s="63" t="s">
        <v>17</v>
      </c>
      <c r="C42" s="63"/>
      <c r="D42" s="141">
        <v>52360585</v>
      </c>
      <c r="E42" s="142">
        <v>92.308392193499998</v>
      </c>
      <c r="F42" s="144"/>
      <c r="G42" s="141">
        <v>27434657</v>
      </c>
      <c r="H42" s="142">
        <v>91.034800051100007</v>
      </c>
      <c r="I42" s="144"/>
      <c r="J42" s="141">
        <v>24925928</v>
      </c>
      <c r="K42" s="142">
        <v>93.752008258700002</v>
      </c>
    </row>
    <row r="43" spans="2:11" ht="6.95" customHeight="1" x14ac:dyDescent="0.25">
      <c r="B43" s="34"/>
      <c r="C43" s="34"/>
      <c r="D43" s="128"/>
      <c r="E43" s="35"/>
      <c r="F43" s="35"/>
      <c r="G43" s="128"/>
      <c r="H43" s="34"/>
      <c r="I43" s="34"/>
      <c r="J43" s="134"/>
      <c r="K43" s="36"/>
    </row>
    <row r="44" spans="2:11" ht="6.95" customHeight="1" x14ac:dyDescent="0.25">
      <c r="B44" s="31"/>
      <c r="C44" s="31"/>
      <c r="D44" s="129"/>
      <c r="E44" s="38"/>
      <c r="F44" s="38"/>
      <c r="G44" s="129"/>
      <c r="H44" s="31"/>
      <c r="I44" s="31"/>
      <c r="J44" s="133"/>
      <c r="K44" s="30"/>
    </row>
    <row r="45" spans="2:11" ht="12" customHeight="1" x14ac:dyDescent="0.25">
      <c r="B45" s="90" t="s">
        <v>34</v>
      </c>
      <c r="C45" s="90"/>
      <c r="D45" s="129"/>
      <c r="E45" s="38"/>
      <c r="F45" s="38"/>
      <c r="G45" s="129"/>
      <c r="H45" s="31"/>
      <c r="I45" s="31"/>
      <c r="J45" s="133"/>
      <c r="K45" s="30"/>
    </row>
    <row r="46" spans="2:11" ht="36" customHeight="1" x14ac:dyDescent="0.25">
      <c r="B46" s="236" t="s">
        <v>88</v>
      </c>
      <c r="C46" s="236"/>
      <c r="D46" s="236"/>
      <c r="E46" s="236"/>
      <c r="F46" s="236"/>
      <c r="G46" s="236"/>
      <c r="H46" s="236"/>
      <c r="I46" s="236"/>
      <c r="J46" s="236"/>
      <c r="K46" s="236"/>
    </row>
    <row r="47" spans="2:11" ht="12" customHeight="1" x14ac:dyDescent="0.25">
      <c r="B47" s="201" t="s">
        <v>92</v>
      </c>
      <c r="C47" s="201"/>
      <c r="D47" s="202"/>
      <c r="E47" s="203"/>
      <c r="F47" s="203"/>
      <c r="G47" s="202"/>
      <c r="H47" s="204"/>
      <c r="I47" s="204"/>
      <c r="J47" s="205"/>
      <c r="K47" s="204"/>
    </row>
    <row r="48" spans="2:11" ht="12" customHeight="1" x14ac:dyDescent="0.25">
      <c r="B48" s="198" t="s">
        <v>89</v>
      </c>
      <c r="C48" s="198"/>
    </row>
    <row r="49" spans="2:7" ht="12" customHeight="1" x14ac:dyDescent="0.25">
      <c r="B49" s="199" t="s">
        <v>90</v>
      </c>
      <c r="C49" s="206"/>
    </row>
    <row r="50" spans="2:7" ht="12" customHeight="1" x14ac:dyDescent="0.25">
      <c r="B50" s="200" t="s">
        <v>91</v>
      </c>
      <c r="C50" s="206"/>
    </row>
    <row r="51" spans="2:7" ht="12" customHeight="1" x14ac:dyDescent="0.25">
      <c r="B51" s="231" t="s">
        <v>65</v>
      </c>
      <c r="C51" s="231"/>
      <c r="D51" s="231"/>
      <c r="E51" s="231"/>
      <c r="F51" s="231"/>
      <c r="G51" s="231"/>
    </row>
  </sheetData>
  <mergeCells count="8">
    <mergeCell ref="B51:G51"/>
    <mergeCell ref="B5:G5"/>
    <mergeCell ref="B7:B9"/>
    <mergeCell ref="D7:E8"/>
    <mergeCell ref="G7:K7"/>
    <mergeCell ref="G8:H8"/>
    <mergeCell ref="J8:K8"/>
    <mergeCell ref="B46:K46"/>
  </mergeCells>
  <hyperlinks>
    <hyperlink ref="K1" location="Índice!A1" tooltip="Ir a ÍNDICE" display="INDICE" xr:uid="{5D743E95-E988-4825-8B76-7B7A96EBB9D2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6BF4-C245-4ECA-9E18-22A44182F89D}">
  <dimension ref="B1:AL44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28.7109375" customWidth="1"/>
    <col min="3" max="3" width="1.7109375" customWidth="1"/>
    <col min="4" max="4" width="15.7109375" style="109" customWidth="1"/>
    <col min="5" max="5" width="15.7109375" customWidth="1"/>
    <col min="6" max="6" width="1.7109375" customWidth="1"/>
    <col min="7" max="7" width="15.7109375" style="109" customWidth="1"/>
    <col min="8" max="8" width="15.7109375" customWidth="1"/>
    <col min="9" max="9" width="1.7109375" customWidth="1"/>
    <col min="10" max="10" width="15.7109375" style="109" customWidth="1"/>
    <col min="11" max="11" width="15.7109375" customWidth="1"/>
    <col min="12" max="12" width="1.7109375" customWidth="1"/>
    <col min="13" max="13" width="15.7109375" style="109" customWidth="1"/>
    <col min="14" max="14" width="15.7109375" customWidth="1"/>
    <col min="15" max="15" width="1.7109375" customWidth="1"/>
    <col min="16" max="16" width="15.7109375" style="109" customWidth="1"/>
    <col min="17" max="17" width="15.7109375" customWidth="1"/>
    <col min="18" max="18" width="1.7109375" customWidth="1"/>
    <col min="19" max="19" width="15.7109375" style="109" customWidth="1"/>
    <col min="20" max="20" width="15.7109375" customWidth="1"/>
    <col min="21" max="21" width="1.7109375" customWidth="1"/>
    <col min="22" max="22" width="15.7109375" style="109" customWidth="1"/>
    <col min="23" max="23" width="15.7109375" customWidth="1"/>
    <col min="24" max="24" width="1.7109375" customWidth="1"/>
    <col min="25" max="25" width="15.7109375" style="109" customWidth="1"/>
    <col min="26" max="26" width="15.7109375" customWidth="1"/>
    <col min="27" max="27" width="1.7109375" customWidth="1"/>
    <col min="28" max="28" width="15.7109375" style="109" customWidth="1"/>
    <col min="29" max="29" width="15.7109375" customWidth="1"/>
    <col min="30" max="30" width="1.7109375" customWidth="1"/>
    <col min="31" max="31" width="15.7109375" style="109" customWidth="1"/>
    <col min="32" max="32" width="15.7109375" customWidth="1"/>
    <col min="33" max="33" width="1.7109375" customWidth="1"/>
    <col min="34" max="34" width="15.7109375" style="109" customWidth="1"/>
    <col min="35" max="35" width="15.7109375" customWidth="1"/>
    <col min="36" max="36" width="1.7109375" customWidth="1"/>
    <col min="37" max="37" width="15.7109375" style="109" customWidth="1"/>
    <col min="38" max="38" width="15.7109375" customWidth="1"/>
  </cols>
  <sheetData>
    <row r="1" spans="2:38" x14ac:dyDescent="0.25">
      <c r="B1" s="251" t="s">
        <v>94</v>
      </c>
      <c r="C1" s="42"/>
      <c r="AL1" s="51" t="s">
        <v>27</v>
      </c>
    </row>
    <row r="2" spans="2:38" ht="6.95" customHeight="1" x14ac:dyDescent="0.25"/>
    <row r="3" spans="2:38" x14ac:dyDescent="0.25">
      <c r="B3" s="42" t="s">
        <v>87</v>
      </c>
      <c r="K3" s="66"/>
    </row>
    <row r="4" spans="2:38" ht="6.95" customHeight="1" x14ac:dyDescent="0.25">
      <c r="B4" s="1"/>
      <c r="C4" s="1"/>
      <c r="D4" s="110"/>
      <c r="E4" s="1"/>
      <c r="F4" s="1"/>
      <c r="G4" s="110"/>
      <c r="H4" s="1"/>
      <c r="I4" s="1"/>
      <c r="J4" s="117"/>
      <c r="K4" s="2"/>
      <c r="L4" s="2"/>
      <c r="M4" s="120"/>
      <c r="N4" s="3"/>
      <c r="O4" s="3"/>
    </row>
    <row r="5" spans="2:38" x14ac:dyDescent="0.25">
      <c r="B5" s="43" t="s">
        <v>76</v>
      </c>
      <c r="C5" s="67"/>
      <c r="D5" s="110"/>
      <c r="E5" s="1"/>
      <c r="F5" s="1"/>
      <c r="G5" s="110"/>
      <c r="H5" s="1"/>
      <c r="I5" s="1"/>
      <c r="J5" s="110"/>
      <c r="K5" s="1"/>
      <c r="L5" s="1"/>
      <c r="M5" s="120"/>
      <c r="N5" s="3"/>
      <c r="O5" s="3"/>
      <c r="AL5" s="53" t="s">
        <v>15</v>
      </c>
    </row>
    <row r="6" spans="2:38" ht="6.95" customHeight="1" x14ac:dyDescent="0.25">
      <c r="B6" s="4"/>
      <c r="C6" s="4"/>
      <c r="D6" s="111"/>
      <c r="E6" s="5"/>
      <c r="F6" s="5"/>
      <c r="G6" s="111"/>
      <c r="H6" s="5"/>
      <c r="I6" s="5"/>
      <c r="J6" s="119"/>
      <c r="K6" s="6"/>
      <c r="L6" s="6"/>
      <c r="M6" s="120"/>
      <c r="N6" s="3"/>
      <c r="O6" s="3"/>
    </row>
    <row r="7" spans="2:38" ht="15" customHeight="1" x14ac:dyDescent="0.25">
      <c r="B7" s="245" t="s">
        <v>40</v>
      </c>
      <c r="C7" s="192"/>
      <c r="D7" s="246" t="s">
        <v>23</v>
      </c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193"/>
      <c r="P7" s="246" t="s">
        <v>4</v>
      </c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193"/>
      <c r="AB7" s="246" t="s">
        <v>5</v>
      </c>
      <c r="AC7" s="246"/>
      <c r="AD7" s="246"/>
      <c r="AE7" s="246"/>
      <c r="AF7" s="246"/>
      <c r="AG7" s="246"/>
      <c r="AH7" s="246"/>
      <c r="AI7" s="246"/>
      <c r="AJ7" s="246"/>
      <c r="AK7" s="246"/>
      <c r="AL7" s="246"/>
    </row>
    <row r="8" spans="2:38" ht="15" customHeight="1" x14ac:dyDescent="0.25">
      <c r="B8" s="233"/>
      <c r="C8" s="40"/>
      <c r="D8" s="247" t="s">
        <v>19</v>
      </c>
      <c r="E8" s="247"/>
      <c r="F8" s="194"/>
      <c r="G8" s="244" t="s">
        <v>20</v>
      </c>
      <c r="H8" s="244"/>
      <c r="I8" s="244"/>
      <c r="J8" s="244"/>
      <c r="K8" s="244"/>
      <c r="L8" s="244"/>
      <c r="M8" s="244"/>
      <c r="N8" s="244"/>
      <c r="O8" s="64"/>
      <c r="P8" s="247" t="s">
        <v>19</v>
      </c>
      <c r="Q8" s="247"/>
      <c r="R8" s="194"/>
      <c r="S8" s="244" t="s">
        <v>20</v>
      </c>
      <c r="T8" s="244"/>
      <c r="U8" s="244"/>
      <c r="V8" s="248"/>
      <c r="W8" s="248"/>
      <c r="X8" s="248"/>
      <c r="Y8" s="248"/>
      <c r="Z8" s="248"/>
      <c r="AA8" s="2"/>
      <c r="AB8" s="247" t="s">
        <v>19</v>
      </c>
      <c r="AC8" s="247"/>
      <c r="AD8" s="194"/>
      <c r="AE8" s="244" t="s">
        <v>20</v>
      </c>
      <c r="AF8" s="244"/>
      <c r="AG8" s="244"/>
      <c r="AH8" s="248"/>
      <c r="AI8" s="248"/>
      <c r="AJ8" s="250"/>
      <c r="AK8" s="248"/>
      <c r="AL8" s="248"/>
    </row>
    <row r="9" spans="2:38" ht="30" customHeight="1" x14ac:dyDescent="0.25">
      <c r="B9" s="233"/>
      <c r="C9" s="40"/>
      <c r="D9" s="228"/>
      <c r="E9" s="228"/>
      <c r="F9" s="99"/>
      <c r="G9" s="244" t="s">
        <v>18</v>
      </c>
      <c r="H9" s="244"/>
      <c r="I9" s="194"/>
      <c r="J9" s="228" t="s">
        <v>42</v>
      </c>
      <c r="K9" s="228"/>
      <c r="L9" s="194"/>
      <c r="M9" s="249" t="s">
        <v>10</v>
      </c>
      <c r="N9" s="249"/>
      <c r="O9" s="64"/>
      <c r="P9" s="228"/>
      <c r="Q9" s="228"/>
      <c r="R9" s="98"/>
      <c r="S9" s="244" t="s">
        <v>18</v>
      </c>
      <c r="T9" s="244"/>
      <c r="U9" s="194"/>
      <c r="V9" s="228" t="s">
        <v>42</v>
      </c>
      <c r="W9" s="228"/>
      <c r="X9" s="195"/>
      <c r="Y9" s="244" t="s">
        <v>10</v>
      </c>
      <c r="Z9" s="244"/>
      <c r="AA9" s="101"/>
      <c r="AB9" s="228"/>
      <c r="AC9" s="228"/>
      <c r="AD9" s="98"/>
      <c r="AE9" s="244" t="s">
        <v>18</v>
      </c>
      <c r="AF9" s="244"/>
      <c r="AG9" s="194"/>
      <c r="AH9" s="228" t="s">
        <v>42</v>
      </c>
      <c r="AI9" s="228"/>
      <c r="AJ9" s="194"/>
      <c r="AK9" s="244" t="s">
        <v>10</v>
      </c>
      <c r="AL9" s="244"/>
    </row>
    <row r="10" spans="2:38" x14ac:dyDescent="0.25">
      <c r="B10" s="234"/>
      <c r="C10" s="93"/>
      <c r="D10" s="112" t="s">
        <v>25</v>
      </c>
      <c r="E10" s="45" t="s">
        <v>26</v>
      </c>
      <c r="F10" s="98"/>
      <c r="G10" s="112" t="s">
        <v>25</v>
      </c>
      <c r="H10" s="45" t="s">
        <v>26</v>
      </c>
      <c r="I10" s="13"/>
      <c r="J10" s="112" t="s">
        <v>25</v>
      </c>
      <c r="K10" s="45" t="s">
        <v>26</v>
      </c>
      <c r="L10" s="65"/>
      <c r="M10" s="112" t="s">
        <v>25</v>
      </c>
      <c r="N10" s="45" t="s">
        <v>26</v>
      </c>
      <c r="O10" s="65"/>
      <c r="P10" s="112" t="s">
        <v>25</v>
      </c>
      <c r="Q10" s="45" t="s">
        <v>26</v>
      </c>
      <c r="R10" s="23"/>
      <c r="S10" s="112" t="s">
        <v>25</v>
      </c>
      <c r="T10" s="45" t="s">
        <v>26</v>
      </c>
      <c r="U10" s="23"/>
      <c r="V10" s="112" t="s">
        <v>25</v>
      </c>
      <c r="W10" s="45" t="s">
        <v>26</v>
      </c>
      <c r="X10" s="45"/>
      <c r="Y10" s="112" t="s">
        <v>25</v>
      </c>
      <c r="Z10" s="45" t="s">
        <v>26</v>
      </c>
      <c r="AA10" s="23"/>
      <c r="AB10" s="112" t="s">
        <v>25</v>
      </c>
      <c r="AC10" s="45" t="s">
        <v>26</v>
      </c>
      <c r="AD10" s="23"/>
      <c r="AE10" s="112" t="s">
        <v>25</v>
      </c>
      <c r="AF10" s="45" t="s">
        <v>26</v>
      </c>
      <c r="AG10" s="23"/>
      <c r="AH10" s="112" t="s">
        <v>25</v>
      </c>
      <c r="AI10" s="45" t="s">
        <v>26</v>
      </c>
      <c r="AJ10" s="23"/>
      <c r="AK10" s="112" t="s">
        <v>25</v>
      </c>
      <c r="AL10" s="45" t="s">
        <v>26</v>
      </c>
    </row>
    <row r="11" spans="2:38" ht="6.95" customHeight="1" x14ac:dyDescent="0.25">
      <c r="B11" s="40"/>
      <c r="C11" s="40"/>
      <c r="D11" s="136"/>
      <c r="E11" s="99"/>
      <c r="F11" s="99"/>
      <c r="G11" s="118"/>
      <c r="H11" s="48"/>
      <c r="I11" s="72"/>
      <c r="J11" s="118"/>
      <c r="K11" s="48"/>
      <c r="L11" s="73"/>
      <c r="M11" s="118"/>
      <c r="N11" s="48"/>
      <c r="O11" s="73"/>
      <c r="P11" s="140"/>
      <c r="Q11" s="71"/>
      <c r="R11" s="71"/>
      <c r="S11" s="118"/>
      <c r="T11" s="48"/>
      <c r="U11" s="71"/>
      <c r="V11" s="118"/>
      <c r="W11" s="48"/>
      <c r="X11" s="48"/>
      <c r="Y11" s="118"/>
      <c r="Z11" s="48"/>
      <c r="AA11" s="71"/>
      <c r="AB11" s="140"/>
      <c r="AC11" s="71"/>
      <c r="AD11" s="71"/>
      <c r="AE11" s="118"/>
      <c r="AF11" s="48"/>
      <c r="AG11" s="71"/>
      <c r="AH11" s="118"/>
      <c r="AI11" s="48"/>
      <c r="AJ11" s="71"/>
      <c r="AK11" s="118"/>
      <c r="AL11" s="48"/>
    </row>
    <row r="12" spans="2:38" ht="15" customHeight="1" x14ac:dyDescent="0.25">
      <c r="B12" s="9" t="s">
        <v>1</v>
      </c>
      <c r="C12" s="9"/>
      <c r="D12" s="141">
        <v>86621605</v>
      </c>
      <c r="E12" s="142">
        <v>100</v>
      </c>
      <c r="F12" s="143"/>
      <c r="G12" s="141">
        <v>20515660</v>
      </c>
      <c r="H12" s="142">
        <v>23.6842298177</v>
      </c>
      <c r="I12" s="144"/>
      <c r="J12" s="141">
        <v>31144025</v>
      </c>
      <c r="K12" s="142">
        <v>35.954107523200001</v>
      </c>
      <c r="L12" s="144"/>
      <c r="M12" s="141">
        <v>82542612</v>
      </c>
      <c r="N12" s="142">
        <v>95.291021218099999</v>
      </c>
      <c r="O12" s="144"/>
      <c r="P12" s="141">
        <v>46488980</v>
      </c>
      <c r="Q12" s="142">
        <v>100</v>
      </c>
      <c r="R12" s="143"/>
      <c r="S12" s="141">
        <v>10287625</v>
      </c>
      <c r="T12" s="142">
        <v>22.129169106300001</v>
      </c>
      <c r="U12" s="144"/>
      <c r="V12" s="141">
        <v>15233663</v>
      </c>
      <c r="W12" s="142">
        <v>32.768331333600003</v>
      </c>
      <c r="X12" s="144"/>
      <c r="Y12" s="141">
        <v>44544860</v>
      </c>
      <c r="Z12" s="142">
        <v>95.818105710200001</v>
      </c>
      <c r="AA12" s="144"/>
      <c r="AB12" s="141">
        <v>40132625</v>
      </c>
      <c r="AC12" s="142">
        <v>100</v>
      </c>
      <c r="AD12" s="143"/>
      <c r="AE12" s="141">
        <v>10228035</v>
      </c>
      <c r="AF12" s="142">
        <v>25.485586851099999</v>
      </c>
      <c r="AG12" s="144"/>
      <c r="AH12" s="141">
        <v>15910362</v>
      </c>
      <c r="AI12" s="142">
        <v>39.644458841199999</v>
      </c>
      <c r="AJ12" s="144"/>
      <c r="AK12" s="141">
        <v>37997752</v>
      </c>
      <c r="AL12" s="142">
        <v>94.680455116000005</v>
      </c>
    </row>
    <row r="13" spans="2:38" ht="6.95" customHeight="1" x14ac:dyDescent="0.25">
      <c r="B13" s="10"/>
      <c r="C13" s="10"/>
      <c r="D13" s="141"/>
      <c r="E13" s="145"/>
      <c r="F13" s="143"/>
      <c r="G13" s="141"/>
      <c r="H13" s="145"/>
      <c r="I13" s="146"/>
      <c r="J13" s="141"/>
      <c r="K13" s="145"/>
      <c r="L13" s="144"/>
      <c r="M13" s="141"/>
      <c r="N13" s="145"/>
      <c r="O13" s="146"/>
      <c r="P13" s="141"/>
      <c r="Q13" s="145"/>
      <c r="R13" s="143"/>
      <c r="S13" s="141"/>
      <c r="T13" s="145"/>
      <c r="U13" s="146"/>
      <c r="V13" s="141"/>
      <c r="W13" s="145"/>
      <c r="X13" s="144"/>
      <c r="Y13" s="141"/>
      <c r="Z13" s="145"/>
      <c r="AA13" s="144"/>
      <c r="AB13" s="141"/>
      <c r="AC13" s="145"/>
      <c r="AD13" s="143"/>
      <c r="AE13" s="141"/>
      <c r="AF13" s="145"/>
      <c r="AG13" s="146"/>
      <c r="AH13" s="141"/>
      <c r="AI13" s="145"/>
      <c r="AJ13" s="144"/>
      <c r="AK13" s="141"/>
      <c r="AL13" s="145"/>
    </row>
    <row r="14" spans="2:38" ht="30" customHeight="1" x14ac:dyDescent="0.25">
      <c r="B14" s="50" t="s">
        <v>69</v>
      </c>
      <c r="C14" s="68"/>
      <c r="D14" s="147">
        <v>81586837</v>
      </c>
      <c r="E14" s="145">
        <v>94.187630210699993</v>
      </c>
      <c r="F14" s="148"/>
      <c r="G14" s="147">
        <v>2859708</v>
      </c>
      <c r="H14" s="145">
        <v>3.5051095313</v>
      </c>
      <c r="I14" s="146"/>
      <c r="J14" s="147">
        <v>10287825</v>
      </c>
      <c r="K14" s="145">
        <v>12.609662757200001</v>
      </c>
      <c r="L14" s="146"/>
      <c r="M14" s="147">
        <v>77760833</v>
      </c>
      <c r="N14" s="145">
        <v>95.310513140699996</v>
      </c>
      <c r="O14" s="146"/>
      <c r="P14" s="147">
        <v>44294978</v>
      </c>
      <c r="Q14" s="145">
        <v>95.280597681399996</v>
      </c>
      <c r="R14" s="148"/>
      <c r="S14" s="147">
        <v>1403419</v>
      </c>
      <c r="T14" s="145">
        <v>3.1683478881</v>
      </c>
      <c r="U14" s="146"/>
      <c r="V14" s="147">
        <v>4657862</v>
      </c>
      <c r="W14" s="145">
        <v>10.515553253</v>
      </c>
      <c r="X14" s="146"/>
      <c r="Y14" s="147">
        <v>42525804</v>
      </c>
      <c r="Z14" s="145">
        <v>96.005926450600001</v>
      </c>
      <c r="AA14" s="146"/>
      <c r="AB14" s="147">
        <v>37291859</v>
      </c>
      <c r="AC14" s="145">
        <v>92.921554470999993</v>
      </c>
      <c r="AD14" s="148"/>
      <c r="AE14" s="147">
        <v>1456289</v>
      </c>
      <c r="AF14" s="145">
        <v>3.9051123732000002</v>
      </c>
      <c r="AG14" s="146"/>
      <c r="AH14" s="147">
        <v>5629963</v>
      </c>
      <c r="AI14" s="145">
        <v>15.097029622499999</v>
      </c>
      <c r="AJ14" s="146"/>
      <c r="AK14" s="147">
        <v>35235029</v>
      </c>
      <c r="AL14" s="145">
        <v>94.484506658699999</v>
      </c>
    </row>
    <row r="15" spans="2:38" ht="45" customHeight="1" x14ac:dyDescent="0.25">
      <c r="B15" s="50" t="s">
        <v>70</v>
      </c>
      <c r="C15" s="50"/>
      <c r="D15" s="147">
        <v>71023817</v>
      </c>
      <c r="E15" s="145">
        <v>81.993189805200004</v>
      </c>
      <c r="F15" s="148"/>
      <c r="G15" s="147">
        <v>2162751</v>
      </c>
      <c r="H15" s="145">
        <v>3.0451066858</v>
      </c>
      <c r="I15" s="146"/>
      <c r="J15" s="147">
        <v>26215237</v>
      </c>
      <c r="K15" s="145">
        <v>36.910487365100003</v>
      </c>
      <c r="L15" s="146"/>
      <c r="M15" s="147">
        <v>57915968</v>
      </c>
      <c r="N15" s="145">
        <v>81.544431778399996</v>
      </c>
      <c r="O15" s="146"/>
      <c r="P15" s="147">
        <v>38268780</v>
      </c>
      <c r="Q15" s="145">
        <v>82.317960084299997</v>
      </c>
      <c r="R15" s="148"/>
      <c r="S15" s="147">
        <v>1141474</v>
      </c>
      <c r="T15" s="145">
        <v>2.9827812644999998</v>
      </c>
      <c r="U15" s="146"/>
      <c r="V15" s="147">
        <v>12879770</v>
      </c>
      <c r="W15" s="145">
        <v>33.6560768334</v>
      </c>
      <c r="X15" s="146"/>
      <c r="Y15" s="147">
        <v>31792129</v>
      </c>
      <c r="Z15" s="145">
        <v>83.075888491900002</v>
      </c>
      <c r="AA15" s="146"/>
      <c r="AB15" s="147">
        <v>32755037</v>
      </c>
      <c r="AC15" s="145">
        <v>81.616981196699996</v>
      </c>
      <c r="AD15" s="148"/>
      <c r="AE15" s="147">
        <v>1021277</v>
      </c>
      <c r="AF15" s="145">
        <v>3.117923512</v>
      </c>
      <c r="AG15" s="146"/>
      <c r="AH15" s="147">
        <v>13335467</v>
      </c>
      <c r="AI15" s="145">
        <v>40.712721527399999</v>
      </c>
      <c r="AJ15" s="146"/>
      <c r="AK15" s="147">
        <v>26123839</v>
      </c>
      <c r="AL15" s="145">
        <v>79.755180859700005</v>
      </c>
    </row>
    <row r="16" spans="2:38" ht="45" customHeight="1" x14ac:dyDescent="0.25">
      <c r="B16" s="50" t="s">
        <v>11</v>
      </c>
      <c r="C16" s="50"/>
      <c r="D16" s="147">
        <v>61580454</v>
      </c>
      <c r="E16" s="145">
        <v>71.091333391899994</v>
      </c>
      <c r="F16" s="148"/>
      <c r="G16" s="147">
        <v>9724426</v>
      </c>
      <c r="H16" s="145">
        <v>15.7914165427</v>
      </c>
      <c r="I16" s="146"/>
      <c r="J16" s="147">
        <v>9813000</v>
      </c>
      <c r="K16" s="145">
        <v>15.9352511432</v>
      </c>
      <c r="L16" s="146"/>
      <c r="M16" s="147">
        <v>50189965</v>
      </c>
      <c r="N16" s="145">
        <v>81.503077258900007</v>
      </c>
      <c r="O16" s="146"/>
      <c r="P16" s="147">
        <v>32364281</v>
      </c>
      <c r="Q16" s="145">
        <v>69.617102805900004</v>
      </c>
      <c r="R16" s="148"/>
      <c r="S16" s="147">
        <v>4690477</v>
      </c>
      <c r="T16" s="145">
        <v>14.4927582355</v>
      </c>
      <c r="U16" s="146"/>
      <c r="V16" s="147">
        <v>4309742</v>
      </c>
      <c r="W16" s="145">
        <v>13.316353296999999</v>
      </c>
      <c r="X16" s="146"/>
      <c r="Y16" s="147">
        <v>26902864</v>
      </c>
      <c r="Z16" s="145">
        <v>83.125171234299998</v>
      </c>
      <c r="AA16" s="146"/>
      <c r="AB16" s="147">
        <v>29216173</v>
      </c>
      <c r="AC16" s="145">
        <v>72.799058122899993</v>
      </c>
      <c r="AD16" s="148"/>
      <c r="AE16" s="147">
        <v>5033949</v>
      </c>
      <c r="AF16" s="145">
        <v>17.230008187599999</v>
      </c>
      <c r="AG16" s="146"/>
      <c r="AH16" s="147">
        <v>5503258</v>
      </c>
      <c r="AI16" s="145">
        <v>18.8363410909</v>
      </c>
      <c r="AJ16" s="146"/>
      <c r="AK16" s="147">
        <v>23287101</v>
      </c>
      <c r="AL16" s="145">
        <v>79.706199028900002</v>
      </c>
    </row>
    <row r="17" spans="2:38" ht="45" customHeight="1" x14ac:dyDescent="0.25">
      <c r="B17" s="50" t="s">
        <v>41</v>
      </c>
      <c r="C17" s="50"/>
      <c r="D17" s="147">
        <v>56153661</v>
      </c>
      <c r="E17" s="145">
        <v>64.826391752999996</v>
      </c>
      <c r="F17" s="148"/>
      <c r="G17" s="147">
        <v>5381872</v>
      </c>
      <c r="H17" s="145">
        <v>9.5841872180000003</v>
      </c>
      <c r="I17" s="146"/>
      <c r="J17" s="147">
        <v>5650698</v>
      </c>
      <c r="K17" s="145">
        <v>10.062920029400001</v>
      </c>
      <c r="L17" s="146"/>
      <c r="M17" s="147">
        <v>51677734</v>
      </c>
      <c r="N17" s="145">
        <v>92.029144813900004</v>
      </c>
      <c r="O17" s="146"/>
      <c r="P17" s="147">
        <v>31596281</v>
      </c>
      <c r="Q17" s="145">
        <v>67.965098395400005</v>
      </c>
      <c r="R17" s="148"/>
      <c r="S17" s="147">
        <v>2585781</v>
      </c>
      <c r="T17" s="145">
        <v>8.1838144179000007</v>
      </c>
      <c r="U17" s="146"/>
      <c r="V17" s="147">
        <v>2676660</v>
      </c>
      <c r="W17" s="145">
        <v>8.4714400406999992</v>
      </c>
      <c r="X17" s="146"/>
      <c r="Y17" s="147">
        <v>29584557</v>
      </c>
      <c r="Z17" s="145">
        <v>93.633035482899999</v>
      </c>
      <c r="AA17" s="146"/>
      <c r="AB17" s="147">
        <v>24557380</v>
      </c>
      <c r="AC17" s="145">
        <v>61.190565032800002</v>
      </c>
      <c r="AD17" s="148"/>
      <c r="AE17" s="147">
        <v>2796091</v>
      </c>
      <c r="AF17" s="145">
        <v>11.385949967</v>
      </c>
      <c r="AG17" s="146"/>
      <c r="AH17" s="147">
        <v>2974038</v>
      </c>
      <c r="AI17" s="145">
        <v>12.110567169599999</v>
      </c>
      <c r="AJ17" s="146"/>
      <c r="AK17" s="147">
        <v>22093177</v>
      </c>
      <c r="AL17" s="145">
        <v>89.965529710400006</v>
      </c>
    </row>
    <row r="18" spans="2:38" ht="45" customHeight="1" x14ac:dyDescent="0.25">
      <c r="B18" s="50" t="s">
        <v>71</v>
      </c>
      <c r="C18" s="50"/>
      <c r="D18" s="147">
        <v>25149058</v>
      </c>
      <c r="E18" s="145">
        <v>29.033239455699999</v>
      </c>
      <c r="F18" s="148"/>
      <c r="G18" s="147">
        <v>14441227</v>
      </c>
      <c r="H18" s="145">
        <v>57.422536462399997</v>
      </c>
      <c r="I18" s="146"/>
      <c r="J18" s="147">
        <v>8344730</v>
      </c>
      <c r="K18" s="145">
        <v>33.181083760699998</v>
      </c>
      <c r="L18" s="146"/>
      <c r="M18" s="147">
        <v>5557602</v>
      </c>
      <c r="N18" s="145">
        <v>22.098648784400002</v>
      </c>
      <c r="O18" s="146"/>
      <c r="P18" s="147">
        <v>12406448</v>
      </c>
      <c r="Q18" s="145">
        <v>26.686857831699999</v>
      </c>
      <c r="R18" s="148"/>
      <c r="S18" s="147">
        <v>7386223</v>
      </c>
      <c r="T18" s="145">
        <v>59.535356130899999</v>
      </c>
      <c r="U18" s="146"/>
      <c r="V18" s="147">
        <v>3671341</v>
      </c>
      <c r="W18" s="145">
        <v>29.592200765299999</v>
      </c>
      <c r="X18" s="146"/>
      <c r="Y18" s="147">
        <v>2799786</v>
      </c>
      <c r="Z18" s="145">
        <v>22.567184418899998</v>
      </c>
      <c r="AA18" s="146"/>
      <c r="AB18" s="147">
        <v>12742610</v>
      </c>
      <c r="AC18" s="145">
        <v>31.751249762499999</v>
      </c>
      <c r="AD18" s="148"/>
      <c r="AE18" s="147">
        <v>7055004</v>
      </c>
      <c r="AF18" s="145">
        <v>55.365454957799997</v>
      </c>
      <c r="AG18" s="146"/>
      <c r="AH18" s="147">
        <v>4673389</v>
      </c>
      <c r="AI18" s="145">
        <v>36.675288657499998</v>
      </c>
      <c r="AJ18" s="146"/>
      <c r="AK18" s="147">
        <v>2757816</v>
      </c>
      <c r="AL18" s="145">
        <v>21.642473559199999</v>
      </c>
    </row>
    <row r="19" spans="2:38" ht="6.95" customHeight="1" x14ac:dyDescent="0.25">
      <c r="B19" s="162"/>
      <c r="C19" s="11"/>
      <c r="D19" s="147"/>
      <c r="E19" s="145"/>
      <c r="F19" s="143"/>
      <c r="G19" s="141"/>
      <c r="H19" s="149"/>
      <c r="I19" s="149"/>
      <c r="J19" s="141"/>
      <c r="K19" s="149"/>
      <c r="L19" s="70"/>
      <c r="M19" s="141"/>
      <c r="N19" s="149"/>
      <c r="O19" s="149"/>
      <c r="P19" s="154"/>
      <c r="Q19" s="155"/>
      <c r="R19" s="155"/>
      <c r="S19" s="141"/>
      <c r="T19" s="149"/>
      <c r="U19" s="149"/>
      <c r="V19" s="141"/>
      <c r="W19" s="149"/>
      <c r="X19" s="70"/>
      <c r="Y19" s="141"/>
      <c r="Z19" s="149"/>
      <c r="AA19" s="155"/>
      <c r="AB19" s="141"/>
      <c r="AC19" s="145"/>
      <c r="AD19" s="143"/>
      <c r="AE19" s="141"/>
      <c r="AF19" s="149"/>
      <c r="AG19" s="149"/>
      <c r="AH19" s="141"/>
      <c r="AI19" s="149"/>
      <c r="AJ19" s="70"/>
      <c r="AK19" s="141"/>
      <c r="AL19" s="149"/>
    </row>
    <row r="20" spans="2:38" x14ac:dyDescent="0.25">
      <c r="B20" s="165" t="s">
        <v>6</v>
      </c>
      <c r="C20" s="104"/>
      <c r="D20" s="141">
        <v>29898068</v>
      </c>
      <c r="E20" s="142">
        <v>100</v>
      </c>
      <c r="F20" s="143"/>
      <c r="G20" s="141">
        <v>3778449</v>
      </c>
      <c r="H20" s="142">
        <v>12.6377697716</v>
      </c>
      <c r="I20" s="144"/>
      <c r="J20" s="141">
        <v>5495712</v>
      </c>
      <c r="K20" s="142">
        <v>18.381495419699998</v>
      </c>
      <c r="L20" s="144"/>
      <c r="M20" s="141">
        <v>29028006</v>
      </c>
      <c r="N20" s="142">
        <v>97.089905608600006</v>
      </c>
      <c r="O20" s="144"/>
      <c r="P20" s="141">
        <v>16352530</v>
      </c>
      <c r="Q20" s="142">
        <v>100</v>
      </c>
      <c r="R20" s="143"/>
      <c r="S20" s="141">
        <v>2062346</v>
      </c>
      <c r="T20" s="142">
        <v>12.6117854546</v>
      </c>
      <c r="U20" s="144"/>
      <c r="V20" s="141">
        <v>2803905</v>
      </c>
      <c r="W20" s="142">
        <v>17.1466127871</v>
      </c>
      <c r="X20" s="144"/>
      <c r="Y20" s="141">
        <v>15930460</v>
      </c>
      <c r="Z20" s="142">
        <v>97.4189315048</v>
      </c>
      <c r="AA20" s="144"/>
      <c r="AB20" s="141">
        <v>13545538</v>
      </c>
      <c r="AC20" s="142">
        <v>100</v>
      </c>
      <c r="AD20" s="143"/>
      <c r="AE20" s="141">
        <v>1716103</v>
      </c>
      <c r="AF20" s="142">
        <v>12.669138723</v>
      </c>
      <c r="AG20" s="144"/>
      <c r="AH20" s="141">
        <v>2691807</v>
      </c>
      <c r="AI20" s="142">
        <v>19.8722782366</v>
      </c>
      <c r="AJ20" s="144"/>
      <c r="AK20" s="141">
        <v>13097546</v>
      </c>
      <c r="AL20" s="142">
        <v>96.692696886600004</v>
      </c>
    </row>
    <row r="21" spans="2:38" ht="6.95" customHeight="1" x14ac:dyDescent="0.25">
      <c r="B21" s="165"/>
      <c r="C21" s="104"/>
      <c r="D21" s="141"/>
      <c r="E21" s="145"/>
      <c r="F21" s="143"/>
      <c r="G21" s="141"/>
      <c r="H21" s="145"/>
      <c r="I21" s="146"/>
      <c r="J21" s="141"/>
      <c r="K21" s="145"/>
      <c r="L21" s="144"/>
      <c r="M21" s="141"/>
      <c r="N21" s="145"/>
      <c r="O21" s="146"/>
      <c r="P21" s="141"/>
      <c r="Q21" s="145"/>
      <c r="R21" s="143"/>
      <c r="S21" s="141"/>
      <c r="T21" s="145"/>
      <c r="U21" s="146"/>
      <c r="V21" s="141"/>
      <c r="W21" s="145"/>
      <c r="X21" s="144"/>
      <c r="Y21" s="141"/>
      <c r="Z21" s="145"/>
      <c r="AA21" s="144"/>
      <c r="AB21" s="141"/>
      <c r="AC21" s="145"/>
      <c r="AD21" s="143"/>
      <c r="AE21" s="141"/>
      <c r="AF21" s="145"/>
      <c r="AG21" s="146"/>
      <c r="AH21" s="141"/>
      <c r="AI21" s="145"/>
      <c r="AJ21" s="144"/>
      <c r="AK21" s="141"/>
      <c r="AL21" s="145"/>
    </row>
    <row r="22" spans="2:38" ht="22.5" x14ac:dyDescent="0.25">
      <c r="B22" s="50" t="s">
        <v>69</v>
      </c>
      <c r="C22" s="37"/>
      <c r="D22" s="147">
        <v>28081253</v>
      </c>
      <c r="E22" s="145">
        <v>93.923303004100006</v>
      </c>
      <c r="F22" s="148"/>
      <c r="G22" s="186">
        <v>437799</v>
      </c>
      <c r="H22" s="188">
        <v>1.5590436794</v>
      </c>
      <c r="I22" s="146"/>
      <c r="J22" s="147">
        <v>1751587</v>
      </c>
      <c r="K22" s="145">
        <v>6.2375671057000002</v>
      </c>
      <c r="L22" s="146"/>
      <c r="M22" s="147">
        <v>27648026</v>
      </c>
      <c r="N22" s="145">
        <v>98.457237645299998</v>
      </c>
      <c r="O22" s="146"/>
      <c r="P22" s="147">
        <v>15639702</v>
      </c>
      <c r="Q22" s="145">
        <v>95.640870250700004</v>
      </c>
      <c r="R22" s="148"/>
      <c r="S22" s="186">
        <v>184416</v>
      </c>
      <c r="T22" s="188">
        <v>1.179152902</v>
      </c>
      <c r="U22" s="146"/>
      <c r="V22" s="147">
        <v>777855</v>
      </c>
      <c r="W22" s="145">
        <v>4.9735922078000003</v>
      </c>
      <c r="X22" s="146"/>
      <c r="Y22" s="147">
        <v>15430426</v>
      </c>
      <c r="Z22" s="145">
        <v>98.661892662699998</v>
      </c>
      <c r="AA22" s="146"/>
      <c r="AB22" s="147">
        <v>12441551</v>
      </c>
      <c r="AC22" s="145">
        <v>91.849810616599996</v>
      </c>
      <c r="AD22" s="148"/>
      <c r="AE22" s="186">
        <v>253383</v>
      </c>
      <c r="AF22" s="188">
        <v>2.0365869175000002</v>
      </c>
      <c r="AG22" s="146"/>
      <c r="AH22" s="186">
        <v>973732</v>
      </c>
      <c r="AI22" s="145">
        <v>7.8264518627999999</v>
      </c>
      <c r="AJ22" s="146"/>
      <c r="AK22" s="147">
        <v>12217600</v>
      </c>
      <c r="AL22" s="145">
        <v>98.199975228200003</v>
      </c>
    </row>
    <row r="23" spans="2:38" s="69" customFormat="1" ht="45" customHeight="1" x14ac:dyDescent="0.25">
      <c r="B23" s="50" t="s">
        <v>70</v>
      </c>
      <c r="C23" s="50"/>
      <c r="D23" s="147">
        <v>20030370</v>
      </c>
      <c r="E23" s="145">
        <v>66.995532955499996</v>
      </c>
      <c r="F23" s="148"/>
      <c r="G23" s="186">
        <v>505036</v>
      </c>
      <c r="H23" s="188">
        <v>2.5213513280000002</v>
      </c>
      <c r="I23" s="146"/>
      <c r="J23" s="147">
        <v>4438653</v>
      </c>
      <c r="K23" s="145">
        <v>22.159615623699999</v>
      </c>
      <c r="L23" s="146"/>
      <c r="M23" s="147">
        <v>18490776</v>
      </c>
      <c r="N23" s="145">
        <v>92.313701644099993</v>
      </c>
      <c r="O23" s="146"/>
      <c r="P23" s="147">
        <v>11051175</v>
      </c>
      <c r="Q23" s="145">
        <v>67.580826942399995</v>
      </c>
      <c r="R23" s="148"/>
      <c r="S23" s="190">
        <v>335878</v>
      </c>
      <c r="T23" s="191">
        <v>3.0392967263999999</v>
      </c>
      <c r="U23" s="146"/>
      <c r="V23" s="147">
        <v>2403514</v>
      </c>
      <c r="W23" s="145">
        <v>21.7489452479</v>
      </c>
      <c r="X23" s="146"/>
      <c r="Y23" s="147">
        <v>10224472</v>
      </c>
      <c r="Z23" s="145">
        <v>92.519320343800004</v>
      </c>
      <c r="AA23" s="146"/>
      <c r="AB23" s="147">
        <v>8979195</v>
      </c>
      <c r="AC23" s="145">
        <v>66.288950649300006</v>
      </c>
      <c r="AD23" s="148"/>
      <c r="AE23" s="186">
        <v>169158</v>
      </c>
      <c r="AF23" s="188">
        <v>1.883888255</v>
      </c>
      <c r="AG23" s="146"/>
      <c r="AH23" s="147">
        <v>2035139</v>
      </c>
      <c r="AI23" s="145">
        <v>22.665049595199999</v>
      </c>
      <c r="AJ23" s="146"/>
      <c r="AK23" s="147">
        <v>8266304</v>
      </c>
      <c r="AL23" s="145">
        <v>92.060635725099999</v>
      </c>
    </row>
    <row r="24" spans="2:38" s="69" customFormat="1" ht="45" customHeight="1" x14ac:dyDescent="0.25">
      <c r="B24" s="50" t="s">
        <v>11</v>
      </c>
      <c r="C24" s="50"/>
      <c r="D24" s="147">
        <v>19571740</v>
      </c>
      <c r="E24" s="145">
        <v>65.461554238199994</v>
      </c>
      <c r="F24" s="148"/>
      <c r="G24" s="147">
        <v>1503384</v>
      </c>
      <c r="H24" s="145">
        <v>7.6814018580000001</v>
      </c>
      <c r="I24" s="146"/>
      <c r="J24" s="147">
        <v>1208699</v>
      </c>
      <c r="K24" s="145">
        <v>6.1757360357</v>
      </c>
      <c r="L24" s="146"/>
      <c r="M24" s="147">
        <v>18027135</v>
      </c>
      <c r="N24" s="145">
        <v>92.107983245200003</v>
      </c>
      <c r="O24" s="146"/>
      <c r="P24" s="147">
        <v>10853509</v>
      </c>
      <c r="Q24" s="145">
        <v>66.372047628100006</v>
      </c>
      <c r="R24" s="148"/>
      <c r="S24" s="147">
        <v>713866</v>
      </c>
      <c r="T24" s="145">
        <v>6.5772829783000004</v>
      </c>
      <c r="U24" s="146"/>
      <c r="V24" s="186">
        <v>592174</v>
      </c>
      <c r="W24" s="145">
        <v>5.4560603395999996</v>
      </c>
      <c r="X24" s="146"/>
      <c r="Y24" s="147">
        <v>10114698</v>
      </c>
      <c r="Z24" s="145">
        <v>93.192883518100004</v>
      </c>
      <c r="AA24" s="146"/>
      <c r="AB24" s="147">
        <v>8718231</v>
      </c>
      <c r="AC24" s="145">
        <v>64.362382653200001</v>
      </c>
      <c r="AD24" s="148"/>
      <c r="AE24" s="186">
        <v>789518</v>
      </c>
      <c r="AF24" s="145">
        <v>9.0559426562999992</v>
      </c>
      <c r="AG24" s="146"/>
      <c r="AH24" s="186">
        <v>616525</v>
      </c>
      <c r="AI24" s="188">
        <v>7.0716754351000004</v>
      </c>
      <c r="AJ24" s="146"/>
      <c r="AK24" s="147">
        <v>7912437</v>
      </c>
      <c r="AL24" s="145">
        <v>90.757368094499995</v>
      </c>
    </row>
    <row r="25" spans="2:38" s="69" customFormat="1" ht="45" customHeight="1" x14ac:dyDescent="0.25">
      <c r="B25" s="50" t="s">
        <v>41</v>
      </c>
      <c r="C25" s="50"/>
      <c r="D25" s="147">
        <v>18524767</v>
      </c>
      <c r="E25" s="145">
        <v>61.9597460277</v>
      </c>
      <c r="F25" s="148"/>
      <c r="G25" s="186">
        <v>640843</v>
      </c>
      <c r="H25" s="188">
        <v>3.4593849413000002</v>
      </c>
      <c r="I25" s="146"/>
      <c r="J25" s="186">
        <v>239902</v>
      </c>
      <c r="K25" s="188">
        <v>1.2950338322999999</v>
      </c>
      <c r="L25" s="146"/>
      <c r="M25" s="147">
        <v>18227640</v>
      </c>
      <c r="N25" s="145">
        <v>98.396055399800005</v>
      </c>
      <c r="O25" s="146"/>
      <c r="P25" s="147">
        <v>10827777</v>
      </c>
      <c r="Q25" s="145">
        <v>66.2146897147</v>
      </c>
      <c r="R25" s="148"/>
      <c r="S25" s="186">
        <v>347111</v>
      </c>
      <c r="T25" s="188">
        <v>3.2057457407999999</v>
      </c>
      <c r="U25" s="146"/>
      <c r="V25" s="190">
        <v>127979</v>
      </c>
      <c r="W25" s="191">
        <v>1.1819508289</v>
      </c>
      <c r="X25" s="146"/>
      <c r="Y25" s="147">
        <v>10631643</v>
      </c>
      <c r="Z25" s="145">
        <v>98.188603256199997</v>
      </c>
      <c r="AA25" s="146"/>
      <c r="AB25" s="147">
        <v>7696990</v>
      </c>
      <c r="AC25" s="145">
        <v>56.823066016299997</v>
      </c>
      <c r="AD25" s="148"/>
      <c r="AE25" s="190">
        <v>293732</v>
      </c>
      <c r="AF25" s="191">
        <v>3.8161930833</v>
      </c>
      <c r="AG25" s="146"/>
      <c r="AH25" s="190">
        <v>111923</v>
      </c>
      <c r="AI25" s="191">
        <v>1.4541138809</v>
      </c>
      <c r="AJ25" s="146"/>
      <c r="AK25" s="147">
        <v>7595997</v>
      </c>
      <c r="AL25" s="145">
        <v>98.687889681599998</v>
      </c>
    </row>
    <row r="26" spans="2:38" s="69" customFormat="1" ht="45" customHeight="1" x14ac:dyDescent="0.25">
      <c r="B26" s="50" t="s">
        <v>71</v>
      </c>
      <c r="C26" s="50"/>
      <c r="D26" s="147">
        <v>5071605</v>
      </c>
      <c r="E26" s="145">
        <v>16.962985702000001</v>
      </c>
      <c r="F26" s="148"/>
      <c r="G26" s="147">
        <v>2733927</v>
      </c>
      <c r="H26" s="145">
        <v>53.906544378</v>
      </c>
      <c r="I26" s="146"/>
      <c r="J26" s="186">
        <v>1365161</v>
      </c>
      <c r="K26" s="145">
        <v>26.917731171900002</v>
      </c>
      <c r="L26" s="146"/>
      <c r="M26" s="147">
        <v>1441664</v>
      </c>
      <c r="N26" s="145">
        <v>28.426188553700001</v>
      </c>
      <c r="O26" s="146"/>
      <c r="P26" s="147">
        <v>2714693</v>
      </c>
      <c r="Q26" s="145">
        <v>16.6010580626</v>
      </c>
      <c r="R26" s="148"/>
      <c r="S26" s="147">
        <v>1520199</v>
      </c>
      <c r="T26" s="145">
        <v>55.998928792299999</v>
      </c>
      <c r="U26" s="146"/>
      <c r="V26" s="186">
        <v>652760</v>
      </c>
      <c r="W26" s="188">
        <v>24.045444549300001</v>
      </c>
      <c r="X26" s="146"/>
      <c r="Y26" s="186">
        <v>826093</v>
      </c>
      <c r="Z26" s="145">
        <v>30.430439095699999</v>
      </c>
      <c r="AA26" s="146"/>
      <c r="AB26" s="147">
        <v>2356912</v>
      </c>
      <c r="AC26" s="145">
        <v>17.3999142744</v>
      </c>
      <c r="AD26" s="148"/>
      <c r="AE26" s="147">
        <v>1213728</v>
      </c>
      <c r="AF26" s="145">
        <v>51.4965344485</v>
      </c>
      <c r="AG26" s="146"/>
      <c r="AH26" s="186">
        <v>712401</v>
      </c>
      <c r="AI26" s="188">
        <v>30.226033046600001</v>
      </c>
      <c r="AJ26" s="146"/>
      <c r="AK26" s="186">
        <v>615571</v>
      </c>
      <c r="AL26" s="188">
        <v>26.117691284199999</v>
      </c>
    </row>
    <row r="27" spans="2:38" ht="6.95" customHeight="1" x14ac:dyDescent="0.25">
      <c r="B27" s="166"/>
      <c r="C27" s="105"/>
      <c r="D27" s="141"/>
      <c r="E27" s="156"/>
      <c r="F27" s="143"/>
      <c r="G27" s="141"/>
      <c r="H27" s="156"/>
      <c r="I27" s="156"/>
      <c r="J27" s="141"/>
      <c r="K27" s="156"/>
      <c r="L27" s="156"/>
      <c r="M27" s="141"/>
      <c r="N27" s="157"/>
      <c r="O27" s="157"/>
      <c r="P27" s="154"/>
      <c r="Q27" s="155"/>
      <c r="R27" s="155"/>
      <c r="S27" s="141"/>
      <c r="T27" s="155"/>
      <c r="U27" s="155"/>
      <c r="V27" s="141"/>
      <c r="W27" s="155"/>
      <c r="X27" s="155"/>
      <c r="Y27" s="141"/>
      <c r="Z27" s="155"/>
      <c r="AA27" s="155"/>
      <c r="AB27" s="141"/>
      <c r="AC27" s="155"/>
      <c r="AD27" s="143"/>
      <c r="AE27" s="141"/>
      <c r="AF27" s="155"/>
      <c r="AG27" s="155"/>
      <c r="AH27" s="141"/>
      <c r="AI27" s="155"/>
      <c r="AJ27" s="155"/>
      <c r="AK27" s="141"/>
      <c r="AL27" s="155"/>
    </row>
    <row r="28" spans="2:38" x14ac:dyDescent="0.25">
      <c r="B28" s="165" t="s">
        <v>7</v>
      </c>
      <c r="C28" s="104"/>
      <c r="D28" s="141">
        <v>56723537</v>
      </c>
      <c r="E28" s="142">
        <v>100</v>
      </c>
      <c r="F28" s="143"/>
      <c r="G28" s="141">
        <v>16737211</v>
      </c>
      <c r="H28" s="142">
        <v>29.506642013499999</v>
      </c>
      <c r="I28" s="144"/>
      <c r="J28" s="141">
        <v>25648313</v>
      </c>
      <c r="K28" s="142">
        <v>45.216349960700001</v>
      </c>
      <c r="L28" s="144"/>
      <c r="M28" s="141">
        <v>53514606</v>
      </c>
      <c r="N28" s="142">
        <v>94.342858062600001</v>
      </c>
      <c r="O28" s="144"/>
      <c r="P28" s="141">
        <v>30136450</v>
      </c>
      <c r="Q28" s="142">
        <v>100</v>
      </c>
      <c r="R28" s="143"/>
      <c r="S28" s="141">
        <v>8225279</v>
      </c>
      <c r="T28" s="142">
        <v>27.293456926699999</v>
      </c>
      <c r="U28" s="144"/>
      <c r="V28" s="141">
        <v>12429758</v>
      </c>
      <c r="W28" s="142">
        <v>41.244930972299997</v>
      </c>
      <c r="X28" s="144"/>
      <c r="Y28" s="141">
        <v>28614400</v>
      </c>
      <c r="Z28" s="142">
        <v>94.9494714872</v>
      </c>
      <c r="AA28" s="144"/>
      <c r="AB28" s="141">
        <v>26587087</v>
      </c>
      <c r="AC28" s="142">
        <v>100</v>
      </c>
      <c r="AD28" s="143"/>
      <c r="AE28" s="141">
        <v>8511932</v>
      </c>
      <c r="AF28" s="142">
        <v>32.015286217700002</v>
      </c>
      <c r="AG28" s="144"/>
      <c r="AH28" s="141">
        <v>13218555</v>
      </c>
      <c r="AI28" s="142">
        <v>49.717951425099997</v>
      </c>
      <c r="AJ28" s="144"/>
      <c r="AK28" s="141">
        <v>24900206</v>
      </c>
      <c r="AL28" s="142">
        <v>93.655262045100002</v>
      </c>
    </row>
    <row r="29" spans="2:38" ht="6.95" customHeight="1" x14ac:dyDescent="0.25">
      <c r="B29" s="165"/>
      <c r="C29" s="104"/>
      <c r="D29" s="141"/>
      <c r="E29" s="145"/>
      <c r="F29" s="143"/>
      <c r="G29" s="141"/>
      <c r="H29" s="145"/>
      <c r="I29" s="146"/>
      <c r="J29" s="141"/>
      <c r="K29" s="145"/>
      <c r="L29" s="144"/>
      <c r="M29" s="141"/>
      <c r="N29" s="145"/>
      <c r="O29" s="146"/>
      <c r="P29" s="141"/>
      <c r="Q29" s="145"/>
      <c r="R29" s="143"/>
      <c r="S29" s="141"/>
      <c r="T29" s="145"/>
      <c r="U29" s="146"/>
      <c r="V29" s="141"/>
      <c r="W29" s="145"/>
      <c r="X29" s="144"/>
      <c r="Y29" s="141"/>
      <c r="Z29" s="145"/>
      <c r="AA29" s="144"/>
      <c r="AB29" s="141"/>
      <c r="AC29" s="145"/>
      <c r="AD29" s="143"/>
      <c r="AE29" s="141"/>
      <c r="AF29" s="145"/>
      <c r="AG29" s="146"/>
      <c r="AH29" s="141"/>
      <c r="AI29" s="145"/>
      <c r="AJ29" s="144"/>
      <c r="AK29" s="141"/>
      <c r="AL29" s="145"/>
    </row>
    <row r="30" spans="2:38" ht="22.5" x14ac:dyDescent="0.25">
      <c r="B30" s="50" t="s">
        <v>69</v>
      </c>
      <c r="C30" s="37"/>
      <c r="D30" s="147">
        <v>53505584</v>
      </c>
      <c r="E30" s="145">
        <v>94.3269528485</v>
      </c>
      <c r="F30" s="148"/>
      <c r="G30" s="147">
        <v>2421909</v>
      </c>
      <c r="H30" s="145">
        <v>4.5264602663</v>
      </c>
      <c r="I30" s="146"/>
      <c r="J30" s="147">
        <v>8536238</v>
      </c>
      <c r="K30" s="145">
        <v>15.953919875</v>
      </c>
      <c r="L30" s="146"/>
      <c r="M30" s="147">
        <v>50112807</v>
      </c>
      <c r="N30" s="145">
        <v>93.659022579799995</v>
      </c>
      <c r="O30" s="146"/>
      <c r="P30" s="147">
        <v>28655276</v>
      </c>
      <c r="Q30" s="145">
        <v>95.085107900899999</v>
      </c>
      <c r="R30" s="148"/>
      <c r="S30" s="147">
        <v>1219003</v>
      </c>
      <c r="T30" s="145">
        <v>4.2540263788999999</v>
      </c>
      <c r="U30" s="146"/>
      <c r="V30" s="147">
        <v>3880007</v>
      </c>
      <c r="W30" s="145">
        <v>13.5402883574</v>
      </c>
      <c r="X30" s="146"/>
      <c r="Y30" s="147">
        <v>27095378</v>
      </c>
      <c r="Z30" s="145">
        <v>94.556332313799999</v>
      </c>
      <c r="AA30" s="146"/>
      <c r="AB30" s="147">
        <v>24850308</v>
      </c>
      <c r="AC30" s="145">
        <v>93.467584470600002</v>
      </c>
      <c r="AD30" s="148"/>
      <c r="AE30" s="147">
        <v>1202906</v>
      </c>
      <c r="AF30" s="145">
        <v>4.8406080117999997</v>
      </c>
      <c r="AG30" s="146"/>
      <c r="AH30" s="147">
        <v>4656231</v>
      </c>
      <c r="AI30" s="145">
        <v>18.737115853900001</v>
      </c>
      <c r="AJ30" s="146"/>
      <c r="AK30" s="147">
        <v>23017429</v>
      </c>
      <c r="AL30" s="145">
        <v>92.624320793099997</v>
      </c>
    </row>
    <row r="31" spans="2:38" s="69" customFormat="1" ht="45" customHeight="1" x14ac:dyDescent="0.25">
      <c r="B31" s="50" t="s">
        <v>70</v>
      </c>
      <c r="C31" s="50"/>
      <c r="D31" s="147">
        <v>50993447</v>
      </c>
      <c r="E31" s="145">
        <v>89.898214562999996</v>
      </c>
      <c r="F31" s="148"/>
      <c r="G31" s="147">
        <v>1657715</v>
      </c>
      <c r="H31" s="145">
        <v>3.2508392696000001</v>
      </c>
      <c r="I31" s="146"/>
      <c r="J31" s="147">
        <v>21776584</v>
      </c>
      <c r="K31" s="145">
        <v>42.704671445300001</v>
      </c>
      <c r="L31" s="146"/>
      <c r="M31" s="147">
        <v>39425192</v>
      </c>
      <c r="N31" s="145">
        <v>77.314232160100005</v>
      </c>
      <c r="O31" s="146"/>
      <c r="P31" s="147">
        <v>27217605</v>
      </c>
      <c r="Q31" s="145">
        <v>90.314569234299995</v>
      </c>
      <c r="R31" s="148"/>
      <c r="S31" s="147">
        <v>805596</v>
      </c>
      <c r="T31" s="145">
        <v>2.9598342689999999</v>
      </c>
      <c r="U31" s="146"/>
      <c r="V31" s="147">
        <v>10476256</v>
      </c>
      <c r="W31" s="145">
        <v>38.490734214100002</v>
      </c>
      <c r="X31" s="146"/>
      <c r="Y31" s="147">
        <v>21567657</v>
      </c>
      <c r="Z31" s="145">
        <v>79.241568095399998</v>
      </c>
      <c r="AA31" s="146"/>
      <c r="AB31" s="147">
        <v>23775842</v>
      </c>
      <c r="AC31" s="145">
        <v>89.426276748600003</v>
      </c>
      <c r="AD31" s="148"/>
      <c r="AE31" s="147">
        <v>852119</v>
      </c>
      <c r="AF31" s="145">
        <v>3.5839698126999999</v>
      </c>
      <c r="AG31" s="146"/>
      <c r="AH31" s="147">
        <v>11300328</v>
      </c>
      <c r="AI31" s="145">
        <v>47.528613287399999</v>
      </c>
      <c r="AJ31" s="146"/>
      <c r="AK31" s="147">
        <v>17857535</v>
      </c>
      <c r="AL31" s="145">
        <v>75.107897335499999</v>
      </c>
    </row>
    <row r="32" spans="2:38" s="69" customFormat="1" ht="45" customHeight="1" x14ac:dyDescent="0.25">
      <c r="B32" s="50" t="s">
        <v>11</v>
      </c>
      <c r="C32" s="50"/>
      <c r="D32" s="147">
        <v>42008714</v>
      </c>
      <c r="E32" s="145">
        <v>74.058699830400002</v>
      </c>
      <c r="F32" s="148"/>
      <c r="G32" s="147">
        <v>8221042</v>
      </c>
      <c r="H32" s="145">
        <v>19.569849246</v>
      </c>
      <c r="I32" s="146"/>
      <c r="J32" s="147">
        <v>8604301</v>
      </c>
      <c r="K32" s="145">
        <v>20.482181387400001</v>
      </c>
      <c r="L32" s="146"/>
      <c r="M32" s="147">
        <v>32162830</v>
      </c>
      <c r="N32" s="145">
        <v>76.562281816099997</v>
      </c>
      <c r="O32" s="146"/>
      <c r="P32" s="147">
        <v>21510772</v>
      </c>
      <c r="Q32" s="145">
        <v>71.377922748000003</v>
      </c>
      <c r="R32" s="148"/>
      <c r="S32" s="147">
        <v>3976611</v>
      </c>
      <c r="T32" s="145">
        <v>18.486602898299999</v>
      </c>
      <c r="U32" s="146"/>
      <c r="V32" s="147">
        <v>3717568</v>
      </c>
      <c r="W32" s="145">
        <v>17.282355091700001</v>
      </c>
      <c r="X32" s="146"/>
      <c r="Y32" s="147">
        <v>16788166</v>
      </c>
      <c r="Z32" s="145">
        <v>78.045390467600001</v>
      </c>
      <c r="AA32" s="146"/>
      <c r="AB32" s="147">
        <v>20497942</v>
      </c>
      <c r="AC32" s="145">
        <v>77.097359330900005</v>
      </c>
      <c r="AD32" s="148"/>
      <c r="AE32" s="147">
        <v>4244431</v>
      </c>
      <c r="AF32" s="145">
        <v>20.706620206099998</v>
      </c>
      <c r="AG32" s="146"/>
      <c r="AH32" s="147">
        <v>4886733</v>
      </c>
      <c r="AI32" s="145">
        <v>23.840115266200002</v>
      </c>
      <c r="AJ32" s="146"/>
      <c r="AK32" s="147">
        <v>15374664</v>
      </c>
      <c r="AL32" s="145">
        <v>75.005890835299994</v>
      </c>
    </row>
    <row r="33" spans="2:38" s="69" customFormat="1" ht="45" customHeight="1" x14ac:dyDescent="0.25">
      <c r="B33" s="50" t="s">
        <v>41</v>
      </c>
      <c r="C33" s="50"/>
      <c r="D33" s="147">
        <v>37628894</v>
      </c>
      <c r="E33" s="145">
        <v>66.337354809199994</v>
      </c>
      <c r="F33" s="148"/>
      <c r="G33" s="147">
        <v>4741029</v>
      </c>
      <c r="H33" s="145">
        <v>12.599437549199999</v>
      </c>
      <c r="I33" s="146"/>
      <c r="J33" s="147">
        <v>5410796</v>
      </c>
      <c r="K33" s="145">
        <v>14.3793649635</v>
      </c>
      <c r="L33" s="146"/>
      <c r="M33" s="147">
        <v>33450094</v>
      </c>
      <c r="N33" s="145">
        <v>88.894704160100005</v>
      </c>
      <c r="O33" s="146"/>
      <c r="P33" s="147">
        <v>20768504</v>
      </c>
      <c r="Q33" s="145">
        <v>68.914898735600005</v>
      </c>
      <c r="R33" s="148"/>
      <c r="S33" s="147">
        <v>2238670</v>
      </c>
      <c r="T33" s="145">
        <v>10.779158672199999</v>
      </c>
      <c r="U33" s="146"/>
      <c r="V33" s="147">
        <v>2548681</v>
      </c>
      <c r="W33" s="145">
        <v>12.271856461100001</v>
      </c>
      <c r="X33" s="146"/>
      <c r="Y33" s="147">
        <v>18952914</v>
      </c>
      <c r="Z33" s="145">
        <v>91.257964463899995</v>
      </c>
      <c r="AA33" s="146"/>
      <c r="AB33" s="147">
        <v>16860390</v>
      </c>
      <c r="AC33" s="145">
        <v>63.41571004</v>
      </c>
      <c r="AD33" s="148"/>
      <c r="AE33" s="147">
        <v>2502359</v>
      </c>
      <c r="AF33" s="145">
        <v>14.841643639300001</v>
      </c>
      <c r="AG33" s="146"/>
      <c r="AH33" s="147">
        <v>2862115</v>
      </c>
      <c r="AI33" s="145">
        <v>16.975378386900001</v>
      </c>
      <c r="AJ33" s="146"/>
      <c r="AK33" s="147">
        <v>14497180</v>
      </c>
      <c r="AL33" s="145">
        <v>85.983657554800004</v>
      </c>
    </row>
    <row r="34" spans="2:38" s="69" customFormat="1" ht="45" customHeight="1" x14ac:dyDescent="0.25">
      <c r="B34" s="50" t="s">
        <v>71</v>
      </c>
      <c r="C34" s="50"/>
      <c r="D34" s="147">
        <v>20077453</v>
      </c>
      <c r="E34" s="145">
        <v>35.395276920100002</v>
      </c>
      <c r="F34" s="148"/>
      <c r="G34" s="147">
        <v>11707300</v>
      </c>
      <c r="H34" s="145">
        <v>58.310683132999998</v>
      </c>
      <c r="I34" s="146"/>
      <c r="J34" s="147">
        <v>6979569</v>
      </c>
      <c r="K34" s="145">
        <v>34.763219219100002</v>
      </c>
      <c r="L34" s="146"/>
      <c r="M34" s="147">
        <v>4115938</v>
      </c>
      <c r="N34" s="145">
        <v>20.5002995151</v>
      </c>
      <c r="O34" s="146"/>
      <c r="P34" s="147">
        <v>9691755</v>
      </c>
      <c r="Q34" s="145">
        <v>32.159577521599999</v>
      </c>
      <c r="R34" s="148"/>
      <c r="S34" s="147">
        <v>5866024</v>
      </c>
      <c r="T34" s="145">
        <v>60.525921259900002</v>
      </c>
      <c r="U34" s="146"/>
      <c r="V34" s="147">
        <v>3018581</v>
      </c>
      <c r="W34" s="145">
        <v>31.1458657385</v>
      </c>
      <c r="X34" s="146"/>
      <c r="Y34" s="147">
        <v>1973693</v>
      </c>
      <c r="Z34" s="145">
        <v>20.364660476899999</v>
      </c>
      <c r="AA34" s="146"/>
      <c r="AB34" s="147">
        <v>10385698</v>
      </c>
      <c r="AC34" s="145">
        <v>39.0629405922</v>
      </c>
      <c r="AD34" s="148"/>
      <c r="AE34" s="147">
        <v>5841276</v>
      </c>
      <c r="AF34" s="145">
        <v>56.243460959499998</v>
      </c>
      <c r="AG34" s="146"/>
      <c r="AH34" s="147">
        <v>3960988</v>
      </c>
      <c r="AI34" s="145">
        <v>38.1388713594</v>
      </c>
      <c r="AJ34" s="146"/>
      <c r="AK34" s="147">
        <v>2142245</v>
      </c>
      <c r="AL34" s="145">
        <v>20.626875536</v>
      </c>
    </row>
    <row r="35" spans="2:38" ht="6.95" customHeight="1" x14ac:dyDescent="0.25">
      <c r="B35" s="12"/>
      <c r="C35" s="12"/>
      <c r="D35" s="115"/>
      <c r="E35" s="13"/>
      <c r="F35" s="13"/>
      <c r="G35" s="115"/>
      <c r="H35" s="13"/>
      <c r="I35" s="13"/>
      <c r="J35" s="115"/>
      <c r="K35" s="13"/>
      <c r="L35" s="13"/>
      <c r="M35" s="115"/>
      <c r="N35" s="13"/>
      <c r="O35" s="13"/>
      <c r="P35" s="124"/>
      <c r="Q35" s="23"/>
      <c r="R35" s="23"/>
      <c r="S35" s="124"/>
      <c r="T35" s="23"/>
      <c r="U35" s="23"/>
      <c r="V35" s="124"/>
      <c r="W35" s="23"/>
      <c r="X35" s="23"/>
      <c r="Y35" s="124"/>
      <c r="Z35" s="23"/>
      <c r="AA35" s="23"/>
      <c r="AB35" s="124"/>
      <c r="AC35" s="23"/>
      <c r="AD35" s="23"/>
      <c r="AE35" s="124"/>
      <c r="AF35" s="23"/>
      <c r="AG35" s="23"/>
      <c r="AH35" s="124"/>
      <c r="AI35" s="23"/>
      <c r="AJ35" s="23"/>
      <c r="AK35" s="124"/>
      <c r="AL35" s="23"/>
    </row>
    <row r="36" spans="2:38" ht="6.95" customHeight="1" x14ac:dyDescent="0.25">
      <c r="B36" s="9"/>
      <c r="C36" s="9"/>
      <c r="D36" s="116"/>
      <c r="E36" s="8"/>
      <c r="F36" s="8"/>
      <c r="G36" s="116"/>
      <c r="H36" s="8"/>
      <c r="I36" s="8"/>
      <c r="J36" s="116"/>
      <c r="K36" s="8"/>
      <c r="L36" s="8"/>
      <c r="M36" s="116"/>
      <c r="N36" s="8"/>
      <c r="O36" s="8"/>
    </row>
    <row r="37" spans="2:38" ht="12" customHeight="1" x14ac:dyDescent="0.25">
      <c r="B37" s="91" t="s">
        <v>35</v>
      </c>
      <c r="C37" s="91"/>
      <c r="D37" s="137"/>
      <c r="E37" s="15"/>
      <c r="F37" s="15"/>
      <c r="G37" s="137"/>
      <c r="H37" s="15"/>
      <c r="I37" s="15"/>
      <c r="J37" s="137"/>
      <c r="K37" s="15"/>
      <c r="L37" s="15"/>
      <c r="M37" s="139"/>
      <c r="N37" s="16"/>
      <c r="O37" s="16"/>
    </row>
    <row r="38" spans="2:38" ht="12" customHeight="1" x14ac:dyDescent="0.25">
      <c r="B38" s="91" t="s">
        <v>36</v>
      </c>
      <c r="C38" s="91"/>
      <c r="D38" s="138"/>
      <c r="E38" s="17"/>
      <c r="F38" s="17"/>
      <c r="G38" s="138"/>
      <c r="H38" s="17"/>
      <c r="I38" s="17"/>
      <c r="J38" s="138"/>
      <c r="K38" s="17"/>
      <c r="L38" s="17"/>
      <c r="M38" s="138"/>
      <c r="N38" s="18"/>
      <c r="O38" s="18"/>
    </row>
    <row r="39" spans="2:38" ht="24" customHeight="1" x14ac:dyDescent="0.25">
      <c r="B39" s="236" t="s">
        <v>88</v>
      </c>
      <c r="C39" s="236"/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197"/>
      <c r="R39" s="197"/>
      <c r="S39" s="197"/>
    </row>
    <row r="40" spans="2:38" ht="12" customHeight="1" x14ac:dyDescent="0.25">
      <c r="B40" s="201" t="s">
        <v>92</v>
      </c>
      <c r="C40" s="201"/>
      <c r="D40" s="138"/>
      <c r="E40" s="17"/>
      <c r="F40" s="17"/>
      <c r="G40" s="138"/>
      <c r="H40" s="17"/>
      <c r="I40" s="17"/>
      <c r="J40" s="138"/>
      <c r="K40" s="17"/>
      <c r="L40" s="17"/>
      <c r="M40" s="138"/>
      <c r="N40" s="18"/>
      <c r="O40" s="18"/>
    </row>
    <row r="41" spans="2:38" ht="12" customHeight="1" x14ac:dyDescent="0.25">
      <c r="B41" s="198" t="s">
        <v>89</v>
      </c>
      <c r="C41" s="198"/>
      <c r="D41" s="138"/>
      <c r="E41" s="17"/>
      <c r="F41" s="17"/>
      <c r="G41" s="138"/>
      <c r="H41" s="17"/>
      <c r="I41" s="17"/>
      <c r="J41" s="138"/>
      <c r="K41" s="17"/>
      <c r="L41" s="17"/>
      <c r="M41" s="138"/>
      <c r="N41" s="18"/>
      <c r="O41" s="18"/>
    </row>
    <row r="42" spans="2:38" ht="12" customHeight="1" x14ac:dyDescent="0.25">
      <c r="B42" s="199" t="s">
        <v>90</v>
      </c>
      <c r="C42" s="199"/>
      <c r="D42" s="138"/>
      <c r="E42" s="17"/>
      <c r="F42" s="17"/>
      <c r="G42" s="138"/>
      <c r="H42" s="17"/>
      <c r="I42" s="17"/>
      <c r="J42" s="138"/>
      <c r="K42" s="17"/>
      <c r="L42" s="17"/>
      <c r="M42" s="138"/>
      <c r="N42" s="18"/>
      <c r="O42" s="18"/>
    </row>
    <row r="43" spans="2:38" ht="12" customHeight="1" x14ac:dyDescent="0.25">
      <c r="B43" s="200" t="s">
        <v>91</v>
      </c>
      <c r="C43" s="200"/>
      <c r="D43" s="138"/>
      <c r="E43" s="17"/>
      <c r="F43" s="17"/>
      <c r="G43" s="138"/>
      <c r="H43" s="17"/>
      <c r="I43" s="17"/>
      <c r="J43" s="138"/>
      <c r="K43" s="17"/>
      <c r="L43" s="17"/>
      <c r="M43" s="138"/>
      <c r="N43" s="18"/>
      <c r="O43" s="18"/>
    </row>
    <row r="44" spans="2:38" ht="12" customHeight="1" x14ac:dyDescent="0.25">
      <c r="B44" s="231" t="s">
        <v>65</v>
      </c>
      <c r="C44" s="231"/>
      <c r="D44" s="231"/>
      <c r="E44" s="231"/>
      <c r="F44" s="231"/>
      <c r="G44" s="231"/>
      <c r="H44" s="19"/>
      <c r="I44" s="19"/>
      <c r="J44" s="117"/>
      <c r="K44" s="19"/>
      <c r="L44" s="19"/>
      <c r="M44" s="117"/>
      <c r="N44" s="2"/>
      <c r="O44" s="2"/>
    </row>
  </sheetData>
  <mergeCells count="21">
    <mergeCell ref="AH9:AI9"/>
    <mergeCell ref="AK9:AL9"/>
    <mergeCell ref="V9:W9"/>
    <mergeCell ref="Y9:Z9"/>
    <mergeCell ref="AB7:AL7"/>
    <mergeCell ref="AB8:AC9"/>
    <mergeCell ref="AE8:AL8"/>
    <mergeCell ref="AE9:AF9"/>
    <mergeCell ref="B44:G44"/>
    <mergeCell ref="G9:H9"/>
    <mergeCell ref="J9:K9"/>
    <mergeCell ref="M9:N9"/>
    <mergeCell ref="B39:P39"/>
    <mergeCell ref="S9:T9"/>
    <mergeCell ref="B7:B10"/>
    <mergeCell ref="D7:N7"/>
    <mergeCell ref="P7:Z7"/>
    <mergeCell ref="P8:Q9"/>
    <mergeCell ref="S8:Z8"/>
    <mergeCell ref="D8:E9"/>
    <mergeCell ref="G8:N8"/>
  </mergeCells>
  <hyperlinks>
    <hyperlink ref="AL1" location="Índice!A1" tooltip="Ir a ÍNDICE" display="INDICE" xr:uid="{BE71448F-2D10-4ED2-8B82-2576C7589027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3446-8BD7-4AF1-BCB7-5BBF6BB6650A}">
  <dimension ref="B1:K3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9" customWidth="1"/>
    <col min="5" max="5" width="15.7109375" customWidth="1"/>
    <col min="6" max="6" width="1.7109375" customWidth="1"/>
    <col min="7" max="7" width="15.7109375" style="109" customWidth="1"/>
    <col min="8" max="8" width="15.7109375" customWidth="1"/>
    <col min="9" max="9" width="1.7109375" customWidth="1"/>
    <col min="10" max="10" width="15.7109375" style="109" customWidth="1"/>
    <col min="11" max="11" width="15.7109375" customWidth="1"/>
  </cols>
  <sheetData>
    <row r="1" spans="2:11" x14ac:dyDescent="0.25">
      <c r="B1" s="251" t="s">
        <v>94</v>
      </c>
      <c r="C1" s="42"/>
      <c r="K1" s="51" t="s">
        <v>27</v>
      </c>
    </row>
    <row r="2" spans="2:11" ht="6.95" customHeight="1" x14ac:dyDescent="0.25"/>
    <row r="3" spans="2:11" x14ac:dyDescent="0.25">
      <c r="B3" s="42" t="s">
        <v>87</v>
      </c>
    </row>
    <row r="4" spans="2:11" ht="6.95" customHeight="1" x14ac:dyDescent="0.25">
      <c r="B4" s="24"/>
      <c r="C4" s="24"/>
      <c r="D4" s="126"/>
      <c r="E4" s="25"/>
      <c r="F4" s="25"/>
      <c r="G4" s="126"/>
      <c r="H4" s="26"/>
      <c r="I4" s="26"/>
      <c r="J4" s="130"/>
    </row>
    <row r="5" spans="2:11" ht="30" customHeight="1" x14ac:dyDescent="0.25">
      <c r="B5" s="243" t="s">
        <v>82</v>
      </c>
      <c r="C5" s="243"/>
      <c r="D5" s="243"/>
      <c r="E5" s="243"/>
      <c r="F5" s="243"/>
      <c r="G5" s="243"/>
      <c r="H5" s="243"/>
      <c r="I5" s="27"/>
      <c r="J5" s="131"/>
      <c r="K5" s="53" t="s">
        <v>46</v>
      </c>
    </row>
    <row r="6" spans="2:11" ht="6.95" customHeight="1" x14ac:dyDescent="0.25">
      <c r="B6" s="28"/>
      <c r="C6" s="28"/>
      <c r="D6" s="127"/>
      <c r="E6" s="55"/>
      <c r="F6" s="55"/>
      <c r="G6" s="127"/>
      <c r="H6" s="29"/>
      <c r="I6" s="29"/>
      <c r="J6" s="132"/>
      <c r="K6" s="29"/>
    </row>
    <row r="7" spans="2:11" ht="15" customHeight="1" x14ac:dyDescent="0.25">
      <c r="B7" s="237" t="s">
        <v>72</v>
      </c>
      <c r="C7" s="183"/>
      <c r="D7" s="240" t="s">
        <v>21</v>
      </c>
      <c r="E7" s="240"/>
      <c r="F7" s="176"/>
      <c r="G7" s="242" t="s">
        <v>83</v>
      </c>
      <c r="H7" s="242"/>
      <c r="I7" s="242"/>
      <c r="J7" s="242"/>
      <c r="K7" s="242"/>
    </row>
    <row r="8" spans="2:11" ht="15" customHeight="1" x14ac:dyDescent="0.25">
      <c r="B8" s="238"/>
      <c r="C8" s="184"/>
      <c r="D8" s="241"/>
      <c r="E8" s="241"/>
      <c r="F8" s="177"/>
      <c r="G8" s="241" t="s">
        <v>8</v>
      </c>
      <c r="H8" s="241"/>
      <c r="I8" s="177"/>
      <c r="J8" s="241" t="s">
        <v>5</v>
      </c>
      <c r="K8" s="241"/>
    </row>
    <row r="9" spans="2:11" ht="15" customHeight="1" x14ac:dyDescent="0.25">
      <c r="B9" s="239"/>
      <c r="C9" s="34"/>
      <c r="D9" s="178" t="s">
        <v>84</v>
      </c>
      <c r="E9" s="179" t="s">
        <v>26</v>
      </c>
      <c r="F9" s="180"/>
      <c r="G9" s="178" t="s">
        <v>84</v>
      </c>
      <c r="H9" s="179" t="s">
        <v>26</v>
      </c>
      <c r="I9" s="180"/>
      <c r="J9" s="178" t="s">
        <v>84</v>
      </c>
      <c r="K9" s="179" t="s">
        <v>26</v>
      </c>
    </row>
    <row r="10" spans="2:11" ht="6.95" customHeight="1" x14ac:dyDescent="0.25">
      <c r="B10" s="31"/>
      <c r="C10" s="31"/>
      <c r="D10" s="177"/>
      <c r="E10" s="181"/>
      <c r="F10" s="182"/>
      <c r="G10" s="177"/>
      <c r="H10" s="181"/>
      <c r="I10" s="182"/>
      <c r="J10" s="177"/>
      <c r="K10" s="181"/>
    </row>
    <row r="11" spans="2:11" x14ac:dyDescent="0.25">
      <c r="B11" s="56" t="s">
        <v>1</v>
      </c>
      <c r="C11" s="56"/>
      <c r="D11" s="141">
        <v>86621605</v>
      </c>
      <c r="E11" s="142">
        <v>100</v>
      </c>
      <c r="F11" s="144"/>
      <c r="G11" s="141">
        <v>46488980</v>
      </c>
      <c r="H11" s="142">
        <v>100</v>
      </c>
      <c r="I11" s="144"/>
      <c r="J11" s="141">
        <v>40132625</v>
      </c>
      <c r="K11" s="142">
        <v>100</v>
      </c>
    </row>
    <row r="12" spans="2:11" ht="6.95" customHeight="1" x14ac:dyDescent="0.25">
      <c r="B12" s="31"/>
      <c r="C12" s="31"/>
      <c r="D12" s="141"/>
      <c r="E12" s="145"/>
      <c r="F12" s="144"/>
      <c r="G12" s="141"/>
      <c r="H12" s="145"/>
      <c r="I12" s="146"/>
      <c r="J12" s="141"/>
      <c r="K12" s="145"/>
    </row>
    <row r="13" spans="2:11" ht="30" customHeight="1" x14ac:dyDescent="0.25">
      <c r="B13" s="171" t="s">
        <v>68</v>
      </c>
      <c r="C13" s="57"/>
      <c r="D13" s="147">
        <v>32392123</v>
      </c>
      <c r="E13" s="145">
        <v>37.394969765299997</v>
      </c>
      <c r="F13" s="144"/>
      <c r="G13" s="147">
        <v>15991673</v>
      </c>
      <c r="H13" s="145">
        <v>34.398846780500001</v>
      </c>
      <c r="I13" s="144"/>
      <c r="J13" s="147">
        <v>16400450</v>
      </c>
      <c r="K13" s="145">
        <v>40.8656298959</v>
      </c>
    </row>
    <row r="14" spans="2:11" ht="30" customHeight="1" x14ac:dyDescent="0.25">
      <c r="B14" s="171" t="s">
        <v>48</v>
      </c>
      <c r="C14" s="59"/>
      <c r="D14" s="147">
        <v>54229482</v>
      </c>
      <c r="E14" s="145">
        <v>62.605030234700003</v>
      </c>
      <c r="F14" s="144"/>
      <c r="G14" s="147">
        <v>30497307</v>
      </c>
      <c r="H14" s="145">
        <v>65.601153219500006</v>
      </c>
      <c r="I14" s="144"/>
      <c r="J14" s="147">
        <v>23732175</v>
      </c>
      <c r="K14" s="145">
        <v>59.1343701041</v>
      </c>
    </row>
    <row r="15" spans="2:11" ht="6.95" customHeight="1" x14ac:dyDescent="0.25">
      <c r="B15" s="168"/>
      <c r="C15" s="32"/>
      <c r="D15" s="141"/>
      <c r="E15" s="151"/>
      <c r="F15" s="33"/>
      <c r="G15" s="141"/>
      <c r="H15" s="151"/>
      <c r="I15" s="151"/>
      <c r="J15" s="141"/>
      <c r="K15" s="151"/>
    </row>
    <row r="16" spans="2:11" x14ac:dyDescent="0.25">
      <c r="B16" s="169" t="s">
        <v>6</v>
      </c>
      <c r="C16" s="100"/>
      <c r="D16" s="141">
        <v>29898068</v>
      </c>
      <c r="E16" s="142">
        <v>100</v>
      </c>
      <c r="F16" s="144"/>
      <c r="G16" s="141">
        <v>16352530</v>
      </c>
      <c r="H16" s="142">
        <v>100</v>
      </c>
      <c r="I16" s="144"/>
      <c r="J16" s="141">
        <v>13545538</v>
      </c>
      <c r="K16" s="142">
        <v>100</v>
      </c>
    </row>
    <row r="17" spans="2:11" ht="6.95" customHeight="1" x14ac:dyDescent="0.25">
      <c r="B17" s="169"/>
      <c r="C17" s="100"/>
      <c r="D17" s="141"/>
      <c r="E17" s="145"/>
      <c r="F17" s="144"/>
      <c r="G17" s="141"/>
      <c r="H17" s="145"/>
      <c r="I17" s="146"/>
      <c r="J17" s="141"/>
      <c r="K17" s="145"/>
    </row>
    <row r="18" spans="2:11" ht="30" customHeight="1" x14ac:dyDescent="0.25">
      <c r="B18" s="171" t="s">
        <v>68</v>
      </c>
      <c r="C18" s="57"/>
      <c r="D18" s="147">
        <v>6767912</v>
      </c>
      <c r="E18" s="145">
        <v>22.636619864499998</v>
      </c>
      <c r="F18" s="144"/>
      <c r="G18" s="147">
        <v>3461986</v>
      </c>
      <c r="H18" s="145">
        <v>21.1709503055</v>
      </c>
      <c r="I18" s="144"/>
      <c r="J18" s="147">
        <v>3305926</v>
      </c>
      <c r="K18" s="145">
        <v>24.406014733399999</v>
      </c>
    </row>
    <row r="19" spans="2:11" ht="30" customHeight="1" x14ac:dyDescent="0.25">
      <c r="B19" s="171" t="s">
        <v>48</v>
      </c>
      <c r="C19" s="57"/>
      <c r="D19" s="147">
        <v>23130156</v>
      </c>
      <c r="E19" s="145">
        <v>77.363380135499995</v>
      </c>
      <c r="F19" s="144"/>
      <c r="G19" s="147">
        <v>12890544</v>
      </c>
      <c r="H19" s="145">
        <v>78.8290496945</v>
      </c>
      <c r="I19" s="144"/>
      <c r="J19" s="147">
        <v>10239612</v>
      </c>
      <c r="K19" s="145">
        <v>75.593985266600001</v>
      </c>
    </row>
    <row r="20" spans="2:11" ht="7.5" customHeight="1" x14ac:dyDescent="0.25">
      <c r="B20" s="170"/>
      <c r="C20" s="60"/>
      <c r="D20" s="141"/>
      <c r="E20" s="151"/>
      <c r="F20" s="33"/>
      <c r="G20" s="141"/>
      <c r="H20" s="151"/>
      <c r="I20" s="151"/>
      <c r="J20" s="141"/>
      <c r="K20" s="151"/>
    </row>
    <row r="21" spans="2:11" x14ac:dyDescent="0.25">
      <c r="B21" s="169" t="s">
        <v>7</v>
      </c>
      <c r="C21" s="100"/>
      <c r="D21" s="141">
        <v>56723537</v>
      </c>
      <c r="E21" s="142">
        <v>100</v>
      </c>
      <c r="F21" s="144"/>
      <c r="G21" s="141">
        <v>30136450</v>
      </c>
      <c r="H21" s="142">
        <v>100</v>
      </c>
      <c r="I21" s="144"/>
      <c r="J21" s="141">
        <v>26587087</v>
      </c>
      <c r="K21" s="142">
        <v>100</v>
      </c>
    </row>
    <row r="22" spans="2:11" ht="7.5" customHeight="1" x14ac:dyDescent="0.25">
      <c r="B22" s="169"/>
      <c r="C22" s="100"/>
      <c r="D22" s="141"/>
      <c r="E22" s="145"/>
      <c r="F22" s="144"/>
      <c r="G22" s="141"/>
      <c r="H22" s="145"/>
      <c r="I22" s="146"/>
      <c r="J22" s="141"/>
      <c r="K22" s="145"/>
    </row>
    <row r="23" spans="2:11" ht="30" customHeight="1" x14ac:dyDescent="0.25">
      <c r="B23" s="171" t="s">
        <v>68</v>
      </c>
      <c r="C23" s="100"/>
      <c r="D23" s="147">
        <v>25624211</v>
      </c>
      <c r="E23" s="145">
        <v>45.1738596625</v>
      </c>
      <c r="F23" s="144"/>
      <c r="G23" s="147">
        <v>12529687</v>
      </c>
      <c r="H23" s="145">
        <v>41.576519464</v>
      </c>
      <c r="I23" s="144"/>
      <c r="J23" s="147">
        <v>13094524</v>
      </c>
      <c r="K23" s="145">
        <v>49.2514430031</v>
      </c>
    </row>
    <row r="24" spans="2:11" ht="30" customHeight="1" x14ac:dyDescent="0.25">
      <c r="B24" s="171" t="s">
        <v>48</v>
      </c>
      <c r="C24" s="100"/>
      <c r="D24" s="147">
        <v>31099326</v>
      </c>
      <c r="E24" s="145">
        <v>54.8261403375</v>
      </c>
      <c r="F24" s="144"/>
      <c r="G24" s="147">
        <v>17606763</v>
      </c>
      <c r="H24" s="145">
        <v>58.423480536</v>
      </c>
      <c r="I24" s="144"/>
      <c r="J24" s="147">
        <v>13492563</v>
      </c>
      <c r="K24" s="145">
        <v>50.7485569969</v>
      </c>
    </row>
    <row r="25" spans="2:11" ht="6.95" customHeight="1" x14ac:dyDescent="0.25">
      <c r="B25" s="34"/>
      <c r="C25" s="34"/>
      <c r="D25" s="128"/>
      <c r="E25" s="35"/>
      <c r="F25" s="35"/>
      <c r="G25" s="128"/>
      <c r="H25" s="34"/>
      <c r="I25" s="34"/>
      <c r="J25" s="134"/>
      <c r="K25" s="36"/>
    </row>
    <row r="26" spans="2:11" ht="6.95" customHeight="1" x14ac:dyDescent="0.25">
      <c r="B26" s="31"/>
      <c r="C26" s="31"/>
      <c r="D26" s="129"/>
      <c r="E26" s="38"/>
      <c r="F26" s="38"/>
      <c r="G26" s="129"/>
      <c r="H26" s="31"/>
      <c r="I26" s="31"/>
      <c r="J26" s="133"/>
      <c r="K26" s="30"/>
    </row>
    <row r="27" spans="2:11" ht="36" customHeight="1" x14ac:dyDescent="0.25">
      <c r="B27" s="236" t="s">
        <v>88</v>
      </c>
      <c r="C27" s="236"/>
      <c r="D27" s="236"/>
      <c r="E27" s="236"/>
      <c r="F27" s="236"/>
      <c r="G27" s="236"/>
      <c r="H27" s="236"/>
      <c r="I27" s="236"/>
      <c r="J27" s="236"/>
      <c r="K27" s="236"/>
    </row>
    <row r="28" spans="2:11" ht="12" customHeight="1" x14ac:dyDescent="0.25">
      <c r="B28" s="201" t="s">
        <v>92</v>
      </c>
      <c r="C28" s="201"/>
      <c r="D28" s="202"/>
      <c r="E28" s="203"/>
      <c r="F28" s="203"/>
      <c r="G28" s="202"/>
      <c r="H28" s="204"/>
      <c r="I28" s="204"/>
      <c r="J28" s="205"/>
      <c r="K28" s="204"/>
    </row>
    <row r="29" spans="2:11" ht="12" customHeight="1" x14ac:dyDescent="0.25">
      <c r="B29" s="198" t="s">
        <v>89</v>
      </c>
      <c r="C29" s="198"/>
    </row>
    <row r="30" spans="2:11" ht="12" customHeight="1" x14ac:dyDescent="0.25">
      <c r="B30" s="199" t="s">
        <v>90</v>
      </c>
      <c r="C30" s="206"/>
    </row>
    <row r="31" spans="2:11" ht="12" customHeight="1" x14ac:dyDescent="0.25">
      <c r="B31" s="200" t="s">
        <v>91</v>
      </c>
      <c r="C31" s="206"/>
    </row>
    <row r="32" spans="2:11" ht="12" customHeight="1" x14ac:dyDescent="0.25">
      <c r="B32" s="231" t="s">
        <v>65</v>
      </c>
      <c r="C32" s="231"/>
      <c r="D32" s="231"/>
      <c r="E32" s="231"/>
      <c r="F32" s="231"/>
      <c r="G32" s="231"/>
    </row>
  </sheetData>
  <mergeCells count="8">
    <mergeCell ref="B32:G32"/>
    <mergeCell ref="B5:H5"/>
    <mergeCell ref="B7:B9"/>
    <mergeCell ref="D7:E8"/>
    <mergeCell ref="G7:K7"/>
    <mergeCell ref="G8:H8"/>
    <mergeCell ref="J8:K8"/>
    <mergeCell ref="B27:K27"/>
  </mergeCells>
  <hyperlinks>
    <hyperlink ref="K1" location="Índice!A1" tooltip="Ir a ÍNDICE" display="INDICE" xr:uid="{59CDDB87-3FD2-4DCE-9839-338478287F6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1F58-4397-42A0-BABC-676E3CC4B11E}">
  <dimension ref="B1:K44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35.7109375" customWidth="1"/>
    <col min="3" max="3" width="1.7109375" customWidth="1"/>
    <col min="4" max="4" width="15.7109375" style="109" customWidth="1"/>
    <col min="5" max="5" width="15.7109375" customWidth="1"/>
    <col min="6" max="6" width="1.7109375" customWidth="1"/>
    <col min="7" max="7" width="15.7109375" style="109" customWidth="1"/>
    <col min="8" max="8" width="15.7109375" customWidth="1"/>
    <col min="9" max="9" width="1.7109375" customWidth="1"/>
    <col min="10" max="10" width="15.7109375" style="109" customWidth="1"/>
    <col min="11" max="11" width="15.7109375" customWidth="1"/>
  </cols>
  <sheetData>
    <row r="1" spans="2:11" x14ac:dyDescent="0.25">
      <c r="B1" s="251" t="s">
        <v>94</v>
      </c>
      <c r="C1" s="42"/>
      <c r="K1" s="51" t="s">
        <v>27</v>
      </c>
    </row>
    <row r="2" spans="2:11" ht="6.95" customHeight="1" x14ac:dyDescent="0.25"/>
    <row r="3" spans="2:11" x14ac:dyDescent="0.25">
      <c r="B3" s="42" t="s">
        <v>87</v>
      </c>
    </row>
    <row r="4" spans="2:11" ht="6.95" customHeight="1" x14ac:dyDescent="0.25">
      <c r="B4" s="24"/>
      <c r="C4" s="24"/>
      <c r="D4" s="126"/>
      <c r="E4" s="25"/>
      <c r="F4" s="25"/>
      <c r="G4" s="126"/>
      <c r="H4" s="26"/>
      <c r="I4" s="26"/>
      <c r="J4" s="130"/>
    </row>
    <row r="5" spans="2:11" ht="30" customHeight="1" x14ac:dyDescent="0.25">
      <c r="B5" s="243" t="s">
        <v>81</v>
      </c>
      <c r="C5" s="243"/>
      <c r="D5" s="243"/>
      <c r="E5" s="243"/>
      <c r="F5" s="243"/>
      <c r="G5" s="243"/>
      <c r="H5" s="243"/>
      <c r="I5" s="27"/>
      <c r="J5" s="131"/>
      <c r="K5" s="53" t="s">
        <v>49</v>
      </c>
    </row>
    <row r="6" spans="2:11" ht="6.95" customHeight="1" x14ac:dyDescent="0.25">
      <c r="B6" s="28"/>
      <c r="C6" s="28"/>
      <c r="D6" s="127"/>
      <c r="E6" s="55"/>
      <c r="F6" s="55"/>
      <c r="G6" s="127"/>
      <c r="H6" s="29"/>
      <c r="I6" s="29"/>
      <c r="J6" s="132"/>
      <c r="K6" s="29"/>
    </row>
    <row r="7" spans="2:11" ht="15" customHeight="1" x14ac:dyDescent="0.25">
      <c r="B7" s="237" t="s">
        <v>73</v>
      </c>
      <c r="C7" s="183"/>
      <c r="D7" s="240" t="s">
        <v>21</v>
      </c>
      <c r="E7" s="240"/>
      <c r="F7" s="176"/>
      <c r="G7" s="242" t="s">
        <v>83</v>
      </c>
      <c r="H7" s="242"/>
      <c r="I7" s="242"/>
      <c r="J7" s="242"/>
      <c r="K7" s="242"/>
    </row>
    <row r="8" spans="2:11" x14ac:dyDescent="0.25">
      <c r="B8" s="238"/>
      <c r="C8" s="184"/>
      <c r="D8" s="241"/>
      <c r="E8" s="241"/>
      <c r="F8" s="177"/>
      <c r="G8" s="241" t="s">
        <v>8</v>
      </c>
      <c r="H8" s="241"/>
      <c r="I8" s="177"/>
      <c r="J8" s="241" t="s">
        <v>5</v>
      </c>
      <c r="K8" s="241"/>
    </row>
    <row r="9" spans="2:11" ht="15" customHeight="1" x14ac:dyDescent="0.25">
      <c r="B9" s="239"/>
      <c r="C9" s="34"/>
      <c r="D9" s="178" t="s">
        <v>84</v>
      </c>
      <c r="E9" s="179" t="s">
        <v>26</v>
      </c>
      <c r="F9" s="180"/>
      <c r="G9" s="178" t="s">
        <v>84</v>
      </c>
      <c r="H9" s="179" t="s">
        <v>26</v>
      </c>
      <c r="I9" s="180"/>
      <c r="J9" s="178" t="s">
        <v>84</v>
      </c>
      <c r="K9" s="179" t="s">
        <v>26</v>
      </c>
    </row>
    <row r="10" spans="2:11" ht="6.95" customHeight="1" x14ac:dyDescent="0.25">
      <c r="B10" s="31"/>
      <c r="C10" s="31"/>
      <c r="D10" s="177"/>
      <c r="E10" s="181"/>
      <c r="F10" s="182"/>
      <c r="G10" s="177"/>
      <c r="H10" s="181"/>
      <c r="I10" s="182"/>
      <c r="J10" s="177"/>
      <c r="K10" s="181"/>
    </row>
    <row r="11" spans="2:11" x14ac:dyDescent="0.25">
      <c r="B11" s="56" t="s">
        <v>1</v>
      </c>
      <c r="C11" s="56"/>
      <c r="D11" s="141">
        <v>86621605</v>
      </c>
      <c r="E11" s="142">
        <v>100</v>
      </c>
      <c r="F11" s="144"/>
      <c r="G11" s="141">
        <v>46488980</v>
      </c>
      <c r="H11" s="142">
        <v>100</v>
      </c>
      <c r="I11" s="144"/>
      <c r="J11" s="141">
        <v>40132625</v>
      </c>
      <c r="K11" s="142">
        <v>100</v>
      </c>
    </row>
    <row r="12" spans="2:11" ht="6.95" customHeight="1" x14ac:dyDescent="0.25">
      <c r="B12" s="31"/>
      <c r="C12" s="31"/>
      <c r="D12" s="141"/>
      <c r="E12" s="145"/>
      <c r="F12" s="144"/>
      <c r="G12" s="141"/>
      <c r="H12" s="145"/>
      <c r="I12" s="146"/>
      <c r="J12" s="141"/>
      <c r="K12" s="145"/>
    </row>
    <row r="13" spans="2:11" ht="15" customHeight="1" x14ac:dyDescent="0.25">
      <c r="B13" s="58" t="s">
        <v>74</v>
      </c>
      <c r="C13" s="31"/>
      <c r="D13" s="147">
        <v>39426547</v>
      </c>
      <c r="E13" s="145">
        <v>45.515835223800003</v>
      </c>
      <c r="F13" s="144"/>
      <c r="G13" s="147">
        <v>19801008</v>
      </c>
      <c r="H13" s="145">
        <v>42.592906964199997</v>
      </c>
      <c r="I13" s="144"/>
      <c r="J13" s="147">
        <v>19625539</v>
      </c>
      <c r="K13" s="145">
        <v>48.901707775200002</v>
      </c>
    </row>
    <row r="14" spans="2:11" ht="15" customHeight="1" x14ac:dyDescent="0.25">
      <c r="B14" s="171" t="s">
        <v>52</v>
      </c>
      <c r="C14" s="57"/>
      <c r="D14" s="147">
        <v>27079218</v>
      </c>
      <c r="E14" s="145">
        <v>31.2615057179</v>
      </c>
      <c r="F14" s="144"/>
      <c r="G14" s="147">
        <v>14942180</v>
      </c>
      <c r="H14" s="145">
        <v>32.141337581499997</v>
      </c>
      <c r="I14" s="144"/>
      <c r="J14" s="147">
        <v>12137038</v>
      </c>
      <c r="K14" s="145">
        <v>30.242322798499998</v>
      </c>
    </row>
    <row r="15" spans="2:11" ht="15" customHeight="1" x14ac:dyDescent="0.25">
      <c r="B15" s="171" t="s">
        <v>53</v>
      </c>
      <c r="C15" s="59"/>
      <c r="D15" s="147">
        <v>8484589</v>
      </c>
      <c r="E15" s="145">
        <v>9.7950032212</v>
      </c>
      <c r="F15" s="144"/>
      <c r="G15" s="147">
        <v>4817208</v>
      </c>
      <c r="H15" s="145">
        <v>10.3620427895</v>
      </c>
      <c r="I15" s="144"/>
      <c r="J15" s="147">
        <v>3667381</v>
      </c>
      <c r="K15" s="145">
        <v>9.1381538088000003</v>
      </c>
    </row>
    <row r="16" spans="2:11" ht="15" customHeight="1" x14ac:dyDescent="0.25">
      <c r="B16" s="171" t="s">
        <v>54</v>
      </c>
      <c r="C16" s="59"/>
      <c r="D16" s="147">
        <v>7516632</v>
      </c>
      <c r="E16" s="145">
        <v>8.6775487477999995</v>
      </c>
      <c r="F16" s="144"/>
      <c r="G16" s="147">
        <v>4630282</v>
      </c>
      <c r="H16" s="145">
        <v>9.9599561013999995</v>
      </c>
      <c r="I16" s="144"/>
      <c r="J16" s="147">
        <v>2886350</v>
      </c>
      <c r="K16" s="145">
        <v>7.1920289291000001</v>
      </c>
    </row>
    <row r="17" spans="2:11" ht="15" customHeight="1" x14ac:dyDescent="0.25">
      <c r="B17" s="171" t="s">
        <v>60</v>
      </c>
      <c r="C17" s="59"/>
      <c r="D17" s="147">
        <v>4114619</v>
      </c>
      <c r="E17" s="145">
        <v>4.7501070893000001</v>
      </c>
      <c r="F17" s="144"/>
      <c r="G17" s="147">
        <v>2298302</v>
      </c>
      <c r="H17" s="145">
        <v>4.9437565634</v>
      </c>
      <c r="I17" s="144"/>
      <c r="J17" s="147">
        <v>1816317</v>
      </c>
      <c r="K17" s="145">
        <v>4.5257866885000002</v>
      </c>
    </row>
    <row r="18" spans="2:11" ht="6.95" customHeight="1" x14ac:dyDescent="0.25">
      <c r="B18" s="168"/>
      <c r="C18" s="32"/>
      <c r="D18" s="141"/>
      <c r="E18" s="151"/>
      <c r="F18" s="33"/>
      <c r="G18" s="141"/>
      <c r="H18" s="151"/>
      <c r="I18" s="151"/>
      <c r="J18" s="141"/>
      <c r="K18" s="151"/>
    </row>
    <row r="19" spans="2:11" ht="15" customHeight="1" x14ac:dyDescent="0.25">
      <c r="B19" s="169" t="s">
        <v>6</v>
      </c>
      <c r="C19" s="100"/>
      <c r="D19" s="141">
        <v>29898068</v>
      </c>
      <c r="E19" s="142">
        <v>100</v>
      </c>
      <c r="F19" s="144"/>
      <c r="G19" s="141">
        <v>16352530</v>
      </c>
      <c r="H19" s="142">
        <v>100</v>
      </c>
      <c r="I19" s="144"/>
      <c r="J19" s="141">
        <v>13545538</v>
      </c>
      <c r="K19" s="142">
        <v>100</v>
      </c>
    </row>
    <row r="20" spans="2:11" ht="6.95" customHeight="1" x14ac:dyDescent="0.25">
      <c r="B20" s="169"/>
      <c r="C20" s="100"/>
      <c r="D20" s="141"/>
      <c r="E20" s="145"/>
      <c r="F20" s="144"/>
      <c r="G20" s="141"/>
      <c r="H20" s="145"/>
      <c r="I20" s="146"/>
      <c r="J20" s="141"/>
      <c r="K20" s="145"/>
    </row>
    <row r="21" spans="2:11" ht="15" customHeight="1" x14ac:dyDescent="0.25">
      <c r="B21" s="58" t="s">
        <v>74</v>
      </c>
      <c r="C21" s="100"/>
      <c r="D21" s="147">
        <v>7493507</v>
      </c>
      <c r="E21" s="145">
        <v>25.063515809799998</v>
      </c>
      <c r="F21" s="144"/>
      <c r="G21" s="147">
        <v>3754623</v>
      </c>
      <c r="H21" s="145">
        <v>22.960502136399999</v>
      </c>
      <c r="I21" s="144"/>
      <c r="J21" s="147">
        <v>3738884</v>
      </c>
      <c r="K21" s="145">
        <v>27.6023292689</v>
      </c>
    </row>
    <row r="22" spans="2:11" ht="15" customHeight="1" x14ac:dyDescent="0.25">
      <c r="B22" s="171" t="s">
        <v>52</v>
      </c>
      <c r="C22" s="100"/>
      <c r="D22" s="147">
        <v>9966071</v>
      </c>
      <c r="E22" s="145">
        <v>33.3334949937</v>
      </c>
      <c r="F22" s="144"/>
      <c r="G22" s="147">
        <v>5413726</v>
      </c>
      <c r="H22" s="145">
        <v>33.106351127300002</v>
      </c>
      <c r="I22" s="144"/>
      <c r="J22" s="147">
        <v>4552345</v>
      </c>
      <c r="K22" s="145">
        <v>33.6077090478</v>
      </c>
    </row>
    <row r="23" spans="2:11" ht="15" customHeight="1" x14ac:dyDescent="0.25">
      <c r="B23" s="171" t="s">
        <v>53</v>
      </c>
      <c r="C23" s="100"/>
      <c r="D23" s="147">
        <v>4341430</v>
      </c>
      <c r="E23" s="145">
        <v>14.5207710411</v>
      </c>
      <c r="F23" s="144"/>
      <c r="G23" s="147">
        <v>2340329</v>
      </c>
      <c r="H23" s="145">
        <v>14.3117242408</v>
      </c>
      <c r="I23" s="144"/>
      <c r="J23" s="147">
        <v>2001101</v>
      </c>
      <c r="K23" s="145">
        <v>14.7731378407</v>
      </c>
    </row>
    <row r="24" spans="2:11" ht="15" customHeight="1" x14ac:dyDescent="0.25">
      <c r="B24" s="171" t="s">
        <v>54</v>
      </c>
      <c r="C24" s="57"/>
      <c r="D24" s="147">
        <v>5940381</v>
      </c>
      <c r="E24" s="145">
        <v>19.8687788121</v>
      </c>
      <c r="F24" s="144"/>
      <c r="G24" s="147">
        <v>3674151</v>
      </c>
      <c r="H24" s="145">
        <v>22.468394798799999</v>
      </c>
      <c r="I24" s="144"/>
      <c r="J24" s="147">
        <v>2266230</v>
      </c>
      <c r="K24" s="145">
        <v>16.730453969399999</v>
      </c>
    </row>
    <row r="25" spans="2:11" ht="15" customHeight="1" x14ac:dyDescent="0.25">
      <c r="B25" s="171" t="s">
        <v>60</v>
      </c>
      <c r="C25" s="57"/>
      <c r="D25" s="147">
        <v>2156679</v>
      </c>
      <c r="E25" s="145">
        <v>7.2134393433000001</v>
      </c>
      <c r="F25" s="144"/>
      <c r="G25" s="147">
        <v>1169701</v>
      </c>
      <c r="H25" s="145">
        <v>7.1530276965999997</v>
      </c>
      <c r="I25" s="144"/>
      <c r="J25" s="186">
        <v>986978</v>
      </c>
      <c r="K25" s="145">
        <v>7.2863698732</v>
      </c>
    </row>
    <row r="26" spans="2:11" ht="6.95" customHeight="1" x14ac:dyDescent="0.25">
      <c r="B26" s="170"/>
      <c r="C26" s="60"/>
      <c r="D26" s="141"/>
      <c r="E26" s="151"/>
      <c r="F26" s="33"/>
      <c r="G26" s="141"/>
      <c r="H26" s="151"/>
      <c r="I26" s="151"/>
      <c r="J26" s="141"/>
      <c r="K26" s="151"/>
    </row>
    <row r="27" spans="2:11" x14ac:dyDescent="0.25">
      <c r="B27" s="169" t="s">
        <v>7</v>
      </c>
      <c r="C27" s="100"/>
      <c r="D27" s="141">
        <v>56723537</v>
      </c>
      <c r="E27" s="142">
        <v>100</v>
      </c>
      <c r="F27" s="144"/>
      <c r="G27" s="141">
        <v>30136450</v>
      </c>
      <c r="H27" s="142">
        <v>100</v>
      </c>
      <c r="I27" s="144"/>
      <c r="J27" s="141">
        <v>26587087</v>
      </c>
      <c r="K27" s="142">
        <v>100</v>
      </c>
    </row>
    <row r="28" spans="2:11" ht="7.5" customHeight="1" x14ac:dyDescent="0.25">
      <c r="B28" s="169"/>
      <c r="C28" s="100"/>
      <c r="D28" s="141"/>
      <c r="E28" s="145"/>
      <c r="F28" s="144"/>
      <c r="G28" s="141"/>
      <c r="H28" s="145"/>
      <c r="I28" s="146"/>
      <c r="J28" s="141"/>
      <c r="K28" s="145"/>
    </row>
    <row r="29" spans="2:11" ht="15" customHeight="1" x14ac:dyDescent="0.25">
      <c r="B29" s="58" t="s">
        <v>74</v>
      </c>
      <c r="C29" s="100"/>
      <c r="D29" s="147">
        <v>31933040</v>
      </c>
      <c r="E29" s="145">
        <v>56.295925269999998</v>
      </c>
      <c r="F29" s="144"/>
      <c r="G29" s="147">
        <v>16046385</v>
      </c>
      <c r="H29" s="145">
        <v>53.245770487199998</v>
      </c>
      <c r="I29" s="144"/>
      <c r="J29" s="147">
        <v>15886655</v>
      </c>
      <c r="K29" s="145">
        <v>59.753274211700003</v>
      </c>
    </row>
    <row r="30" spans="2:11" ht="15" customHeight="1" x14ac:dyDescent="0.25">
      <c r="B30" s="171" t="s">
        <v>52</v>
      </c>
      <c r="C30" s="100"/>
      <c r="D30" s="147">
        <v>17113147</v>
      </c>
      <c r="E30" s="145">
        <v>30.1693933508</v>
      </c>
      <c r="F30" s="144"/>
      <c r="G30" s="147">
        <v>9528454</v>
      </c>
      <c r="H30" s="145">
        <v>31.617705469600001</v>
      </c>
      <c r="I30" s="144"/>
      <c r="J30" s="147">
        <v>7584693</v>
      </c>
      <c r="K30" s="145">
        <v>28.5277322785</v>
      </c>
    </row>
    <row r="31" spans="2:11" ht="15" customHeight="1" x14ac:dyDescent="0.25">
      <c r="B31" s="171" t="s">
        <v>53</v>
      </c>
      <c r="C31" s="100"/>
      <c r="D31" s="147">
        <v>4143159</v>
      </c>
      <c r="E31" s="145">
        <v>7.3041266802999996</v>
      </c>
      <c r="F31" s="144"/>
      <c r="G31" s="147">
        <v>2476879</v>
      </c>
      <c r="H31" s="145">
        <v>8.2188811223999991</v>
      </c>
      <c r="I31" s="144"/>
      <c r="J31" s="147">
        <v>1666280</v>
      </c>
      <c r="K31" s="145">
        <v>6.2672529712999996</v>
      </c>
    </row>
    <row r="32" spans="2:11" ht="15" customHeight="1" x14ac:dyDescent="0.25">
      <c r="B32" s="171" t="s">
        <v>54</v>
      </c>
      <c r="C32" s="100"/>
      <c r="D32" s="147">
        <v>1576251</v>
      </c>
      <c r="E32" s="145">
        <v>2.7788305937</v>
      </c>
      <c r="F32" s="144"/>
      <c r="G32" s="186">
        <v>956131</v>
      </c>
      <c r="H32" s="145">
        <v>3.1726729591999998</v>
      </c>
      <c r="I32" s="144"/>
      <c r="J32" s="186">
        <v>620120</v>
      </c>
      <c r="K32" s="188">
        <v>2.3324104667999999</v>
      </c>
    </row>
    <row r="33" spans="2:11" ht="15" customHeight="1" x14ac:dyDescent="0.25">
      <c r="B33" s="171" t="s">
        <v>60</v>
      </c>
      <c r="C33" s="100"/>
      <c r="D33" s="147">
        <v>1957940</v>
      </c>
      <c r="E33" s="145">
        <v>3.4517241052999998</v>
      </c>
      <c r="F33" s="144"/>
      <c r="G33" s="147">
        <v>1128601</v>
      </c>
      <c r="H33" s="145">
        <v>3.7449699615999998</v>
      </c>
      <c r="I33" s="144"/>
      <c r="J33" s="147">
        <v>829339</v>
      </c>
      <c r="K33" s="145">
        <v>3.1193300717999999</v>
      </c>
    </row>
    <row r="34" spans="2:11" ht="7.5" customHeight="1" x14ac:dyDescent="0.25">
      <c r="B34" s="34"/>
      <c r="C34" s="34"/>
      <c r="D34" s="128"/>
      <c r="E34" s="35"/>
      <c r="F34" s="35"/>
      <c r="G34" s="128"/>
      <c r="H34" s="34"/>
      <c r="I34" s="34"/>
      <c r="J34" s="134"/>
      <c r="K34" s="36"/>
    </row>
    <row r="35" spans="2:11" ht="6.95" customHeight="1" x14ac:dyDescent="0.25">
      <c r="B35" s="31"/>
      <c r="C35" s="31"/>
      <c r="D35" s="129"/>
      <c r="E35" s="38"/>
      <c r="F35" s="38"/>
      <c r="G35" s="129"/>
      <c r="H35" s="31"/>
      <c r="I35" s="31"/>
      <c r="J35" s="133"/>
      <c r="K35" s="30"/>
    </row>
    <row r="36" spans="2:11" ht="36" customHeight="1" x14ac:dyDescent="0.25">
      <c r="B36" s="236" t="s">
        <v>88</v>
      </c>
      <c r="C36" s="236"/>
      <c r="D36" s="236"/>
      <c r="E36" s="236"/>
      <c r="F36" s="236"/>
      <c r="G36" s="236"/>
      <c r="H36" s="236"/>
      <c r="I36" s="236"/>
      <c r="J36" s="236"/>
      <c r="K36" s="236"/>
    </row>
    <row r="37" spans="2:11" ht="12" customHeight="1" x14ac:dyDescent="0.25">
      <c r="B37" s="201" t="s">
        <v>92</v>
      </c>
      <c r="C37" s="201"/>
      <c r="D37" s="202"/>
      <c r="E37" s="203"/>
      <c r="F37" s="203"/>
      <c r="G37" s="202"/>
      <c r="H37" s="204"/>
      <c r="I37" s="204"/>
      <c r="J37" s="205"/>
      <c r="K37" s="204"/>
    </row>
    <row r="38" spans="2:11" ht="12" customHeight="1" x14ac:dyDescent="0.25">
      <c r="B38" s="198" t="s">
        <v>89</v>
      </c>
      <c r="C38" s="198"/>
    </row>
    <row r="39" spans="2:11" ht="12" customHeight="1" x14ac:dyDescent="0.25">
      <c r="B39" s="199" t="s">
        <v>90</v>
      </c>
      <c r="C39" s="206"/>
    </row>
    <row r="40" spans="2:11" ht="12" customHeight="1" x14ac:dyDescent="0.25">
      <c r="B40" s="200" t="s">
        <v>91</v>
      </c>
      <c r="C40" s="206"/>
    </row>
    <row r="41" spans="2:11" ht="12" customHeight="1" x14ac:dyDescent="0.25">
      <c r="B41" s="231" t="s">
        <v>65</v>
      </c>
      <c r="C41" s="231"/>
      <c r="D41" s="231"/>
      <c r="E41" s="231"/>
      <c r="F41" s="231"/>
      <c r="G41" s="231"/>
    </row>
    <row r="42" spans="2:11" ht="12" customHeight="1" x14ac:dyDescent="0.25"/>
    <row r="43" spans="2:11" ht="12" customHeight="1" x14ac:dyDescent="0.25"/>
    <row r="44" spans="2:11" ht="12" customHeight="1" x14ac:dyDescent="0.25"/>
  </sheetData>
  <mergeCells count="8">
    <mergeCell ref="B41:G41"/>
    <mergeCell ref="B5:H5"/>
    <mergeCell ref="B7:B9"/>
    <mergeCell ref="D7:E8"/>
    <mergeCell ref="G7:K7"/>
    <mergeCell ref="G8:H8"/>
    <mergeCell ref="J8:K8"/>
    <mergeCell ref="B36:K36"/>
  </mergeCells>
  <hyperlinks>
    <hyperlink ref="K1" location="Índice!A1" tooltip="Ir a ÍNDICE" display="INDICE" xr:uid="{264E9FAB-BE96-4A51-86B7-9011E058431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C81C-E1EC-440C-A588-85BFBA255F15}">
  <dimension ref="B1:P3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9" customWidth="1"/>
    <col min="5" max="5" width="15.7109375" customWidth="1"/>
    <col min="6" max="6" width="1.7109375" customWidth="1"/>
    <col min="7" max="7" width="15.7109375" style="109" customWidth="1"/>
    <col min="8" max="8" width="15.7109375" customWidth="1"/>
    <col min="9" max="9" width="1.7109375" customWidth="1"/>
    <col min="10" max="10" width="15.7109375" style="109" customWidth="1"/>
    <col min="11" max="11" width="15.7109375" customWidth="1"/>
  </cols>
  <sheetData>
    <row r="1" spans="2:11" x14ac:dyDescent="0.25">
      <c r="B1" s="251" t="s">
        <v>94</v>
      </c>
      <c r="C1" s="42"/>
      <c r="K1" s="51" t="s">
        <v>27</v>
      </c>
    </row>
    <row r="2" spans="2:11" ht="6.95" customHeight="1" x14ac:dyDescent="0.25"/>
    <row r="3" spans="2:11" x14ac:dyDescent="0.25">
      <c r="B3" s="42" t="s">
        <v>87</v>
      </c>
    </row>
    <row r="4" spans="2:11" ht="6.95" customHeight="1" x14ac:dyDescent="0.25">
      <c r="B4" s="24"/>
      <c r="C4" s="24"/>
      <c r="D4" s="126"/>
      <c r="E4" s="25"/>
      <c r="F4" s="25"/>
      <c r="G4" s="126"/>
      <c r="H4" s="26"/>
      <c r="I4" s="26"/>
      <c r="J4" s="130"/>
    </row>
    <row r="5" spans="2:11" x14ac:dyDescent="0.25">
      <c r="B5" s="54" t="s">
        <v>80</v>
      </c>
      <c r="C5" s="54"/>
      <c r="D5" s="126"/>
      <c r="E5" s="25"/>
      <c r="F5" s="25"/>
      <c r="G5" s="126"/>
      <c r="H5" s="27"/>
      <c r="I5" s="27"/>
      <c r="J5" s="131"/>
      <c r="K5" s="53" t="s">
        <v>50</v>
      </c>
    </row>
    <row r="6" spans="2:11" ht="6.95" customHeight="1" x14ac:dyDescent="0.25">
      <c r="B6" s="28"/>
      <c r="C6" s="28"/>
      <c r="D6" s="127"/>
      <c r="E6" s="55"/>
      <c r="F6" s="55"/>
      <c r="G6" s="127"/>
      <c r="H6" s="29"/>
      <c r="I6" s="29"/>
      <c r="J6" s="132"/>
      <c r="K6" s="29"/>
    </row>
    <row r="7" spans="2:11" ht="15" customHeight="1" x14ac:dyDescent="0.25">
      <c r="B7" s="237" t="s">
        <v>67</v>
      </c>
      <c r="C7" s="183"/>
      <c r="D7" s="240" t="s">
        <v>21</v>
      </c>
      <c r="E7" s="240"/>
      <c r="F7" s="176"/>
      <c r="G7" s="242" t="s">
        <v>83</v>
      </c>
      <c r="H7" s="242"/>
      <c r="I7" s="242"/>
      <c r="J7" s="242"/>
      <c r="K7" s="242"/>
    </row>
    <row r="8" spans="2:11" x14ac:dyDescent="0.25">
      <c r="B8" s="238"/>
      <c r="C8" s="184"/>
      <c r="D8" s="241"/>
      <c r="E8" s="241"/>
      <c r="F8" s="177"/>
      <c r="G8" s="241" t="s">
        <v>8</v>
      </c>
      <c r="H8" s="241"/>
      <c r="I8" s="177"/>
      <c r="J8" s="241" t="s">
        <v>5</v>
      </c>
      <c r="K8" s="241"/>
    </row>
    <row r="9" spans="2:11" ht="15" customHeight="1" x14ac:dyDescent="0.25">
      <c r="B9" s="239"/>
      <c r="C9" s="34"/>
      <c r="D9" s="178" t="s">
        <v>84</v>
      </c>
      <c r="E9" s="179" t="s">
        <v>26</v>
      </c>
      <c r="F9" s="180"/>
      <c r="G9" s="178" t="s">
        <v>84</v>
      </c>
      <c r="H9" s="179" t="s">
        <v>26</v>
      </c>
      <c r="I9" s="180"/>
      <c r="J9" s="178" t="s">
        <v>84</v>
      </c>
      <c r="K9" s="179" t="s">
        <v>26</v>
      </c>
    </row>
    <row r="10" spans="2:11" ht="6.95" customHeight="1" x14ac:dyDescent="0.25">
      <c r="B10" s="31"/>
      <c r="C10" s="31"/>
      <c r="D10" s="177"/>
      <c r="E10" s="181"/>
      <c r="F10" s="182"/>
      <c r="G10" s="177"/>
      <c r="H10" s="181"/>
      <c r="I10" s="182"/>
      <c r="J10" s="177"/>
      <c r="K10" s="181"/>
    </row>
    <row r="11" spans="2:11" x14ac:dyDescent="0.25">
      <c r="B11" s="56" t="s">
        <v>1</v>
      </c>
      <c r="C11" s="56"/>
      <c r="D11" s="141">
        <v>86621605</v>
      </c>
      <c r="E11" s="142">
        <v>100</v>
      </c>
      <c r="F11" s="144"/>
      <c r="G11" s="141">
        <v>46488980</v>
      </c>
      <c r="H11" s="142">
        <v>100</v>
      </c>
      <c r="I11" s="144"/>
      <c r="J11" s="141">
        <v>40132625</v>
      </c>
      <c r="K11" s="142">
        <v>100</v>
      </c>
    </row>
    <row r="12" spans="2:11" ht="6.95" customHeight="1" x14ac:dyDescent="0.25">
      <c r="B12" s="31"/>
      <c r="C12" s="31"/>
      <c r="D12" s="141"/>
      <c r="E12" s="145"/>
      <c r="F12" s="144"/>
      <c r="G12" s="141"/>
      <c r="H12" s="145"/>
      <c r="I12" s="146"/>
      <c r="J12" s="141"/>
      <c r="K12" s="145"/>
    </row>
    <row r="13" spans="2:11" x14ac:dyDescent="0.25">
      <c r="B13" s="167" t="s">
        <v>44</v>
      </c>
      <c r="C13" s="57"/>
      <c r="D13" s="147">
        <v>1799795</v>
      </c>
      <c r="E13" s="145">
        <v>2.0777668573999999</v>
      </c>
      <c r="F13" s="144"/>
      <c r="G13" s="186">
        <v>447587</v>
      </c>
      <c r="H13" s="188">
        <v>0.96278085690000004</v>
      </c>
      <c r="I13" s="144"/>
      <c r="J13" s="147">
        <v>1352208</v>
      </c>
      <c r="K13" s="145">
        <v>3.3693485039</v>
      </c>
    </row>
    <row r="14" spans="2:11" x14ac:dyDescent="0.25">
      <c r="B14" s="167" t="s">
        <v>45</v>
      </c>
      <c r="C14" s="59"/>
      <c r="D14" s="147">
        <v>84821810</v>
      </c>
      <c r="E14" s="145">
        <v>97.922233142600007</v>
      </c>
      <c r="F14" s="144"/>
      <c r="G14" s="147">
        <v>46041393</v>
      </c>
      <c r="H14" s="145">
        <v>99.037219143100003</v>
      </c>
      <c r="I14" s="144"/>
      <c r="J14" s="147">
        <v>38780417</v>
      </c>
      <c r="K14" s="145">
        <v>96.6306514961</v>
      </c>
    </row>
    <row r="15" spans="2:11" ht="6.95" customHeight="1" x14ac:dyDescent="0.25">
      <c r="B15" s="168"/>
      <c r="C15" s="32"/>
      <c r="D15" s="141"/>
      <c r="E15" s="151"/>
      <c r="F15" s="33"/>
      <c r="G15" s="141"/>
      <c r="H15" s="151"/>
      <c r="I15" s="151"/>
      <c r="J15" s="141"/>
      <c r="K15" s="151"/>
    </row>
    <row r="16" spans="2:11" x14ac:dyDescent="0.25">
      <c r="B16" s="169" t="s">
        <v>6</v>
      </c>
      <c r="C16" s="100"/>
      <c r="D16" s="141">
        <v>29898068</v>
      </c>
      <c r="E16" s="142">
        <v>100</v>
      </c>
      <c r="F16" s="144"/>
      <c r="G16" s="141">
        <v>16352530</v>
      </c>
      <c r="H16" s="142">
        <v>100</v>
      </c>
      <c r="I16" s="144"/>
      <c r="J16" s="141">
        <v>13545538</v>
      </c>
      <c r="K16" s="142">
        <v>100</v>
      </c>
    </row>
    <row r="17" spans="2:16" ht="6.95" customHeight="1" x14ac:dyDescent="0.25">
      <c r="B17" s="169"/>
      <c r="C17" s="100"/>
      <c r="D17" s="141"/>
      <c r="E17" s="145"/>
      <c r="F17" s="144"/>
      <c r="G17" s="141"/>
      <c r="H17" s="145"/>
      <c r="I17" s="146"/>
      <c r="J17" s="141"/>
      <c r="K17" s="145"/>
    </row>
    <row r="18" spans="2:16" x14ac:dyDescent="0.25">
      <c r="B18" s="167" t="s">
        <v>44</v>
      </c>
      <c r="C18" s="57"/>
      <c r="D18" s="186">
        <v>280939</v>
      </c>
      <c r="E18" s="188">
        <v>0.93965603399999997</v>
      </c>
      <c r="F18" s="144"/>
      <c r="G18" s="190">
        <v>65513</v>
      </c>
      <c r="H18" s="191">
        <v>0.4006291381</v>
      </c>
      <c r="I18" s="144"/>
      <c r="J18" s="186">
        <v>215426</v>
      </c>
      <c r="K18" s="188">
        <v>1.5903834901</v>
      </c>
    </row>
    <row r="19" spans="2:16" x14ac:dyDescent="0.25">
      <c r="B19" s="167" t="s">
        <v>45</v>
      </c>
      <c r="C19" s="57"/>
      <c r="D19" s="147">
        <v>29617129</v>
      </c>
      <c r="E19" s="145">
        <v>99.060343966000005</v>
      </c>
      <c r="F19" s="144"/>
      <c r="G19" s="147">
        <v>16287017</v>
      </c>
      <c r="H19" s="145">
        <v>99.599370861899999</v>
      </c>
      <c r="I19" s="144"/>
      <c r="J19" s="147">
        <v>13330112</v>
      </c>
      <c r="K19" s="145">
        <v>98.409616509900005</v>
      </c>
    </row>
    <row r="20" spans="2:16" ht="7.5" customHeight="1" x14ac:dyDescent="0.25">
      <c r="B20" s="170"/>
      <c r="C20" s="60"/>
      <c r="D20" s="141"/>
      <c r="E20" s="151"/>
      <c r="F20" s="33"/>
      <c r="G20" s="141"/>
      <c r="H20" s="151"/>
      <c r="I20" s="151"/>
      <c r="J20" s="141"/>
      <c r="K20" s="151"/>
    </row>
    <row r="21" spans="2:16" x14ac:dyDescent="0.25">
      <c r="B21" s="169" t="s">
        <v>7</v>
      </c>
      <c r="C21" s="100"/>
      <c r="D21" s="141">
        <v>56723537</v>
      </c>
      <c r="E21" s="142">
        <v>100</v>
      </c>
      <c r="F21" s="144"/>
      <c r="G21" s="141">
        <v>30136450</v>
      </c>
      <c r="H21" s="142">
        <v>100</v>
      </c>
      <c r="I21" s="144"/>
      <c r="J21" s="141">
        <v>26587087</v>
      </c>
      <c r="K21" s="142">
        <v>100</v>
      </c>
    </row>
    <row r="22" spans="2:16" ht="7.5" customHeight="1" x14ac:dyDescent="0.25">
      <c r="B22" s="169"/>
      <c r="C22" s="100"/>
      <c r="D22" s="141"/>
      <c r="E22" s="145"/>
      <c r="F22" s="144"/>
      <c r="G22" s="141"/>
      <c r="H22" s="145"/>
      <c r="I22" s="146"/>
      <c r="J22" s="141"/>
      <c r="K22" s="145"/>
    </row>
    <row r="23" spans="2:16" x14ac:dyDescent="0.25">
      <c r="B23" s="167" t="s">
        <v>44</v>
      </c>
      <c r="C23" s="100"/>
      <c r="D23" s="147">
        <v>1518856</v>
      </c>
      <c r="E23" s="145">
        <v>2.6776468470000001</v>
      </c>
      <c r="F23" s="144"/>
      <c r="G23" s="186">
        <v>382074</v>
      </c>
      <c r="H23" s="188">
        <v>1.2678135612999999</v>
      </c>
      <c r="I23" s="144"/>
      <c r="J23" s="147">
        <v>1136782</v>
      </c>
      <c r="K23" s="145">
        <v>4.2756921809000001</v>
      </c>
    </row>
    <row r="24" spans="2:16" x14ac:dyDescent="0.25">
      <c r="B24" s="167" t="s">
        <v>45</v>
      </c>
      <c r="C24" s="100"/>
      <c r="D24" s="147">
        <v>55204681</v>
      </c>
      <c r="E24" s="145">
        <v>97.322353152999995</v>
      </c>
      <c r="F24" s="144"/>
      <c r="G24" s="147">
        <v>29754376</v>
      </c>
      <c r="H24" s="145">
        <v>98.732186438699998</v>
      </c>
      <c r="I24" s="144"/>
      <c r="J24" s="147">
        <v>25450305</v>
      </c>
      <c r="K24" s="145">
        <v>95.724307819100005</v>
      </c>
    </row>
    <row r="25" spans="2:16" ht="6.95" customHeight="1" x14ac:dyDescent="0.25">
      <c r="B25" s="34"/>
      <c r="C25" s="34"/>
      <c r="D25" s="128"/>
      <c r="E25" s="35"/>
      <c r="F25" s="35"/>
      <c r="G25" s="128"/>
      <c r="H25" s="34"/>
      <c r="I25" s="34"/>
      <c r="J25" s="134"/>
      <c r="K25" s="36"/>
    </row>
    <row r="26" spans="2:16" ht="6.95" customHeight="1" x14ac:dyDescent="0.25">
      <c r="B26" s="31"/>
      <c r="C26" s="31"/>
      <c r="D26" s="129"/>
      <c r="E26" s="38"/>
      <c r="F26" s="38"/>
      <c r="G26" s="129"/>
      <c r="H26" s="31"/>
      <c r="I26" s="31"/>
      <c r="J26" s="133"/>
      <c r="K26" s="30"/>
    </row>
    <row r="27" spans="2:16" x14ac:dyDescent="0.25">
      <c r="B27" s="90" t="s">
        <v>51</v>
      </c>
      <c r="C27" s="31"/>
      <c r="D27" s="129"/>
      <c r="E27" s="38"/>
      <c r="F27" s="38"/>
      <c r="G27" s="129"/>
      <c r="H27" s="31"/>
      <c r="I27" s="31"/>
      <c r="J27" s="133"/>
      <c r="K27" s="30"/>
    </row>
    <row r="28" spans="2:16" s="207" customFormat="1" ht="36" customHeight="1" x14ac:dyDescent="0.25">
      <c r="B28" s="236" t="s">
        <v>88</v>
      </c>
      <c r="C28" s="236"/>
      <c r="D28" s="236"/>
      <c r="E28" s="236"/>
      <c r="F28" s="236"/>
      <c r="G28" s="236"/>
      <c r="H28" s="236"/>
      <c r="I28" s="236"/>
      <c r="J28" s="236"/>
      <c r="K28" s="236"/>
      <c r="L28"/>
      <c r="M28" s="196"/>
      <c r="N28" s="196"/>
      <c r="O28" s="196"/>
      <c r="P28" s="196"/>
    </row>
    <row r="29" spans="2:16" ht="12" customHeight="1" x14ac:dyDescent="0.25">
      <c r="B29" s="201" t="s">
        <v>92</v>
      </c>
      <c r="C29" s="201"/>
      <c r="D29" s="202"/>
      <c r="E29" s="203"/>
      <c r="F29" s="203"/>
      <c r="G29" s="202"/>
      <c r="H29" s="204"/>
      <c r="I29" s="204"/>
      <c r="J29" s="205"/>
      <c r="K29" s="204"/>
    </row>
    <row r="30" spans="2:16" ht="12" customHeight="1" x14ac:dyDescent="0.25">
      <c r="B30" s="198" t="s">
        <v>89</v>
      </c>
      <c r="C30" s="198"/>
    </row>
    <row r="31" spans="2:16" ht="12" customHeight="1" x14ac:dyDescent="0.25">
      <c r="B31" s="199" t="s">
        <v>90</v>
      </c>
      <c r="C31" s="206"/>
    </row>
    <row r="32" spans="2:16" ht="12" customHeight="1" x14ac:dyDescent="0.25">
      <c r="B32" s="200" t="s">
        <v>91</v>
      </c>
      <c r="C32" s="206"/>
    </row>
    <row r="33" spans="2:7" ht="12" customHeight="1" x14ac:dyDescent="0.25">
      <c r="B33" s="231" t="s">
        <v>65</v>
      </c>
      <c r="C33" s="231"/>
      <c r="D33" s="231"/>
      <c r="E33" s="231"/>
      <c r="F33" s="231"/>
      <c r="G33" s="231"/>
    </row>
  </sheetData>
  <mergeCells count="7">
    <mergeCell ref="B33:G33"/>
    <mergeCell ref="B28:K28"/>
    <mergeCell ref="B7:B9"/>
    <mergeCell ref="D7:E8"/>
    <mergeCell ref="G7:K7"/>
    <mergeCell ref="G8:H8"/>
    <mergeCell ref="J8:K8"/>
  </mergeCells>
  <hyperlinks>
    <hyperlink ref="K1" location="Índice!A1" tooltip="Ir a ÍNDICE" display="INDICE" xr:uid="{EB8361B7-6571-4592-8610-735A8B39DF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ÍNDICE</vt:lpstr>
      <vt:lpstr>Cuadro 7.1</vt:lpstr>
      <vt:lpstr>Cuadro 7.2</vt:lpstr>
      <vt:lpstr>Cuadro 7.3</vt:lpstr>
      <vt:lpstr>Cuadro 7.4</vt:lpstr>
      <vt:lpstr>Cuadro 7.5</vt:lpstr>
      <vt:lpstr>Cuadro 7.6</vt:lpstr>
      <vt:lpstr>Cuadro 7.7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2021-07-28T19:11:12Z</dcterms:created>
  <dcterms:modified xsi:type="dcterms:W3CDTF">2025-03-11T17:32:21Z</dcterms:modified>
</cp:coreProperties>
</file>