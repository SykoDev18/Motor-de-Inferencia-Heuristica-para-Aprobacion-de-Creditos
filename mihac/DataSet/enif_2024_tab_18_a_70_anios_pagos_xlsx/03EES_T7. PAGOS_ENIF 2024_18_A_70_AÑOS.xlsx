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7\"/>
    </mc:Choice>
  </mc:AlternateContent>
  <xr:revisionPtr revIDLastSave="0" documentId="13_ncr:1_{F13D52B0-509D-494A-A8BD-8CE6C19161AB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ÍNDICE" sheetId="7" r:id="rId1"/>
    <sheet name="Cuadro 7.1" sheetId="1" r:id="rId2"/>
    <sheet name="Cuadro 7.2" sheetId="16" r:id="rId3"/>
    <sheet name="Cuadro 7.3" sheetId="17" r:id="rId4"/>
    <sheet name="Cuadro 7.4" sheetId="18" r:id="rId5"/>
    <sheet name="Cuadro 7.5" sheetId="19" r:id="rId6"/>
    <sheet name="Cuadro 7.6" sheetId="20" r:id="rId7"/>
    <sheet name="Cuadro 7.7" sheetId="2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7" l="1"/>
</calcChain>
</file>

<file path=xl/sharedStrings.xml><?xml version="1.0" encoding="utf-8"?>
<sst xmlns="http://schemas.openxmlformats.org/spreadsheetml/2006/main" count="323" uniqueCount="90">
  <si>
    <t xml:space="preserve">Efectivo </t>
  </si>
  <si>
    <t>Estados Unidos Mexicanos</t>
  </si>
  <si>
    <t xml:space="preserve">Compras de 500 pesos o menos </t>
  </si>
  <si>
    <t xml:space="preserve">Compras de 501 pesos o más </t>
  </si>
  <si>
    <t>Mujeres</t>
  </si>
  <si>
    <t>Hombres</t>
  </si>
  <si>
    <t>1 a 14 999 habitantes</t>
  </si>
  <si>
    <t xml:space="preserve">15 000 y más habitantes </t>
  </si>
  <si>
    <t xml:space="preserve">Mujeres </t>
  </si>
  <si>
    <t>No lo ha utilizado</t>
  </si>
  <si>
    <t>Efectivo</t>
  </si>
  <si>
    <t>Pagos de servicios públicos o privados como agua, luz, internet, entre otros</t>
  </si>
  <si>
    <t>Cuadro 7.1</t>
  </si>
  <si>
    <t>Cuadro 7.2</t>
  </si>
  <si>
    <t>Cuadro 7.3</t>
  </si>
  <si>
    <t>Cuadro 7.4</t>
  </si>
  <si>
    <t>Sí recibe dinero de familiares o personas conocidas que viven en otro país</t>
  </si>
  <si>
    <t>No recibe dinero de familiares o personas conocidas que viven en otro país</t>
  </si>
  <si>
    <t>Transferencia electrónica o aplicación celular</t>
  </si>
  <si>
    <t xml:space="preserve">Total </t>
  </si>
  <si>
    <r>
      <t xml:space="preserve">Medio de pago </t>
    </r>
    <r>
      <rPr>
        <b/>
        <vertAlign val="superscript"/>
        <sz val="8"/>
        <color theme="1"/>
        <rFont val="Arial"/>
        <family val="2"/>
      </rPr>
      <t xml:space="preserve">2 </t>
    </r>
  </si>
  <si>
    <t>Población de 18 a 70 años</t>
  </si>
  <si>
    <t xml:space="preserve">Medio de pago </t>
  </si>
  <si>
    <r>
      <t>Población de 18 a 70 años</t>
    </r>
    <r>
      <rPr>
        <b/>
        <vertAlign val="superscript"/>
        <sz val="8"/>
        <color theme="1"/>
        <rFont val="Arial"/>
        <family val="2"/>
      </rPr>
      <t>1</t>
    </r>
  </si>
  <si>
    <t>Población de 18 a 70 años por tamaño de localidad y tipo de pago según sexo y medio de pago</t>
  </si>
  <si>
    <t>Absolutos</t>
  </si>
  <si>
    <t>Relativos</t>
  </si>
  <si>
    <t>ÍNDICE</t>
  </si>
  <si>
    <t>TABULADOS BÁSICOS</t>
  </si>
  <si>
    <t>Nivel de confianza del 90%</t>
  </si>
  <si>
    <t>Tema</t>
  </si>
  <si>
    <t>ID Cuadro</t>
  </si>
  <si>
    <t>Título</t>
  </si>
  <si>
    <r>
      <t xml:space="preserve">Tema 7. 
</t>
    </r>
    <r>
      <rPr>
        <sz val="11"/>
        <color theme="10"/>
        <rFont val="Arial"/>
        <family val="2"/>
      </rPr>
      <t>Pagos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</si>
  <si>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remesadoras.</t>
    </r>
  </si>
  <si>
    <r>
      <t xml:space="preserve">1 </t>
    </r>
    <r>
      <rPr>
        <sz val="8"/>
        <rFont val="Arial"/>
        <family val="2"/>
      </rPr>
      <t>La suma por tipo de compra o pago puede ser mayor al total porque una persona pudo haber realizado más de un tipo.</t>
    </r>
  </si>
  <si>
    <r>
      <t xml:space="preserve">2 </t>
    </r>
    <r>
      <rPr>
        <sz val="8"/>
        <rFont val="Arial"/>
        <family val="2"/>
      </rPr>
      <t>La suma de medio de pago puede ser mayor al total porque una persona pudo usar más de un tipo.</t>
    </r>
  </si>
  <si>
    <t>Tamaño de localidad y recepción de dinero de personas de otro país y medio de recepción</t>
  </si>
  <si>
    <t>Población de 18 a 70 años por tamaño de localidad y condición de recepción de dinero de personas de otro país en el último año y medio de recepción según sexo</t>
  </si>
  <si>
    <r>
      <t>Total</t>
    </r>
    <r>
      <rPr>
        <b/>
        <vertAlign val="superscript"/>
        <sz val="8"/>
        <rFont val="Arial"/>
        <family val="2"/>
      </rPr>
      <t xml:space="preserve">1 </t>
    </r>
    <r>
      <rPr>
        <b/>
        <sz val="8"/>
        <rFont val="Arial"/>
        <family val="2"/>
      </rPr>
      <t xml:space="preserve"> </t>
    </r>
  </si>
  <si>
    <t>Tamaño de localidad y compras en comercios o pagos de servicios</t>
  </si>
  <si>
    <t>Pagos de transporte público o privado como taxis, Uber, Didi, camión, metro, entre otros</t>
  </si>
  <si>
    <t>Uso físico de tarjeta de débito o crédito</t>
  </si>
  <si>
    <t>Transferencia electrónica o aplicación de celular</t>
  </si>
  <si>
    <t>Sí ha comprado o invertido en activos virtuales</t>
  </si>
  <si>
    <t>No ha comprado o invertido en activos virtuales</t>
  </si>
  <si>
    <t>Cuadro 7.5</t>
  </si>
  <si>
    <t>Al celular</t>
  </si>
  <si>
    <t>No ha realizado transferencias o envíos de dinero por internet o aplicación celular</t>
  </si>
  <si>
    <t>Cuadro 7.6</t>
  </si>
  <si>
    <t>Cuadro 7.7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</si>
  <si>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Bitcoin, ETHER, XRP, NFT, entre otros.</t>
    </r>
  </si>
  <si>
    <t>En algunos</t>
  </si>
  <si>
    <t>En pocos</t>
  </si>
  <si>
    <t>En ninguno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</si>
  <si>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persona pudo responder más de un tipo de compra.</t>
    </r>
  </si>
  <si>
    <t>Sí conoce el Dinero Móvil o DiMo</t>
  </si>
  <si>
    <t>No conoce el Dinero Móvil o DiMo</t>
  </si>
  <si>
    <t>No conoce el Cobro Digital o CoDi</t>
  </si>
  <si>
    <t>Sí conoce el Cobro Digital o CoDi</t>
  </si>
  <si>
    <t>No sabe</t>
  </si>
  <si>
    <t xml:space="preserve">En una cuenta o tarjeta </t>
  </si>
  <si>
    <t xml:space="preserve">En efectivo </t>
  </si>
  <si>
    <r>
      <t>Otra forma de recepción</t>
    </r>
    <r>
      <rPr>
        <vertAlign val="superscript"/>
        <sz val="8"/>
        <color theme="1"/>
        <rFont val="Arial"/>
        <family val="2"/>
      </rPr>
      <t>1</t>
    </r>
  </si>
  <si>
    <t xml:space="preserve">Tamaño de localidad
y tipo de pago </t>
  </si>
  <si>
    <r>
      <t xml:space="preserve">Fuente: </t>
    </r>
    <r>
      <rPr>
        <b/>
        <sz val="8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</si>
  <si>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Sí lo ha utilizado</t>
  </si>
  <si>
    <t>Tamaño de localidad y condición de compra
o inversión en activos virtuales</t>
  </si>
  <si>
    <t>Sí ha realizado transferencias o envíos de dinero
por internet o aplicación celular</t>
  </si>
  <si>
    <t>Compras en mercados, tienditas
de abarrotes, u otras</t>
  </si>
  <si>
    <t>Compras en supermercados, tiendas de autoservicio, farmacias
o tiendas departamentales</t>
  </si>
  <si>
    <t>Compras por celular o Internet
como Amazon, Mercado Libre, Shein, entre otros</t>
  </si>
  <si>
    <t>Tamaño de localidad y condición de realizar transferencias o envíos por internet
o aplicación celular</t>
  </si>
  <si>
    <t>Tamaño de localidad y nivel de aceptación de pagos con transferencia o tarjeta</t>
  </si>
  <si>
    <t>En todos o casi todos</t>
  </si>
  <si>
    <t>Encuesta Nacional de Inclusión Financiera (ENIF) 2024</t>
  </si>
  <si>
    <t>Población de 18 a 70 años por tamaño de localidad y compras en comercios o pagos de servicios según sexo y medio de pago</t>
  </si>
  <si>
    <t>Población de 18 a 70 años por tamaño de localidad y condición de realizar transferencias o envíos de dinero por internet o aplicación celular según sexo</t>
  </si>
  <si>
    <t>Población de 18 a 70 años por tamaño de localidad y nivel de aceptación de pagos  con transferencia o tarjeta en los comercios frecuentados según sexo</t>
  </si>
  <si>
    <t>Población de 18 a 70 años por tamaño de localidad y condición de compra o inversión en activos virtuales según sexo</t>
  </si>
  <si>
    <r>
      <t xml:space="preserve"> Población de 18 a 70 años por tamaño de localidad y condición de compra o inversión en activos virtuales</t>
    </r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según sexo</t>
    </r>
  </si>
  <si>
    <t>Población de 18 a 70 años por tamaño de localidad y nivel de aceptación de pagos  con transferencia
o tarjeta en los comercios frecuentados según sexo</t>
  </si>
  <si>
    <r>
      <t>Población de 18 a 70 años por tamaño de localidad y condición de realizar transferencias o envíos de dinero 
por internet o aplicación celular</t>
    </r>
    <r>
      <rPr>
        <b/>
        <sz val="9"/>
        <color rgb="FFFF0000"/>
        <rFont val="Arial"/>
        <family val="2"/>
      </rPr>
      <t xml:space="preserve"> </t>
    </r>
    <r>
      <rPr>
        <b/>
        <sz val="9"/>
        <rFont val="Arial"/>
        <family val="2"/>
      </rPr>
      <t>según sexo</t>
    </r>
  </si>
  <si>
    <t xml:space="preserve">Sexo </t>
  </si>
  <si>
    <t xml:space="preserve">Absolutos </t>
  </si>
  <si>
    <t>Población de 18 a 70 años por tamaño de localidad, condición de conocimiento de CoDi y DiMo y de uso de plataformas digitales según sexo</t>
  </si>
  <si>
    <t>Tamaño de localidad, condición de conocimiento de CoDi y DiMo y de uso de plataformas digitales</t>
  </si>
  <si>
    <t>Error estándar.</t>
  </si>
  <si>
    <t>Marzo 2025</t>
  </si>
  <si>
    <t>INEGI. Encuesta Nacional de Inclusión Financiera (ENIF) 2024. Tabulados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</si>
</sst>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##\ ###\ ##0"/>
    <numFmt numFmtId="166" formatCode="##,###,###,###,##0"/>
    <numFmt numFmtId="167" formatCode="_-* #,##0_-;\-* #,##0_-;_-* &quot;-&quot;??_-;_-@_-"/>
    <numFmt numFmtId="168" formatCode="###\ ###\ ##0.0"/>
    <numFmt numFmtId="169" formatCode="###,###,###,##0"/>
    <numFmt numFmtId="170" formatCode="###\ ###\ ##0.00"/>
    <numFmt numFmtId="171" formatCode="###,###,###,###,##0.0;[Red]\-###,###,###,###,##0.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b/>
      <vertAlign val="superscript"/>
      <sz val="8"/>
      <color theme="1"/>
      <name val="Arial"/>
      <family val="2"/>
    </font>
    <font>
      <b/>
      <sz val="8"/>
      <color rgb="FFFF0000"/>
      <name val="Arial"/>
      <family val="2"/>
    </font>
    <font>
      <vertAlign val="superscript"/>
      <sz val="8"/>
      <color theme="1"/>
      <name val="Arial"/>
      <family val="2"/>
    </font>
    <font>
      <sz val="9"/>
      <color rgb="FF00339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rgb="FF003399"/>
      <name val="Arial"/>
      <family val="2"/>
    </font>
    <font>
      <b/>
      <sz val="9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indexed="8"/>
      <name val="Calibri"/>
      <family val="2"/>
      <scheme val="minor"/>
    </font>
    <font>
      <sz val="10"/>
      <color rgb="FF000080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sz val="8"/>
      <color rgb="FF000000"/>
      <name val="Arial"/>
      <family val="2"/>
    </font>
    <font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vertAlign val="superscript"/>
      <sz val="8"/>
      <name val="Arial"/>
      <family val="2"/>
    </font>
    <font>
      <b/>
      <sz val="9"/>
      <color rgb="FFFF0000"/>
      <name val="Arial"/>
      <family val="2"/>
    </font>
    <font>
      <b/>
      <strike/>
      <sz val="8"/>
      <color rgb="FFFF0000"/>
      <name val="Arial"/>
      <family val="2"/>
    </font>
    <font>
      <b/>
      <vertAlign val="superscript"/>
      <sz val="9"/>
      <name val="Arial"/>
      <family val="2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indexed="9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/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337AB7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thin">
        <color auto="1"/>
      </top>
      <bottom/>
      <diagonal/>
    </border>
  </borders>
  <cellStyleXfs count="131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3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0" fillId="0" borderId="0"/>
  </cellStyleXfs>
  <cellXfs count="230">
    <xf numFmtId="0" fontId="0" fillId="0" borderId="0" xfId="0"/>
    <xf numFmtId="0" fontId="2" fillId="2" borderId="0" xfId="2" applyFont="1" applyFill="1"/>
    <xf numFmtId="0" fontId="1" fillId="0" borderId="0" xfId="2"/>
    <xf numFmtId="0" fontId="3" fillId="0" borderId="0" xfId="2" applyFont="1" applyAlignment="1">
      <alignment horizontal="center" vertical="center" wrapText="1"/>
    </xf>
    <xf numFmtId="0" fontId="6" fillId="2" borderId="0" xfId="2" applyFont="1" applyFill="1"/>
    <xf numFmtId="0" fontId="7" fillId="2" borderId="0" xfId="2" applyFont="1" applyFill="1"/>
    <xf numFmtId="0" fontId="8" fillId="2" borderId="0" xfId="2" applyFont="1" applyFill="1"/>
    <xf numFmtId="0" fontId="9" fillId="2" borderId="2" xfId="2" applyFont="1" applyFill="1" applyBorder="1" applyAlignment="1">
      <alignment horizontal="right" vertical="center" wrapText="1"/>
    </xf>
    <xf numFmtId="0" fontId="3" fillId="2" borderId="0" xfId="2" applyFont="1" applyFill="1" applyAlignment="1">
      <alignment horizontal="left"/>
    </xf>
    <xf numFmtId="0" fontId="9" fillId="0" borderId="0" xfId="2" applyFont="1" applyAlignment="1">
      <alignment horizontal="left"/>
    </xf>
    <xf numFmtId="0" fontId="9" fillId="2" borderId="0" xfId="2" applyFont="1" applyFill="1" applyAlignment="1">
      <alignment horizontal="left" wrapText="1" indent="2"/>
    </xf>
    <xf numFmtId="0" fontId="9" fillId="0" borderId="0" xfId="2" applyFont="1" applyAlignment="1">
      <alignment horizontal="left" indent="1"/>
    </xf>
    <xf numFmtId="0" fontId="9" fillId="0" borderId="3" xfId="2" applyFont="1" applyBorder="1" applyAlignment="1">
      <alignment horizontal="left"/>
    </xf>
    <xf numFmtId="0" fontId="3" fillId="2" borderId="3" xfId="2" applyFont="1" applyFill="1" applyBorder="1" applyAlignment="1">
      <alignment horizontal="left"/>
    </xf>
    <xf numFmtId="0" fontId="1" fillId="0" borderId="3" xfId="2" applyBorder="1"/>
    <xf numFmtId="0" fontId="13" fillId="2" borderId="0" xfId="2" applyFont="1" applyFill="1" applyAlignment="1">
      <alignment vertical="center"/>
    </xf>
    <xf numFmtId="0" fontId="12" fillId="2" borderId="0" xfId="2" applyFont="1" applyFill="1" applyAlignment="1">
      <alignment vertical="center"/>
    </xf>
    <xf numFmtId="166" fontId="12" fillId="2" borderId="0" xfId="2" applyNumberFormat="1" applyFont="1" applyFill="1" applyAlignment="1">
      <alignment vertical="center" wrapText="1"/>
    </xf>
    <xf numFmtId="0" fontId="12" fillId="2" borderId="0" xfId="2" applyFont="1" applyFill="1" applyAlignment="1">
      <alignment vertical="center" wrapText="1"/>
    </xf>
    <xf numFmtId="166" fontId="1" fillId="0" borderId="0" xfId="2" applyNumberFormat="1"/>
    <xf numFmtId="167" fontId="9" fillId="2" borderId="0" xfId="1" applyNumberFormat="1" applyFont="1" applyFill="1" applyBorder="1" applyAlignment="1">
      <alignment horizontal="left" vertical="center"/>
    </xf>
    <xf numFmtId="167" fontId="9" fillId="2" borderId="0" xfId="1" applyNumberFormat="1" applyFont="1" applyFill="1" applyAlignment="1">
      <alignment horizontal="left" wrapText="1" indent="1"/>
    </xf>
    <xf numFmtId="167" fontId="9" fillId="2" borderId="0" xfId="1" applyNumberFormat="1" applyFont="1" applyFill="1" applyBorder="1" applyAlignment="1">
      <alignment horizontal="left"/>
    </xf>
    <xf numFmtId="0" fontId="0" fillId="0" borderId="3" xfId="0" applyBorder="1"/>
    <xf numFmtId="0" fontId="5" fillId="0" borderId="0" xfId="4" applyFont="1"/>
    <xf numFmtId="0" fontId="2" fillId="2" borderId="0" xfId="4" applyFont="1" applyFill="1" applyAlignment="1">
      <alignment horizontal="right"/>
    </xf>
    <xf numFmtId="0" fontId="1" fillId="0" borderId="0" xfId="4"/>
    <xf numFmtId="0" fontId="2" fillId="2" borderId="0" xfId="4" applyFont="1" applyFill="1"/>
    <xf numFmtId="0" fontId="6" fillId="2" borderId="3" xfId="4" applyFont="1" applyFill="1" applyBorder="1"/>
    <xf numFmtId="0" fontId="8" fillId="2" borderId="0" xfId="4" applyFont="1" applyFill="1"/>
    <xf numFmtId="165" fontId="3" fillId="2" borderId="0" xfId="4" applyNumberFormat="1" applyFont="1" applyFill="1" applyAlignment="1">
      <alignment horizontal="right"/>
    </xf>
    <xf numFmtId="0" fontId="3" fillId="2" borderId="0" xfId="4" applyFont="1" applyFill="1" applyAlignment="1">
      <alignment horizontal="left"/>
    </xf>
    <xf numFmtId="0" fontId="4" fillId="2" borderId="0" xfId="4" applyFont="1" applyFill="1" applyAlignment="1">
      <alignment horizontal="left" wrapText="1" indent="2"/>
    </xf>
    <xf numFmtId="0" fontId="3" fillId="2" borderId="3" xfId="4" applyFont="1" applyFill="1" applyBorder="1" applyAlignment="1">
      <alignment horizontal="left"/>
    </xf>
    <xf numFmtId="0" fontId="3" fillId="2" borderId="3" xfId="4" applyFont="1" applyFill="1" applyBorder="1" applyAlignment="1">
      <alignment horizontal="right"/>
    </xf>
    <xf numFmtId="165" fontId="3" fillId="2" borderId="3" xfId="4" applyNumberFormat="1" applyFont="1" applyFill="1" applyBorder="1" applyAlignment="1">
      <alignment horizontal="right"/>
    </xf>
    <xf numFmtId="0" fontId="4" fillId="2" borderId="0" xfId="2" applyFont="1" applyFill="1" applyAlignment="1">
      <alignment horizontal="left" indent="2"/>
    </xf>
    <xf numFmtId="0" fontId="3" fillId="2" borderId="0" xfId="4" applyFont="1" applyFill="1" applyAlignment="1">
      <alignment horizontal="right"/>
    </xf>
    <xf numFmtId="0" fontId="2" fillId="0" borderId="0" xfId="4" applyFont="1"/>
    <xf numFmtId="0" fontId="9" fillId="2" borderId="0" xfId="2" applyFont="1" applyFill="1" applyAlignment="1">
      <alignment horizontal="left" vertical="center" wrapText="1"/>
    </xf>
    <xf numFmtId="0" fontId="9" fillId="2" borderId="0" xfId="2" applyFont="1" applyFill="1" applyAlignment="1">
      <alignment horizontal="center" vertical="center" wrapText="1"/>
    </xf>
    <xf numFmtId="0" fontId="17" fillId="2" borderId="0" xfId="0" applyFont="1" applyFill="1" applyAlignment="1">
      <alignment horizontal="left" vertical="center"/>
    </xf>
    <xf numFmtId="0" fontId="18" fillId="2" borderId="0" xfId="2" applyFont="1" applyFill="1" applyAlignment="1">
      <alignment horizontal="left" vertical="center"/>
    </xf>
    <xf numFmtId="0" fontId="19" fillId="2" borderId="0" xfId="2" applyFont="1" applyFill="1" applyAlignment="1">
      <alignment horizontal="right"/>
    </xf>
    <xf numFmtId="0" fontId="9" fillId="3" borderId="3" xfId="7" applyFont="1" applyFill="1" applyBorder="1" applyAlignment="1">
      <alignment horizontal="right" vertical="center"/>
    </xf>
    <xf numFmtId="0" fontId="15" fillId="2" borderId="1" xfId="2" applyFont="1" applyFill="1" applyBorder="1" applyAlignment="1">
      <alignment horizontal="center"/>
    </xf>
    <xf numFmtId="0" fontId="9" fillId="2" borderId="1" xfId="2" applyFont="1" applyFill="1" applyBorder="1" applyAlignment="1">
      <alignment horizontal="center"/>
    </xf>
    <xf numFmtId="0" fontId="9" fillId="3" borderId="0" xfId="7" applyFont="1" applyFill="1" applyAlignment="1">
      <alignment horizontal="right" vertical="center"/>
    </xf>
    <xf numFmtId="0" fontId="9" fillId="0" borderId="0" xfId="2" applyFont="1" applyAlignment="1">
      <alignment horizontal="left" vertical="center"/>
    </xf>
    <xf numFmtId="0" fontId="4" fillId="2" borderId="0" xfId="2" applyFont="1" applyFill="1" applyAlignment="1">
      <alignment horizontal="left" vertical="center" wrapText="1" indent="2"/>
    </xf>
    <xf numFmtId="168" fontId="21" fillId="2" borderId="0" xfId="8" applyNumberFormat="1" applyFont="1" applyFill="1" applyAlignment="1" applyProtection="1">
      <alignment horizontal="right"/>
    </xf>
    <xf numFmtId="168" fontId="3" fillId="0" borderId="0" xfId="0" applyNumberFormat="1" applyFont="1" applyAlignment="1">
      <alignment horizontal="right" vertical="center" wrapText="1"/>
    </xf>
    <xf numFmtId="0" fontId="19" fillId="2" borderId="0" xfId="4" applyFont="1" applyFill="1" applyAlignment="1">
      <alignment horizontal="right"/>
    </xf>
    <xf numFmtId="0" fontId="18" fillId="0" borderId="0" xfId="4" applyFont="1"/>
    <xf numFmtId="0" fontId="7" fillId="2" borderId="0" xfId="4" applyFont="1" applyFill="1" applyAlignment="1">
      <alignment horizontal="right"/>
    </xf>
    <xf numFmtId="0" fontId="3" fillId="2" borderId="0" xfId="4" applyFont="1" applyFill="1" applyAlignment="1">
      <alignment horizontal="left" vertical="center"/>
    </xf>
    <xf numFmtId="0" fontId="3" fillId="0" borderId="0" xfId="4" applyFont="1" applyAlignment="1">
      <alignment horizontal="left" vertical="center" indent="1"/>
    </xf>
    <xf numFmtId="0" fontId="4" fillId="2" borderId="0" xfId="4" applyFont="1" applyFill="1" applyAlignment="1">
      <alignment horizontal="left" vertical="center" wrapText="1" indent="2"/>
    </xf>
    <xf numFmtId="0" fontId="3" fillId="2" borderId="0" xfId="4" applyFont="1" applyFill="1" applyAlignment="1">
      <alignment horizontal="left" vertical="center" indent="1"/>
    </xf>
    <xf numFmtId="0" fontId="9" fillId="2" borderId="0" xfId="4" applyFont="1" applyFill="1" applyAlignment="1">
      <alignment horizontal="left" vertical="center" indent="1"/>
    </xf>
    <xf numFmtId="0" fontId="9" fillId="0" borderId="0" xfId="4" applyFont="1" applyAlignment="1">
      <alignment horizontal="left" vertical="center" wrapText="1" indent="1"/>
    </xf>
    <xf numFmtId="0" fontId="10" fillId="2" borderId="0" xfId="4" applyFont="1" applyFill="1" applyAlignment="1">
      <alignment horizontal="left" vertical="center" wrapText="1" indent="2"/>
    </xf>
    <xf numFmtId="0" fontId="9" fillId="2" borderId="0" xfId="4" applyFont="1" applyFill="1" applyAlignment="1">
      <alignment horizontal="left" vertical="center" wrapText="1" indent="1"/>
    </xf>
    <xf numFmtId="0" fontId="3" fillId="2" borderId="0" xfId="2" applyFont="1" applyFill="1" applyAlignment="1">
      <alignment horizontal="center" vertical="center" wrapText="1"/>
    </xf>
    <xf numFmtId="165" fontId="3" fillId="2" borderId="3" xfId="2" applyNumberFormat="1" applyFont="1" applyFill="1" applyBorder="1" applyAlignment="1">
      <alignment horizontal="right"/>
    </xf>
    <xf numFmtId="0" fontId="23" fillId="0" borderId="0" xfId="0" applyFont="1"/>
    <xf numFmtId="0" fontId="22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left" vertical="center" indent="2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3" fillId="2" borderId="0" xfId="2" applyFont="1" applyFill="1" applyAlignment="1">
      <alignment horizontal="right" vertical="center"/>
    </xf>
    <xf numFmtId="165" fontId="3" fillId="2" borderId="0" xfId="2" applyNumberFormat="1" applyFont="1" applyFill="1" applyAlignment="1">
      <alignment horizontal="right" vertical="center"/>
    </xf>
    <xf numFmtId="0" fontId="24" fillId="0" borderId="0" xfId="10" applyFont="1"/>
    <xf numFmtId="0" fontId="28" fillId="0" borderId="0" xfId="10" applyFont="1" applyAlignment="1">
      <alignment horizontal="center" vertical="center"/>
    </xf>
    <xf numFmtId="0" fontId="28" fillId="0" borderId="0" xfId="10" applyFont="1" applyAlignment="1">
      <alignment vertical="center"/>
    </xf>
    <xf numFmtId="0" fontId="29" fillId="0" borderId="0" xfId="10" applyFont="1" applyAlignment="1">
      <alignment vertical="center"/>
    </xf>
    <xf numFmtId="0" fontId="19" fillId="0" borderId="0" xfId="10" applyFont="1"/>
    <xf numFmtId="0" fontId="8" fillId="0" borderId="0" xfId="10" applyFont="1"/>
    <xf numFmtId="17" fontId="31" fillId="0" borderId="0" xfId="10" quotePrefix="1" applyNumberFormat="1" applyFont="1"/>
    <xf numFmtId="17" fontId="25" fillId="0" borderId="0" xfId="10" quotePrefix="1" applyNumberFormat="1" applyFont="1"/>
    <xf numFmtId="0" fontId="29" fillId="5" borderId="5" xfId="10" applyFont="1" applyFill="1" applyBorder="1" applyAlignment="1">
      <alignment horizontal="center" vertical="center"/>
    </xf>
    <xf numFmtId="0" fontId="29" fillId="5" borderId="6" xfId="10" applyFont="1" applyFill="1" applyBorder="1" applyAlignment="1">
      <alignment horizontal="center" vertical="center"/>
    </xf>
    <xf numFmtId="0" fontId="34" fillId="0" borderId="9" xfId="9" applyFont="1" applyBorder="1" applyAlignment="1" applyProtection="1">
      <alignment horizontal="center" vertical="center"/>
    </xf>
    <xf numFmtId="0" fontId="34" fillId="0" borderId="14" xfId="9" applyFont="1" applyBorder="1" applyAlignment="1" applyProtection="1">
      <alignment horizontal="center" vertical="center"/>
    </xf>
    <xf numFmtId="0" fontId="34" fillId="0" borderId="15" xfId="9" applyFont="1" applyBorder="1" applyAlignment="1" applyProtection="1">
      <alignment horizontal="center" vertical="center"/>
    </xf>
    <xf numFmtId="0" fontId="34" fillId="0" borderId="17" xfId="9" applyFont="1" applyBorder="1" applyAlignment="1" applyProtection="1">
      <alignment horizontal="center" vertical="center"/>
    </xf>
    <xf numFmtId="0" fontId="35" fillId="0" borderId="0" xfId="10" applyFont="1"/>
    <xf numFmtId="0" fontId="35" fillId="0" borderId="0" xfId="10" applyFont="1" applyAlignment="1">
      <alignment horizontal="left" vertical="center"/>
    </xf>
    <xf numFmtId="0" fontId="12" fillId="0" borderId="0" xfId="6" applyFont="1" applyAlignment="1">
      <alignment horizontal="left" vertical="center"/>
    </xf>
    <xf numFmtId="0" fontId="37" fillId="0" borderId="0" xfId="2" applyFont="1" applyAlignment="1">
      <alignment horizontal="left" vertical="center"/>
    </xf>
    <xf numFmtId="0" fontId="9" fillId="2" borderId="1" xfId="2" applyFont="1" applyFill="1" applyBorder="1" applyAlignment="1">
      <alignment horizontal="left" vertical="center" wrapText="1"/>
    </xf>
    <xf numFmtId="0" fontId="9" fillId="2" borderId="3" xfId="2" applyFont="1" applyFill="1" applyBorder="1" applyAlignment="1">
      <alignment horizontal="left" vertical="center" wrapText="1"/>
    </xf>
    <xf numFmtId="0" fontId="9" fillId="2" borderId="1" xfId="2" applyFont="1" applyFill="1" applyBorder="1" applyAlignment="1">
      <alignment horizontal="right" vertical="center" wrapText="1"/>
    </xf>
    <xf numFmtId="0" fontId="9" fillId="2" borderId="0" xfId="2" applyFont="1" applyFill="1" applyAlignment="1">
      <alignment horizontal="right" vertical="center" wrapText="1"/>
    </xf>
    <xf numFmtId="0" fontId="9" fillId="2" borderId="3" xfId="2" applyFont="1" applyFill="1" applyBorder="1" applyAlignment="1">
      <alignment horizontal="right" vertical="center" wrapText="1"/>
    </xf>
    <xf numFmtId="165" fontId="3" fillId="0" borderId="3" xfId="0" applyNumberFormat="1" applyFont="1" applyBorder="1" applyAlignment="1">
      <alignment horizontal="right" vertical="center" wrapText="1"/>
    </xf>
    <xf numFmtId="0" fontId="3" fillId="2" borderId="3" xfId="2" applyFont="1" applyFill="1" applyBorder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167" fontId="9" fillId="2" borderId="0" xfId="14" applyNumberFormat="1" applyFont="1" applyFill="1" applyBorder="1" applyAlignment="1">
      <alignment horizontal="left" vertical="center"/>
    </xf>
    <xf numFmtId="0" fontId="3" fillId="2" borderId="3" xfId="2" applyFont="1" applyFill="1" applyBorder="1" applyAlignment="1">
      <alignment horizontal="center" vertical="center" wrapText="1"/>
    </xf>
    <xf numFmtId="167" fontId="9" fillId="2" borderId="0" xfId="15" applyNumberFormat="1" applyFont="1" applyFill="1" applyBorder="1" applyAlignment="1">
      <alignment horizontal="left" vertical="center"/>
    </xf>
    <xf numFmtId="167" fontId="9" fillId="2" borderId="0" xfId="15" applyNumberFormat="1" applyFont="1" applyFill="1" applyBorder="1" applyAlignment="1">
      <alignment horizontal="left"/>
    </xf>
    <xf numFmtId="167" fontId="9" fillId="2" borderId="0" xfId="16" applyNumberFormat="1" applyFont="1" applyFill="1" applyBorder="1" applyAlignment="1">
      <alignment horizontal="left" vertical="center"/>
    </xf>
    <xf numFmtId="167" fontId="9" fillId="2" borderId="0" xfId="16" applyNumberFormat="1" applyFont="1" applyFill="1" applyBorder="1" applyAlignment="1">
      <alignment horizontal="left"/>
    </xf>
    <xf numFmtId="0" fontId="39" fillId="0" borderId="0" xfId="2" applyFont="1"/>
    <xf numFmtId="0" fontId="39" fillId="0" borderId="0" xfId="0" applyFont="1"/>
    <xf numFmtId="0" fontId="4" fillId="0" borderId="0" xfId="2" applyFont="1"/>
    <xf numFmtId="169" fontId="0" fillId="0" borderId="0" xfId="0" applyNumberFormat="1"/>
    <xf numFmtId="169" fontId="2" fillId="2" borderId="0" xfId="2" applyNumberFormat="1" applyFont="1" applyFill="1"/>
    <xf numFmtId="169" fontId="7" fillId="2" borderId="0" xfId="2" applyNumberFormat="1" applyFont="1" applyFill="1"/>
    <xf numFmtId="169" fontId="9" fillId="3" borderId="3" xfId="7" applyNumberFormat="1" applyFont="1" applyFill="1" applyBorder="1" applyAlignment="1">
      <alignment horizontal="right" vertical="center"/>
    </xf>
    <xf numFmtId="169" fontId="9" fillId="2" borderId="0" xfId="2" applyNumberFormat="1" applyFont="1" applyFill="1" applyAlignment="1">
      <alignment horizontal="right" vertical="center" wrapText="1"/>
    </xf>
    <xf numFmtId="169" fontId="3" fillId="0" borderId="0" xfId="0" applyNumberFormat="1" applyFont="1" applyAlignment="1">
      <alignment horizontal="right" vertical="center" wrapText="1"/>
    </xf>
    <xf numFmtId="169" fontId="3" fillId="2" borderId="3" xfId="2" applyNumberFormat="1" applyFont="1" applyFill="1" applyBorder="1" applyAlignment="1">
      <alignment horizontal="left"/>
    </xf>
    <xf numFmtId="169" fontId="3" fillId="2" borderId="0" xfId="2" applyNumberFormat="1" applyFont="1" applyFill="1" applyAlignment="1">
      <alignment horizontal="left"/>
    </xf>
    <xf numFmtId="169" fontId="1" fillId="0" borderId="0" xfId="2" applyNumberFormat="1"/>
    <xf numFmtId="169" fontId="9" fillId="3" borderId="0" xfId="7" applyNumberFormat="1" applyFont="1" applyFill="1" applyAlignment="1">
      <alignment horizontal="right" vertical="center"/>
    </xf>
    <xf numFmtId="169" fontId="8" fillId="2" borderId="0" xfId="2" applyNumberFormat="1" applyFont="1" applyFill="1"/>
    <xf numFmtId="169" fontId="3" fillId="0" borderId="0" xfId="2" applyNumberFormat="1" applyFont="1" applyAlignment="1">
      <alignment horizontal="center" vertical="center" wrapText="1"/>
    </xf>
    <xf numFmtId="169" fontId="39" fillId="0" borderId="0" xfId="2" applyNumberFormat="1" applyFont="1"/>
    <xf numFmtId="169" fontId="39" fillId="0" borderId="0" xfId="0" applyNumberFormat="1" applyFont="1"/>
    <xf numFmtId="169" fontId="3" fillId="0" borderId="3" xfId="0" applyNumberFormat="1" applyFont="1" applyBorder="1" applyAlignment="1">
      <alignment horizontal="right" vertical="center" wrapText="1"/>
    </xf>
    <xf numFmtId="169" fontId="0" fillId="0" borderId="3" xfId="0" applyNumberFormat="1" applyBorder="1"/>
    <xf numFmtId="169" fontId="9" fillId="2" borderId="0" xfId="2" applyNumberFormat="1" applyFont="1" applyFill="1" applyAlignment="1">
      <alignment horizontal="center" vertical="center" wrapText="1"/>
    </xf>
    <xf numFmtId="169" fontId="2" fillId="2" borderId="0" xfId="4" applyNumberFormat="1" applyFont="1" applyFill="1" applyAlignment="1">
      <alignment horizontal="right"/>
    </xf>
    <xf numFmtId="169" fontId="7" fillId="2" borderId="0" xfId="4" applyNumberFormat="1" applyFont="1" applyFill="1" applyAlignment="1">
      <alignment horizontal="right"/>
    </xf>
    <xf numFmtId="169" fontId="3" fillId="2" borderId="3" xfId="4" applyNumberFormat="1" applyFont="1" applyFill="1" applyBorder="1" applyAlignment="1">
      <alignment horizontal="right"/>
    </xf>
    <xf numFmtId="169" fontId="3" fillId="2" borderId="0" xfId="4" applyNumberFormat="1" applyFont="1" applyFill="1" applyAlignment="1">
      <alignment horizontal="right"/>
    </xf>
    <xf numFmtId="169" fontId="1" fillId="0" borderId="0" xfId="4" applyNumberFormat="1"/>
    <xf numFmtId="169" fontId="2" fillId="2" borderId="0" xfId="4" applyNumberFormat="1" applyFont="1" applyFill="1"/>
    <xf numFmtId="169" fontId="8" fillId="2" borderId="0" xfId="4" applyNumberFormat="1" applyFont="1" applyFill="1"/>
    <xf numFmtId="169" fontId="3" fillId="2" borderId="0" xfId="4" applyNumberFormat="1" applyFont="1" applyFill="1" applyAlignment="1">
      <alignment horizontal="left"/>
    </xf>
    <xf numFmtId="169" fontId="3" fillId="2" borderId="3" xfId="4" applyNumberFormat="1" applyFont="1" applyFill="1" applyBorder="1" applyAlignment="1">
      <alignment horizontal="left"/>
    </xf>
    <xf numFmtId="169" fontId="23" fillId="0" borderId="0" xfId="0" applyNumberFormat="1" applyFont="1"/>
    <xf numFmtId="169" fontId="3" fillId="2" borderId="0" xfId="2" applyNumberFormat="1" applyFont="1" applyFill="1" applyAlignment="1">
      <alignment horizontal="right" vertical="center" wrapText="1"/>
    </xf>
    <xf numFmtId="169" fontId="13" fillId="2" borderId="0" xfId="2" applyNumberFormat="1" applyFont="1" applyFill="1" applyAlignment="1">
      <alignment vertical="center"/>
    </xf>
    <xf numFmtId="169" fontId="12" fillId="2" borderId="0" xfId="2" applyNumberFormat="1" applyFont="1" applyFill="1" applyAlignment="1">
      <alignment vertical="center" wrapText="1"/>
    </xf>
    <xf numFmtId="169" fontId="12" fillId="2" borderId="0" xfId="2" applyNumberFormat="1" applyFont="1" applyFill="1" applyAlignment="1">
      <alignment vertical="center"/>
    </xf>
    <xf numFmtId="169" fontId="0" fillId="0" borderId="0" xfId="0" applyNumberFormat="1" applyAlignment="1">
      <alignment horizontal="right" vertical="center"/>
    </xf>
    <xf numFmtId="0" fontId="42" fillId="2" borderId="0" xfId="4" applyFont="1" applyFill="1" applyAlignment="1">
      <alignment horizontal="left" vertical="center" indent="1"/>
    </xf>
    <xf numFmtId="0" fontId="3" fillId="0" borderId="0" xfId="4" applyFont="1" applyAlignment="1">
      <alignment horizontal="left" vertical="center" indent="2"/>
    </xf>
    <xf numFmtId="0" fontId="9" fillId="0" borderId="0" xfId="4" applyFont="1" applyAlignment="1">
      <alignment horizontal="left" vertical="center" indent="2"/>
    </xf>
    <xf numFmtId="0" fontId="4" fillId="2" borderId="0" xfId="4" applyFont="1" applyFill="1" applyAlignment="1">
      <alignment horizontal="left" vertical="center" wrapText="1" indent="3"/>
    </xf>
    <xf numFmtId="0" fontId="4" fillId="2" borderId="0" xfId="4" applyFont="1" applyFill="1" applyAlignment="1">
      <alignment horizontal="left" vertical="center" wrapText="1" indent="1"/>
    </xf>
    <xf numFmtId="167" fontId="9" fillId="2" borderId="0" xfId="1" applyNumberFormat="1" applyFont="1" applyFill="1" applyBorder="1" applyAlignment="1">
      <alignment horizontal="left" vertical="center" indent="1"/>
    </xf>
    <xf numFmtId="0" fontId="9" fillId="0" borderId="0" xfId="2" applyFont="1" applyAlignment="1">
      <alignment horizontal="left" indent="2"/>
    </xf>
    <xf numFmtId="167" fontId="9" fillId="2" borderId="0" xfId="1" applyNumberFormat="1" applyFont="1" applyFill="1" applyAlignment="1">
      <alignment horizontal="left" wrapText="1" indent="2"/>
    </xf>
    <xf numFmtId="167" fontId="9" fillId="2" borderId="0" xfId="1" applyNumberFormat="1" applyFont="1" applyFill="1" applyBorder="1" applyAlignment="1">
      <alignment horizontal="left" indent="1"/>
    </xf>
    <xf numFmtId="167" fontId="9" fillId="2" borderId="0" xfId="16" applyNumberFormat="1" applyFont="1" applyFill="1" applyBorder="1" applyAlignment="1">
      <alignment horizontal="left" vertical="center" indent="1"/>
    </xf>
    <xf numFmtId="167" fontId="9" fillId="2" borderId="0" xfId="16" applyNumberFormat="1" applyFont="1" applyFill="1" applyBorder="1" applyAlignment="1">
      <alignment horizontal="left" indent="1"/>
    </xf>
    <xf numFmtId="0" fontId="4" fillId="0" borderId="0" xfId="4" applyFont="1" applyAlignment="1">
      <alignment horizontal="left" vertical="center" indent="2"/>
    </xf>
    <xf numFmtId="0" fontId="4" fillId="2" borderId="0" xfId="4" applyFont="1" applyFill="1" applyAlignment="1">
      <alignment horizontal="left" wrapText="1" indent="3"/>
    </xf>
    <xf numFmtId="167" fontId="9" fillId="2" borderId="0" xfId="14" applyNumberFormat="1" applyFont="1" applyFill="1" applyBorder="1" applyAlignment="1">
      <alignment horizontal="left" vertical="center" indent="1"/>
    </xf>
    <xf numFmtId="0" fontId="42" fillId="2" borderId="0" xfId="4" applyFont="1" applyFill="1" applyAlignment="1">
      <alignment horizontal="left" vertical="center" indent="2"/>
    </xf>
    <xf numFmtId="0" fontId="4" fillId="0" borderId="0" xfId="4" applyFont="1" applyAlignment="1">
      <alignment horizontal="left" vertical="center" wrapText="1" indent="2"/>
    </xf>
    <xf numFmtId="0" fontId="27" fillId="0" borderId="0" xfId="10" applyFont="1" applyAlignment="1">
      <alignment horizontal="center" vertical="center"/>
    </xf>
    <xf numFmtId="0" fontId="24" fillId="0" borderId="0" xfId="6" applyFont="1"/>
    <xf numFmtId="0" fontId="31" fillId="0" borderId="0" xfId="6" applyFont="1"/>
    <xf numFmtId="0" fontId="1" fillId="0" borderId="0" xfId="6"/>
    <xf numFmtId="0" fontId="3" fillId="0" borderId="21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170" fontId="3" fillId="0" borderId="2" xfId="0" applyNumberFormat="1" applyFont="1" applyBorder="1" applyAlignment="1">
      <alignment horizontal="right" vertical="center" wrapText="1"/>
    </xf>
    <xf numFmtId="0" fontId="45" fillId="0" borderId="3" xfId="0" applyFont="1" applyBorder="1" applyAlignment="1">
      <alignment horizontal="right"/>
    </xf>
    <xf numFmtId="170" fontId="3" fillId="0" borderId="0" xfId="0" applyNumberFormat="1" applyFont="1" applyAlignment="1">
      <alignment horizontal="right" vertical="center" wrapText="1"/>
    </xf>
    <xf numFmtId="0" fontId="45" fillId="0" borderId="0" xfId="0" applyFont="1" applyAlignment="1">
      <alignment horizontal="right"/>
    </xf>
    <xf numFmtId="0" fontId="9" fillId="2" borderId="21" xfId="4" applyFont="1" applyFill="1" applyBorder="1" applyAlignment="1">
      <alignment horizontal="left" vertical="center" wrapText="1"/>
    </xf>
    <xf numFmtId="0" fontId="9" fillId="2" borderId="0" xfId="4" applyFont="1" applyFill="1" applyAlignment="1">
      <alignment horizontal="left" vertical="center" wrapText="1"/>
    </xf>
    <xf numFmtId="0" fontId="3" fillId="2" borderId="2" xfId="4" applyFont="1" applyFill="1" applyBorder="1" applyAlignment="1">
      <alignment horizontal="left"/>
    </xf>
    <xf numFmtId="0" fontId="9" fillId="2" borderId="21" xfId="2" applyFont="1" applyFill="1" applyBorder="1" applyAlignment="1">
      <alignment horizontal="left" vertical="center" wrapText="1"/>
    </xf>
    <xf numFmtId="0" fontId="3" fillId="2" borderId="21" xfId="2" applyFont="1" applyFill="1" applyBorder="1" applyAlignment="1">
      <alignment horizontal="center"/>
    </xf>
    <xf numFmtId="0" fontId="3" fillId="2" borderId="21" xfId="2" applyFont="1" applyFill="1" applyBorder="1" applyAlignment="1">
      <alignment horizontal="right" vertical="center" wrapText="1"/>
    </xf>
    <xf numFmtId="0" fontId="3" fillId="2" borderId="21" xfId="2" applyFont="1" applyFill="1" applyBorder="1" applyAlignment="1">
      <alignment horizontal="center" vertical="center" wrapText="1"/>
    </xf>
    <xf numFmtId="171" fontId="3" fillId="2" borderId="0" xfId="0" applyNumberFormat="1" applyFont="1" applyFill="1" applyAlignment="1">
      <alignment horizontal="right" vertical="center" wrapText="1"/>
    </xf>
    <xf numFmtId="171" fontId="9" fillId="2" borderId="0" xfId="0" applyNumberFormat="1" applyFont="1" applyFill="1" applyAlignment="1">
      <alignment horizontal="right" vertical="center" wrapText="1"/>
    </xf>
    <xf numFmtId="171" fontId="4" fillId="2" borderId="0" xfId="0" applyNumberFormat="1" applyFont="1" applyFill="1" applyAlignment="1">
      <alignment horizontal="right" vertical="center" wrapText="1"/>
    </xf>
    <xf numFmtId="171" fontId="10" fillId="2" borderId="0" xfId="0" applyNumberFormat="1" applyFont="1" applyFill="1" applyAlignment="1">
      <alignment horizontal="right" vertical="center" wrapText="1"/>
    </xf>
    <xf numFmtId="171" fontId="12" fillId="2" borderId="0" xfId="0" applyNumberFormat="1" applyFont="1" applyFill="1" applyAlignment="1" applyProtection="1">
      <alignment horizontal="right" vertical="center" wrapText="1" readingOrder="1"/>
      <protection locked="0"/>
    </xf>
    <xf numFmtId="171" fontId="11" fillId="2" borderId="0" xfId="0" applyNumberFormat="1" applyFont="1" applyFill="1" applyAlignment="1" applyProtection="1">
      <alignment horizontal="right" vertical="center" wrapText="1" readingOrder="1"/>
      <protection locked="0"/>
    </xf>
    <xf numFmtId="171" fontId="3" fillId="2" borderId="3" xfId="4" applyNumberFormat="1" applyFont="1" applyFill="1" applyBorder="1" applyAlignment="1">
      <alignment horizontal="right"/>
    </xf>
    <xf numFmtId="171" fontId="3" fillId="2" borderId="3" xfId="4" applyNumberFormat="1" applyFont="1" applyFill="1" applyBorder="1" applyAlignment="1">
      <alignment horizontal="left"/>
    </xf>
    <xf numFmtId="171" fontId="0" fillId="2" borderId="0" xfId="0" applyNumberFormat="1" applyFill="1"/>
    <xf numFmtId="171" fontId="3" fillId="2" borderId="0" xfId="2" applyNumberFormat="1" applyFont="1" applyFill="1" applyAlignment="1">
      <alignment horizontal="right" vertical="center"/>
    </xf>
    <xf numFmtId="171" fontId="0" fillId="2" borderId="0" xfId="0" applyNumberFormat="1" applyFill="1" applyAlignment="1">
      <alignment horizontal="right" vertical="center"/>
    </xf>
    <xf numFmtId="171" fontId="12" fillId="2" borderId="4" xfId="2" applyNumberFormat="1" applyFont="1" applyFill="1" applyBorder="1" applyAlignment="1" applyProtection="1">
      <alignment horizontal="right" vertical="center" wrapText="1"/>
      <protection locked="0"/>
    </xf>
    <xf numFmtId="171" fontId="12" fillId="2" borderId="0" xfId="2" applyNumberFormat="1" applyFont="1" applyFill="1" applyAlignment="1" applyProtection="1">
      <alignment horizontal="right" vertical="center" wrapText="1"/>
      <protection locked="0"/>
    </xf>
    <xf numFmtId="171" fontId="12" fillId="2" borderId="4" xfId="2" applyNumberFormat="1" applyFont="1" applyFill="1" applyBorder="1" applyAlignment="1" applyProtection="1">
      <alignment horizontal="right" vertical="center" wrapText="1" readingOrder="1"/>
      <protection locked="0"/>
    </xf>
    <xf numFmtId="0" fontId="26" fillId="0" borderId="0" xfId="6" applyFont="1" applyAlignment="1">
      <alignment horizontal="center" vertical="center"/>
    </xf>
    <xf numFmtId="0" fontId="27" fillId="0" borderId="0" xfId="6" applyFont="1" applyAlignment="1">
      <alignment horizontal="center" vertical="center"/>
    </xf>
    <xf numFmtId="0" fontId="31" fillId="0" borderId="0" xfId="10" applyFont="1" applyAlignment="1">
      <alignment horizontal="right"/>
    </xf>
    <xf numFmtId="0" fontId="31" fillId="0" borderId="0" xfId="11" applyFont="1" applyAlignment="1">
      <alignment horizontal="center" vertical="center"/>
    </xf>
    <xf numFmtId="0" fontId="44" fillId="4" borderId="0" xfId="130" applyFont="1" applyFill="1" applyAlignment="1">
      <alignment horizontal="center" vertical="center"/>
    </xf>
    <xf numFmtId="0" fontId="29" fillId="5" borderId="6" xfId="10" applyFont="1" applyFill="1" applyBorder="1" applyAlignment="1">
      <alignment horizontal="center" vertical="center"/>
    </xf>
    <xf numFmtId="0" fontId="29" fillId="5" borderId="7" xfId="10" applyFont="1" applyFill="1" applyBorder="1" applyAlignment="1">
      <alignment horizontal="center" vertical="center"/>
    </xf>
    <xf numFmtId="0" fontId="32" fillId="0" borderId="8" xfId="8" applyFont="1" applyFill="1" applyBorder="1" applyAlignment="1">
      <alignment horizontal="center" vertical="center" wrapText="1"/>
    </xf>
    <xf numFmtId="0" fontId="32" fillId="0" borderId="13" xfId="8" applyFont="1" applyFill="1" applyBorder="1" applyAlignment="1">
      <alignment horizontal="center" vertical="center" wrapText="1"/>
    </xf>
    <xf numFmtId="0" fontId="32" fillId="0" borderId="16" xfId="8" applyFont="1" applyFill="1" applyBorder="1" applyAlignment="1">
      <alignment horizontal="left" vertical="center" wrapText="1" readingOrder="1"/>
    </xf>
    <xf numFmtId="0" fontId="24" fillId="0" borderId="10" xfId="10" applyFont="1" applyBorder="1" applyAlignment="1">
      <alignment horizontal="left" vertical="center" wrapText="1" indent="1"/>
    </xf>
    <xf numFmtId="0" fontId="24" fillId="0" borderId="11" xfId="10" applyFont="1" applyBorder="1" applyAlignment="1">
      <alignment horizontal="left" vertical="center" wrapText="1" indent="1"/>
    </xf>
    <xf numFmtId="0" fontId="24" fillId="0" borderId="12" xfId="10" applyFont="1" applyBorder="1" applyAlignment="1">
      <alignment horizontal="left" vertical="center" wrapText="1" indent="1"/>
    </xf>
    <xf numFmtId="0" fontId="38" fillId="0" borderId="10" xfId="10" applyFont="1" applyBorder="1" applyAlignment="1">
      <alignment horizontal="left" vertical="center" wrapText="1" indent="1"/>
    </xf>
    <xf numFmtId="0" fontId="38" fillId="0" borderId="11" xfId="10" applyFont="1" applyBorder="1" applyAlignment="1">
      <alignment horizontal="left" vertical="center" wrapText="1" indent="1"/>
    </xf>
    <xf numFmtId="0" fontId="38" fillId="0" borderId="12" xfId="10" applyFont="1" applyBorder="1" applyAlignment="1">
      <alignment horizontal="left" vertical="center" wrapText="1" indent="1"/>
    </xf>
    <xf numFmtId="0" fontId="38" fillId="0" borderId="18" xfId="10" applyFont="1" applyBorder="1" applyAlignment="1">
      <alignment horizontal="left" vertical="center" wrapText="1" indent="1"/>
    </xf>
    <xf numFmtId="0" fontId="38" fillId="0" borderId="19" xfId="10" applyFont="1" applyBorder="1" applyAlignment="1">
      <alignment horizontal="left" vertical="center" wrapText="1" indent="1"/>
    </xf>
    <xf numFmtId="0" fontId="38" fillId="0" borderId="20" xfId="10" applyFont="1" applyBorder="1" applyAlignment="1">
      <alignment horizontal="left" vertical="center" wrapText="1" indent="1"/>
    </xf>
    <xf numFmtId="0" fontId="9" fillId="2" borderId="1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center" vertical="center"/>
    </xf>
    <xf numFmtId="0" fontId="1" fillId="0" borderId="3" xfId="2" applyBorder="1"/>
    <xf numFmtId="0" fontId="12" fillId="0" borderId="0" xfId="0" applyFont="1" applyAlignment="1">
      <alignment horizontal="left" vertical="center" wrapText="1"/>
    </xf>
    <xf numFmtId="0" fontId="9" fillId="2" borderId="1" xfId="2" applyFont="1" applyFill="1" applyBorder="1" applyAlignment="1">
      <alignment horizontal="left" vertical="center" wrapText="1"/>
    </xf>
    <xf numFmtId="0" fontId="9" fillId="2" borderId="0" xfId="2" applyFont="1" applyFill="1" applyAlignment="1">
      <alignment horizontal="left" vertical="center" wrapText="1"/>
    </xf>
    <xf numFmtId="0" fontId="9" fillId="2" borderId="3" xfId="2" applyFont="1" applyFill="1" applyBorder="1" applyAlignment="1">
      <alignment horizontal="left" vertical="center" wrapText="1"/>
    </xf>
    <xf numFmtId="0" fontId="9" fillId="2" borderId="2" xfId="2" applyFont="1" applyFill="1" applyBorder="1" applyAlignment="1">
      <alignment horizontal="center" vertical="center" wrapText="1"/>
    </xf>
    <xf numFmtId="0" fontId="9" fillId="2" borderId="21" xfId="4" applyFont="1" applyFill="1" applyBorder="1" applyAlignment="1">
      <alignment horizontal="left" vertical="center" wrapText="1"/>
    </xf>
    <xf numFmtId="0" fontId="9" fillId="2" borderId="0" xfId="4" applyFont="1" applyFill="1" applyAlignment="1">
      <alignment horizontal="left" vertical="center" wrapText="1"/>
    </xf>
    <xf numFmtId="0" fontId="9" fillId="2" borderId="3" xfId="4" applyFont="1" applyFill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8" fillId="0" borderId="0" xfId="4" applyFont="1" applyAlignment="1">
      <alignment horizontal="left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9" fillId="2" borderId="21" xfId="2" applyFont="1" applyFill="1" applyBorder="1" applyAlignment="1">
      <alignment horizontal="left" vertical="center" wrapText="1"/>
    </xf>
    <xf numFmtId="0" fontId="3" fillId="2" borderId="2" xfId="2" applyFont="1" applyFill="1" applyBorder="1" applyAlignment="1">
      <alignment horizontal="center" vertical="center"/>
    </xf>
    <xf numFmtId="0" fontId="9" fillId="2" borderId="21" xfId="2" applyFont="1" applyFill="1" applyBorder="1" applyAlignment="1">
      <alignment horizontal="center" vertical="center" wrapText="1"/>
    </xf>
    <xf numFmtId="0" fontId="1" fillId="0" borderId="2" xfId="2" applyBorder="1"/>
    <xf numFmtId="0" fontId="1" fillId="0" borderId="21" xfId="2" applyBorder="1"/>
    <xf numFmtId="0" fontId="46" fillId="6" borderId="0" xfId="0" applyFont="1" applyFill="1" applyAlignment="1">
      <alignment vertical="center"/>
    </xf>
  </cellXfs>
  <cellStyles count="131">
    <cellStyle name="Hipervínculo" xfId="9" builtinId="8"/>
    <cellStyle name="Hipervínculo 2" xfId="8" xr:uid="{00000000-0005-0000-0000-000001000000}"/>
    <cellStyle name="Millares" xfId="1" builtinId="3"/>
    <cellStyle name="Millares 10" xfId="27" xr:uid="{74B9CAB1-477D-4FAF-8B4D-FFDA826F9164}"/>
    <cellStyle name="Millares 10 2" xfId="121" xr:uid="{BDD42D7C-7EA5-4269-9233-DC0BFA22AD3F}"/>
    <cellStyle name="Millares 10 3" xfId="102" xr:uid="{30C082B7-DD97-42AC-83AE-3127BB04C7DA}"/>
    <cellStyle name="Millares 10 4" xfId="87" xr:uid="{F4B375E3-AC83-4E40-94A2-302FA85069EF}"/>
    <cellStyle name="Millares 10 5" xfId="72" xr:uid="{B5745F9C-51EC-4771-9895-812DADF7CE12}"/>
    <cellStyle name="Millares 10 6" xfId="57" xr:uid="{0BF00626-2A1B-4A18-8D6F-142CA89D43F1}"/>
    <cellStyle name="Millares 10 7" xfId="42" xr:uid="{C2F53193-5BE3-4928-BCC9-363D611592FC}"/>
    <cellStyle name="Millares 11" xfId="28" xr:uid="{BF7A9939-F9A6-4C1F-84B7-0062C0DFCB4E}"/>
    <cellStyle name="Millares 11 2" xfId="122" xr:uid="{85200013-8E76-4A0E-AAD8-B3E368A8BFB9}"/>
    <cellStyle name="Millares 11 3" xfId="103" xr:uid="{87024B6A-96BB-46CA-8347-93B09F029BCA}"/>
    <cellStyle name="Millares 11 4" xfId="88" xr:uid="{C10D6B0D-AC4B-4BEB-8DC6-27882982964B}"/>
    <cellStyle name="Millares 11 5" xfId="73" xr:uid="{A9C49192-2CB0-440F-B646-CF93BB46FE0B}"/>
    <cellStyle name="Millares 11 6" xfId="58" xr:uid="{A150A09C-17B6-4DB6-9886-31A16AE585AB}"/>
    <cellStyle name="Millares 11 7" xfId="43" xr:uid="{CF8EA9B8-9E89-402D-9881-180F4B78EF71}"/>
    <cellStyle name="Millares 12" xfId="29" xr:uid="{94C15F61-C950-49F8-9844-68820E87DE3A}"/>
    <cellStyle name="Millares 12 2" xfId="123" xr:uid="{EA53E91E-864A-426D-9E16-2ACE003B83CD}"/>
    <cellStyle name="Millares 12 3" xfId="104" xr:uid="{CEEC1FCD-E499-4509-BB21-9BBA4678FB69}"/>
    <cellStyle name="Millares 12 4" xfId="89" xr:uid="{A5DDD980-F958-490C-8392-C17798FE337A}"/>
    <cellStyle name="Millares 12 5" xfId="74" xr:uid="{E82CF286-E6FD-47A5-80C2-C7603171E909}"/>
    <cellStyle name="Millares 12 6" xfId="59" xr:uid="{A45D5203-534D-4E8A-9344-4EF705DC1BFE}"/>
    <cellStyle name="Millares 12 7" xfId="44" xr:uid="{38C44B5D-4008-423D-9210-6F30C36F30A4}"/>
    <cellStyle name="Millares 13" xfId="30" xr:uid="{D721D439-F7E6-44F0-858A-B3A16B233E20}"/>
    <cellStyle name="Millares 13 2" xfId="124" xr:uid="{6605ED8C-9E15-4C15-B181-CD454F6AF22F}"/>
    <cellStyle name="Millares 13 3" xfId="105" xr:uid="{49FD4A9E-D0A4-4819-834A-E154A7CFC154}"/>
    <cellStyle name="Millares 13 4" xfId="90" xr:uid="{7D424A36-855D-4793-953C-4F848BC5DAD5}"/>
    <cellStyle name="Millares 13 5" xfId="75" xr:uid="{DAA619E8-ECCF-4F52-A115-6A19958BC8EB}"/>
    <cellStyle name="Millares 13 6" xfId="60" xr:uid="{838875B5-5DBF-4D61-835F-6BDF947BB924}"/>
    <cellStyle name="Millares 13 7" xfId="45" xr:uid="{D703E5FF-FD68-4E49-B672-BBD4769F839C}"/>
    <cellStyle name="Millares 14" xfId="31" xr:uid="{ACB0F3A2-D722-45E1-9653-A673FDEB4048}"/>
    <cellStyle name="Millares 14 2" xfId="125" xr:uid="{2CD02600-F4DA-46B6-AB46-64D836E20BBD}"/>
    <cellStyle name="Millares 14 3" xfId="106" xr:uid="{F35065A6-B044-44AF-BC76-93EDECD09466}"/>
    <cellStyle name="Millares 14 4" xfId="91" xr:uid="{8DC4BEB2-2901-45C8-9F86-854A024407D2}"/>
    <cellStyle name="Millares 14 5" xfId="76" xr:uid="{857C3DE6-4950-4384-A289-91E9BB93E624}"/>
    <cellStyle name="Millares 14 6" xfId="61" xr:uid="{8430554D-0EE9-40E0-9180-B8B628ABA10A}"/>
    <cellStyle name="Millares 14 7" xfId="46" xr:uid="{A9E0ED6D-14D1-46DD-9A58-E75BA5FAA4C7}"/>
    <cellStyle name="Millares 15" xfId="32" xr:uid="{08113555-83CA-4C4C-AD46-F32E666814BD}"/>
    <cellStyle name="Millares 15 2" xfId="126" xr:uid="{C5BC2147-B525-49D2-9937-42F0B60855D9}"/>
    <cellStyle name="Millares 15 3" xfId="107" xr:uid="{EE414736-59E9-4B45-A27F-88B99FF3C905}"/>
    <cellStyle name="Millares 15 4" xfId="92" xr:uid="{21E65C69-9F4B-40B0-81C4-AB8320FE9004}"/>
    <cellStyle name="Millares 15 5" xfId="77" xr:uid="{C024114E-CF92-45AA-84B9-C5001BA52DB0}"/>
    <cellStyle name="Millares 15 6" xfId="62" xr:uid="{C647424D-96DA-4909-B6FD-07A18D2A94BE}"/>
    <cellStyle name="Millares 15 7" xfId="47" xr:uid="{3FC16299-A0D6-43F7-AA73-98708BE999BA}"/>
    <cellStyle name="Millares 16" xfId="127" xr:uid="{55E08483-C5B6-43FA-BF85-D3E74DF495B3}"/>
    <cellStyle name="Millares 17" xfId="128" xr:uid="{8D58C056-F61B-47B8-9943-6D2DD0AE569A}"/>
    <cellStyle name="Millares 18" xfId="129" xr:uid="{7CBB301F-4DD5-41FE-8A17-433126E3928D}"/>
    <cellStyle name="Millares 19" xfId="109" xr:uid="{00000000-0005-0000-0000-000049000000}"/>
    <cellStyle name="Millares 2" xfId="14" xr:uid="{09C5EDA7-6B24-48E9-A0F5-65844F7551C5}"/>
    <cellStyle name="Millares 2 2" xfId="113" xr:uid="{D75BA76C-65ED-49EC-865F-46102B65DB68}"/>
    <cellStyle name="Millares 2 3" xfId="94" xr:uid="{658A6B07-071B-490F-97D4-F7E82F09E929}"/>
    <cellStyle name="Millares 2 4" xfId="79" xr:uid="{D85F9167-39A0-4E03-A825-C0FC826F7E29}"/>
    <cellStyle name="Millares 2 5" xfId="64" xr:uid="{32A79C80-5B3A-4A3A-98E3-6D7C71B50943}"/>
    <cellStyle name="Millares 2 6" xfId="49" xr:uid="{2AC3BC99-14D7-415B-BA6C-C38C15596E9B}"/>
    <cellStyle name="Millares 2 7" xfId="34" xr:uid="{9EB0EE84-7816-4B22-9494-5433CD01ECFD}"/>
    <cellStyle name="Millares 2 8" xfId="19" xr:uid="{EC86FCC8-8ED5-4435-95DD-F113A5245718}"/>
    <cellStyle name="Millares 20" xfId="108" xr:uid="{00000000-0005-0000-0000-000049000000}"/>
    <cellStyle name="Millares 21" xfId="93" xr:uid="{00000000-0005-0000-0000-000049000000}"/>
    <cellStyle name="Millares 22" xfId="78" xr:uid="{00000000-0005-0000-0000-000049000000}"/>
    <cellStyle name="Millares 23" xfId="63" xr:uid="{00000000-0005-0000-0000-000049000000}"/>
    <cellStyle name="Millares 24" xfId="48" xr:uid="{00000000-0005-0000-0000-000049000000}"/>
    <cellStyle name="Millares 25" xfId="33" xr:uid="{00000000-0005-0000-0000-00003F000000}"/>
    <cellStyle name="Millares 3" xfId="15" xr:uid="{F801C441-29AA-48BF-A3EB-0F677143F209}"/>
    <cellStyle name="Millares 3 2" xfId="114" xr:uid="{91DC82B8-276B-4C2D-826B-66127FC3BD10}"/>
    <cellStyle name="Millares 3 3" xfId="95" xr:uid="{3D0C72A3-C50E-4A4D-986D-11CD4288FB1F}"/>
    <cellStyle name="Millares 3 4" xfId="80" xr:uid="{4BA7FDC5-10C0-4897-B83C-58D9DF748793}"/>
    <cellStyle name="Millares 3 5" xfId="65" xr:uid="{C346F12A-FD1A-4186-A168-054115D45617}"/>
    <cellStyle name="Millares 3 6" xfId="50" xr:uid="{8C6DC4C7-69FF-4325-BAFB-862C189F2D52}"/>
    <cellStyle name="Millares 3 7" xfId="35" xr:uid="{AF7526FE-AFB2-4B85-91F7-100002DC1E52}"/>
    <cellStyle name="Millares 3 8" xfId="20" xr:uid="{14868C0D-EE20-4CCC-94E5-06D402A5A17D}"/>
    <cellStyle name="Millares 4" xfId="16" xr:uid="{78D4CD26-C512-44E9-AD6E-8725F8847ACD}"/>
    <cellStyle name="Millares 4 2" xfId="115" xr:uid="{8AA23C57-8DAC-4261-9D91-E67B7B84F9F3}"/>
    <cellStyle name="Millares 4 3" xfId="96" xr:uid="{783660D4-9043-4900-8196-357C72D0EECE}"/>
    <cellStyle name="Millares 4 4" xfId="81" xr:uid="{F261ED20-D824-4D40-8B2D-0B259D6EED27}"/>
    <cellStyle name="Millares 4 5" xfId="66" xr:uid="{CA0458ED-FF99-4430-A9BC-8E9CC9EFB5A9}"/>
    <cellStyle name="Millares 4 6" xfId="51" xr:uid="{23B11DD1-1AFD-4E32-B82B-6BA57F9BF824}"/>
    <cellStyle name="Millares 4 7" xfId="36" xr:uid="{8BFA1209-081E-4F03-826D-40079F508B8D}"/>
    <cellStyle name="Millares 4 8" xfId="21" xr:uid="{C4875820-E50C-4ADD-A542-55800B236F73}"/>
    <cellStyle name="Millares 5" xfId="22" xr:uid="{03A3B6EF-2B17-45B3-B3CB-FBCD872038F3}"/>
    <cellStyle name="Millares 5 2" xfId="116" xr:uid="{1C4CCF02-C474-4B34-A5FE-45EA9F227AFA}"/>
    <cellStyle name="Millares 5 3" xfId="97" xr:uid="{B57D5CC6-3E09-430F-A228-16DCADFFCC15}"/>
    <cellStyle name="Millares 5 4" xfId="82" xr:uid="{0579B8FE-4ACD-426A-B388-11BF52700084}"/>
    <cellStyle name="Millares 5 5" xfId="67" xr:uid="{CC6682D3-D359-48D5-A04C-DB668F9B55CF}"/>
    <cellStyle name="Millares 5 6" xfId="52" xr:uid="{CC409022-CA14-4F2D-A317-176EB2CD11E2}"/>
    <cellStyle name="Millares 5 7" xfId="37" xr:uid="{F84D456C-4035-46BF-9DAA-5CD44C452F92}"/>
    <cellStyle name="Millares 6" xfId="23" xr:uid="{4D61E2F9-8F70-4563-A3F1-2F77F2685F4A}"/>
    <cellStyle name="Millares 6 2" xfId="117" xr:uid="{6A594710-EC3E-4A46-9BD3-44BD39E3566E}"/>
    <cellStyle name="Millares 6 3" xfId="98" xr:uid="{A45D0FD3-703F-4989-B64E-47E0756210C5}"/>
    <cellStyle name="Millares 6 4" xfId="83" xr:uid="{66CA6320-92ED-41C4-999F-5866C9BA77E8}"/>
    <cellStyle name="Millares 6 5" xfId="68" xr:uid="{C02A234A-881F-45AC-8BEF-5D4F56069841}"/>
    <cellStyle name="Millares 6 6" xfId="53" xr:uid="{57A09402-4D62-43DA-B653-4E026F311A6F}"/>
    <cellStyle name="Millares 6 7" xfId="38" xr:uid="{CBB08D34-1E99-410B-A5B2-852DB9748AD1}"/>
    <cellStyle name="Millares 7" xfId="24" xr:uid="{C7BB51F4-4AED-44A1-A7D0-66E46EB8E699}"/>
    <cellStyle name="Millares 7 2" xfId="118" xr:uid="{8BE98190-932E-4A71-9F27-D89A5B5FA111}"/>
    <cellStyle name="Millares 7 3" xfId="99" xr:uid="{2CA3CCA7-2ACE-4C7B-B71C-AD3C0D227AEB}"/>
    <cellStyle name="Millares 7 4" xfId="84" xr:uid="{141367DB-751A-432D-9A48-3097FF9AB4FA}"/>
    <cellStyle name="Millares 7 5" xfId="69" xr:uid="{EF9DB0D8-A0D6-495E-AEE9-25BF5DAE48EA}"/>
    <cellStyle name="Millares 7 6" xfId="54" xr:uid="{C280D99C-A488-4C6A-A42C-33A09395E613}"/>
    <cellStyle name="Millares 7 7" xfId="39" xr:uid="{F3066A6A-83AF-48B7-BEA4-D1B714B10032}"/>
    <cellStyle name="Millares 8" xfId="25" xr:uid="{C0FA2246-9286-4285-BC5E-130DE76BDD74}"/>
    <cellStyle name="Millares 8 2" xfId="119" xr:uid="{C1D7ABC8-C95D-4FF1-80C0-39A34ABCA6D0}"/>
    <cellStyle name="Millares 8 3" xfId="100" xr:uid="{94DAA2C0-6A35-4BAC-9F9E-7D698DD79A3F}"/>
    <cellStyle name="Millares 8 4" xfId="85" xr:uid="{069A2A5A-501C-442E-A0D5-2CB7327EC6AC}"/>
    <cellStyle name="Millares 8 5" xfId="70" xr:uid="{639D2D56-DD07-4E22-A8CA-F75B50DF7AA5}"/>
    <cellStyle name="Millares 8 6" xfId="55" xr:uid="{4FE4FCBD-6377-4E66-A801-EEC63CDF5C2D}"/>
    <cellStyle name="Millares 8 7" xfId="40" xr:uid="{15C23E11-0634-46D1-BD68-065891C630C0}"/>
    <cellStyle name="Millares 9" xfId="26" xr:uid="{CD2909FA-6D69-4CA3-A179-56F735BA51CB}"/>
    <cellStyle name="Millares 9 2" xfId="120" xr:uid="{4F7698AD-390F-4379-A991-F842C867C3C4}"/>
    <cellStyle name="Millares 9 3" xfId="101" xr:uid="{5CAE7653-68EB-4E84-A455-991A59C2DEB9}"/>
    <cellStyle name="Millares 9 4" xfId="86" xr:uid="{8461F872-226B-4202-846E-A63AE1D0CFB0}"/>
    <cellStyle name="Millares 9 5" xfId="71" xr:uid="{A35A5D9A-0340-4816-B119-6162877A7D03}"/>
    <cellStyle name="Millares 9 6" xfId="56" xr:uid="{AACE7563-89C2-477A-83E4-BF83F3265687}"/>
    <cellStyle name="Millares 9 7" xfId="41" xr:uid="{50D7B862-F18A-4BA0-ADE5-7660184DB088}"/>
    <cellStyle name="Normal" xfId="0" builtinId="0"/>
    <cellStyle name="Normal 10 2" xfId="2" xr:uid="{00000000-0005-0000-0000-000004000000}"/>
    <cellStyle name="Normal 10 3 3" xfId="13" xr:uid="{00000000-0005-0000-0000-000005000000}"/>
    <cellStyle name="Normal 11" xfId="7" xr:uid="{00000000-0005-0000-0000-000006000000}"/>
    <cellStyle name="Normal 2 2 2" xfId="12" xr:uid="{00000000-0005-0000-0000-000007000000}"/>
    <cellStyle name="Normal 3 2 5" xfId="112" xr:uid="{00000000-0005-0000-0000-000005000000}"/>
    <cellStyle name="Normal 4 2" xfId="111" xr:uid="{00000000-0005-0000-0000-000006000000}"/>
    <cellStyle name="Normal 4 2 2" xfId="5" xr:uid="{00000000-0005-0000-0000-000008000000}"/>
    <cellStyle name="Normal 4 3 2" xfId="3" xr:uid="{00000000-0005-0000-0000-000009000000}"/>
    <cellStyle name="Normal 5 2" xfId="4" xr:uid="{00000000-0005-0000-0000-00000A000000}"/>
    <cellStyle name="Normal 6" xfId="11" xr:uid="{00000000-0005-0000-0000-00000B000000}"/>
    <cellStyle name="Normal 6 2" xfId="130" xr:uid="{EAF473B8-5B06-4994-A32B-76BC42D3C555}"/>
    <cellStyle name="Normal 6 2 2" xfId="6" xr:uid="{00000000-0005-0000-0000-00000C000000}"/>
    <cellStyle name="Normal 7 2 2" xfId="10" xr:uid="{00000000-0005-0000-0000-00000D000000}"/>
    <cellStyle name="Normal 8" xfId="18" xr:uid="{00000000-0005-0000-0000-00000B000000}"/>
    <cellStyle name="Normal 9" xfId="110" xr:uid="{00000000-0005-0000-0000-00000C000000}"/>
    <cellStyle name="Normal 9 2" xfId="17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34" name="Imagen 33">
          <a:extLst>
            <a:ext uri="{FF2B5EF4-FFF2-40B4-BE49-F238E27FC236}">
              <a16:creationId xmlns:a16="http://schemas.microsoft.com/office/drawing/2014/main" id="{86B3017B-F321-461E-9D85-1EDBBE96F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6"/>
          <a:ext cx="1901758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showGridLines="0" tabSelected="1" workbookViewId="0"/>
  </sheetViews>
  <sheetFormatPr baseColWidth="10" defaultColWidth="11.42578125" defaultRowHeight="14.25" x14ac:dyDescent="0.2"/>
  <cols>
    <col min="1" max="1" width="1.7109375" style="72" customWidth="1"/>
    <col min="2" max="2" width="20.28515625" style="72" customWidth="1"/>
    <col min="3" max="3" width="17.42578125" style="72" customWidth="1"/>
    <col min="4" max="14" width="11.42578125" style="72"/>
    <col min="15" max="15" width="1.5703125" style="72" customWidth="1"/>
    <col min="16" max="16384" width="11.42578125" style="72"/>
  </cols>
  <sheetData>
    <row r="1" spans="1:20" s="158" customFormat="1" ht="20.100000000000001" customHeight="1" x14ac:dyDescent="0.25">
      <c r="A1" s="156"/>
      <c r="B1" s="157"/>
      <c r="C1" s="157"/>
    </row>
    <row r="2" spans="1:20" s="158" customFormat="1" ht="20.100000000000001" customHeight="1" x14ac:dyDescent="0.25">
      <c r="B2" s="187" t="s">
        <v>75</v>
      </c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</row>
    <row r="3" spans="1:20" s="158" customFormat="1" ht="20.100000000000001" customHeight="1" x14ac:dyDescent="0.25">
      <c r="B3" s="188" t="s">
        <v>28</v>
      </c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</row>
    <row r="4" spans="1:20" ht="6.95" customHeight="1" x14ac:dyDescent="0.2"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</row>
    <row r="5" spans="1:20" ht="20.100000000000001" customHeight="1" x14ac:dyDescent="0.2">
      <c r="A5" s="191" t="s">
        <v>87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74"/>
    </row>
    <row r="6" spans="1:20" ht="6.95" customHeight="1" x14ac:dyDescent="0.2">
      <c r="A6" s="73"/>
      <c r="B6" s="74" t="s">
        <v>29</v>
      </c>
      <c r="C6" s="75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3"/>
      <c r="T6" s="76"/>
    </row>
    <row r="7" spans="1:20" ht="20.100000000000001" customHeight="1" x14ac:dyDescent="0.2">
      <c r="A7" s="73"/>
      <c r="B7" s="190" t="s">
        <v>29</v>
      </c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73"/>
    </row>
    <row r="8" spans="1:20" ht="20.100000000000001" customHeight="1" x14ac:dyDescent="0.2">
      <c r="A8" s="77"/>
      <c r="B8" s="78" t="s">
        <v>88</v>
      </c>
      <c r="C8" s="79"/>
      <c r="D8" s="77"/>
      <c r="E8" s="77"/>
      <c r="F8" s="77"/>
      <c r="G8" s="77"/>
      <c r="H8" s="77"/>
      <c r="I8" s="77"/>
      <c r="J8" s="77"/>
      <c r="K8" s="77"/>
      <c r="L8" s="77"/>
      <c r="M8" s="189" t="str">
        <f>CONCATENATE("Total de tabulados: ", COUNTIF(C11:C17,"&lt;&gt;"))</f>
        <v>Total de tabulados: 7</v>
      </c>
      <c r="N8" s="189"/>
      <c r="O8" s="77"/>
    </row>
    <row r="9" spans="1:20" ht="6.95" customHeight="1" thickBot="1" x14ac:dyDescent="0.25"/>
    <row r="10" spans="1:20" ht="15.75" thickBot="1" x14ac:dyDescent="0.25">
      <c r="B10" s="80" t="s">
        <v>30</v>
      </c>
      <c r="C10" s="81" t="s">
        <v>31</v>
      </c>
      <c r="D10" s="192" t="s">
        <v>32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3"/>
    </row>
    <row r="11" spans="1:20" ht="39.950000000000003" customHeight="1" x14ac:dyDescent="0.2">
      <c r="B11" s="194" t="s">
        <v>33</v>
      </c>
      <c r="C11" s="82" t="s">
        <v>12</v>
      </c>
      <c r="D11" s="197" t="s">
        <v>24</v>
      </c>
      <c r="E11" s="198"/>
      <c r="F11" s="198"/>
      <c r="G11" s="198"/>
      <c r="H11" s="198"/>
      <c r="I11" s="198"/>
      <c r="J11" s="198"/>
      <c r="K11" s="198"/>
      <c r="L11" s="198"/>
      <c r="M11" s="198"/>
      <c r="N11" s="199"/>
      <c r="O11" s="51"/>
      <c r="P11" s="51"/>
      <c r="Q11" s="51"/>
      <c r="R11" s="51"/>
      <c r="S11" s="51"/>
      <c r="T11" s="51"/>
    </row>
    <row r="12" spans="1:20" ht="39.950000000000003" customHeight="1" x14ac:dyDescent="0.2">
      <c r="B12" s="195"/>
      <c r="C12" s="83" t="s">
        <v>13</v>
      </c>
      <c r="D12" s="197" t="s">
        <v>85</v>
      </c>
      <c r="E12" s="198"/>
      <c r="F12" s="198"/>
      <c r="G12" s="198"/>
      <c r="H12" s="198"/>
      <c r="I12" s="198"/>
      <c r="J12" s="198"/>
      <c r="K12" s="198"/>
      <c r="L12" s="198"/>
      <c r="M12" s="198"/>
      <c r="N12" s="199"/>
      <c r="O12" s="51"/>
      <c r="P12" s="51"/>
      <c r="Q12" s="51"/>
      <c r="R12" s="51"/>
      <c r="S12" s="51"/>
      <c r="T12" s="51"/>
    </row>
    <row r="13" spans="1:20" ht="39.950000000000003" customHeight="1" x14ac:dyDescent="0.2">
      <c r="B13" s="195"/>
      <c r="C13" s="84" t="s">
        <v>14</v>
      </c>
      <c r="D13" s="200" t="s">
        <v>38</v>
      </c>
      <c r="E13" s="201"/>
      <c r="F13" s="201"/>
      <c r="G13" s="201"/>
      <c r="H13" s="201"/>
      <c r="I13" s="201"/>
      <c r="J13" s="201"/>
      <c r="K13" s="201"/>
      <c r="L13" s="201"/>
      <c r="M13" s="201"/>
      <c r="N13" s="202"/>
      <c r="O13" s="51"/>
      <c r="P13" s="51"/>
      <c r="Q13" s="51"/>
      <c r="R13" s="51"/>
      <c r="S13" s="51"/>
      <c r="T13" s="51"/>
    </row>
    <row r="14" spans="1:20" ht="39.950000000000003" customHeight="1" x14ac:dyDescent="0.2">
      <c r="B14" s="195"/>
      <c r="C14" s="84" t="s">
        <v>15</v>
      </c>
      <c r="D14" s="200" t="s">
        <v>76</v>
      </c>
      <c r="E14" s="201"/>
      <c r="F14" s="201"/>
      <c r="G14" s="201"/>
      <c r="H14" s="201"/>
      <c r="I14" s="201"/>
      <c r="J14" s="201"/>
      <c r="K14" s="201"/>
      <c r="L14" s="201"/>
      <c r="M14" s="201"/>
      <c r="N14" s="202"/>
      <c r="O14" s="51"/>
      <c r="P14" s="51"/>
      <c r="Q14" s="51"/>
      <c r="R14" s="51"/>
      <c r="S14" s="51"/>
      <c r="T14" s="51"/>
    </row>
    <row r="15" spans="1:20" ht="39.950000000000003" customHeight="1" x14ac:dyDescent="0.2">
      <c r="B15" s="195"/>
      <c r="C15" s="84" t="s">
        <v>46</v>
      </c>
      <c r="D15" s="200" t="s">
        <v>77</v>
      </c>
      <c r="E15" s="201"/>
      <c r="F15" s="201"/>
      <c r="G15" s="201"/>
      <c r="H15" s="201"/>
      <c r="I15" s="201"/>
      <c r="J15" s="201"/>
      <c r="K15" s="201"/>
      <c r="L15" s="201"/>
      <c r="M15" s="201"/>
      <c r="N15" s="202"/>
      <c r="O15" s="51"/>
      <c r="P15" s="51"/>
      <c r="Q15" s="51"/>
      <c r="R15" s="51"/>
      <c r="S15" s="51"/>
      <c r="T15" s="51"/>
    </row>
    <row r="16" spans="1:20" ht="39.950000000000003" customHeight="1" x14ac:dyDescent="0.2">
      <c r="B16" s="195"/>
      <c r="C16" s="83" t="s">
        <v>49</v>
      </c>
      <c r="D16" s="200" t="s">
        <v>78</v>
      </c>
      <c r="E16" s="201"/>
      <c r="F16" s="201"/>
      <c r="G16" s="201"/>
      <c r="H16" s="201"/>
      <c r="I16" s="201"/>
      <c r="J16" s="201"/>
      <c r="K16" s="201"/>
      <c r="L16" s="201"/>
      <c r="M16" s="201"/>
      <c r="N16" s="202"/>
      <c r="O16" s="51"/>
      <c r="P16" s="51"/>
      <c r="Q16" s="51"/>
      <c r="R16" s="51"/>
      <c r="S16" s="51"/>
      <c r="T16" s="51"/>
    </row>
    <row r="17" spans="2:14" ht="39.950000000000003" customHeight="1" thickBot="1" x14ac:dyDescent="0.25">
      <c r="B17" s="196"/>
      <c r="C17" s="85" t="s">
        <v>50</v>
      </c>
      <c r="D17" s="203" t="s">
        <v>79</v>
      </c>
      <c r="E17" s="204"/>
      <c r="F17" s="204"/>
      <c r="G17" s="204"/>
      <c r="H17" s="204"/>
      <c r="I17" s="204"/>
      <c r="J17" s="204"/>
      <c r="K17" s="204"/>
      <c r="L17" s="204"/>
      <c r="M17" s="204"/>
      <c r="N17" s="205"/>
    </row>
    <row r="19" spans="2:14" x14ac:dyDescent="0.2">
      <c r="B19" s="86"/>
    </row>
    <row r="20" spans="2:14" x14ac:dyDescent="0.2">
      <c r="B20" s="86"/>
    </row>
    <row r="21" spans="2:14" x14ac:dyDescent="0.2">
      <c r="B21" s="87"/>
    </row>
  </sheetData>
  <mergeCells count="14">
    <mergeCell ref="D10:N10"/>
    <mergeCell ref="B11:B17"/>
    <mergeCell ref="D11:N11"/>
    <mergeCell ref="D12:N12"/>
    <mergeCell ref="D15:N15"/>
    <mergeCell ref="D17:N17"/>
    <mergeCell ref="D13:N13"/>
    <mergeCell ref="D14:N14"/>
    <mergeCell ref="D16:N16"/>
    <mergeCell ref="B2:N2"/>
    <mergeCell ref="B3:N3"/>
    <mergeCell ref="M8:N8"/>
    <mergeCell ref="B7:N7"/>
    <mergeCell ref="A5:N5"/>
  </mergeCells>
  <hyperlinks>
    <hyperlink ref="C11" location="'Cuadro 7.1'!A1" tooltip="Ir a Cuadro 7.1" display="Cuadro 7.1" xr:uid="{00000000-0004-0000-0000-000000000000}"/>
    <hyperlink ref="C17" location="'Cuadro 7.7'!A1" tooltip="Ir a Cuadro 7.7" display="Cuadro 7.7" xr:uid="{00000000-0004-0000-0000-000001000000}"/>
    <hyperlink ref="C12" location="'Cuadro 7.2'!A1" tooltip="Ir a Cuadro 7.2" display="Cuadro 7.2" xr:uid="{00000000-0004-0000-0000-000002000000}"/>
    <hyperlink ref="C15" location="'Cuadro 7.5'!A1" tooltip="Ir a Cuadro 7.5" display="Cuadro 7.5" xr:uid="{00000000-0004-0000-0000-000003000000}"/>
    <hyperlink ref="C13:C14" location="'Cuadro 7.3'!A1" tooltip="Ir a Cuadro 7.3" display="Cuadro 7.3" xr:uid="{00177073-7A72-4EB7-A1E8-931FBB25DA5B}"/>
    <hyperlink ref="C14" location="'Cuadro 7.4'!A1" tooltip="Ir a Cuadro 7.4" display="Cuadro 7.4" xr:uid="{C2B3ADCA-D667-41C1-8A7B-8C843AA34FE5}"/>
    <hyperlink ref="C16" location="'Cuadro 7.6'!A1" tooltip="Ir a Cuadro 7.6" display="Cuadro 7.6" xr:uid="{4E664BEC-44B9-4FBA-AF01-4532DF4D2E5E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29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3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  <col min="12" max="12" width="1.7109375" customWidth="1"/>
    <col min="13" max="13" width="15.7109375" style="107" customWidth="1"/>
    <col min="14" max="14" width="15.7109375" customWidth="1"/>
    <col min="15" max="15" width="1.7109375" customWidth="1"/>
    <col min="16" max="16" width="15.7109375" style="107" customWidth="1"/>
    <col min="17" max="17" width="15.7109375" customWidth="1"/>
    <col min="18" max="18" width="1.7109375" customWidth="1"/>
    <col min="19" max="19" width="15.7109375" style="107" customWidth="1"/>
    <col min="20" max="20" width="15.7109375" customWidth="1"/>
    <col min="21" max="21" width="1.7109375" customWidth="1"/>
    <col min="22" max="22" width="15.7109375" style="107" customWidth="1"/>
    <col min="23" max="23" width="15.7109375" customWidth="1"/>
    <col min="24" max="24" width="1.7109375" customWidth="1"/>
    <col min="25" max="25" width="15.7109375" style="107" customWidth="1"/>
    <col min="26" max="26" width="15.7109375" customWidth="1"/>
    <col min="27" max="27" width="1.7109375" customWidth="1"/>
    <col min="28" max="28" width="15.7109375" style="107" customWidth="1"/>
    <col min="29" max="29" width="15.7109375" customWidth="1"/>
    <col min="30" max="30" width="1.7109375" customWidth="1"/>
    <col min="31" max="31" width="15.7109375" style="107" customWidth="1"/>
    <col min="32" max="32" width="15.7109375" customWidth="1"/>
    <col min="33" max="33" width="1.7109375" customWidth="1"/>
    <col min="34" max="34" width="15.7109375" style="107" customWidth="1"/>
    <col min="35" max="35" width="15.7109375" customWidth="1"/>
    <col min="36" max="36" width="1.7109375" customWidth="1"/>
    <col min="37" max="37" width="15.7109375" style="107" customWidth="1"/>
    <col min="38" max="38" width="15.7109375" customWidth="1"/>
  </cols>
  <sheetData>
    <row r="1" spans="2:38" x14ac:dyDescent="0.25">
      <c r="B1" s="229" t="s">
        <v>89</v>
      </c>
      <c r="C1" s="41"/>
      <c r="AL1" s="50" t="s">
        <v>27</v>
      </c>
    </row>
    <row r="2" spans="2:38" ht="6.95" customHeight="1" x14ac:dyDescent="0.25"/>
    <row r="3" spans="2:38" x14ac:dyDescent="0.25">
      <c r="B3" s="41" t="s">
        <v>87</v>
      </c>
    </row>
    <row r="4" spans="2:38" ht="6.95" customHeight="1" x14ac:dyDescent="0.25">
      <c r="B4" s="1"/>
      <c r="C4" s="1"/>
      <c r="D4" s="108"/>
      <c r="E4" s="1"/>
      <c r="F4" s="1"/>
      <c r="G4" s="108"/>
      <c r="H4" s="1"/>
      <c r="I4" s="1"/>
      <c r="J4" s="115"/>
      <c r="K4" s="2"/>
      <c r="L4" s="2"/>
      <c r="M4" s="118"/>
      <c r="N4" s="3"/>
    </row>
    <row r="5" spans="2:38" x14ac:dyDescent="0.25">
      <c r="B5" s="42" t="s">
        <v>24</v>
      </c>
      <c r="C5" s="42"/>
      <c r="D5" s="108"/>
      <c r="E5" s="1"/>
      <c r="F5" s="1"/>
      <c r="G5" s="108"/>
      <c r="H5" s="1"/>
      <c r="I5" s="1"/>
      <c r="J5" s="108"/>
      <c r="K5" s="1"/>
      <c r="L5" s="1"/>
      <c r="M5" s="118"/>
      <c r="N5" s="3"/>
      <c r="O5" s="2"/>
      <c r="AL5" s="43" t="s">
        <v>12</v>
      </c>
    </row>
    <row r="6" spans="2:38" ht="6.95" customHeight="1" x14ac:dyDescent="0.25">
      <c r="B6" s="4"/>
      <c r="C6" s="4"/>
      <c r="D6" s="109"/>
      <c r="E6" s="5"/>
      <c r="F6" s="5"/>
      <c r="G6" s="109"/>
      <c r="H6" s="5"/>
      <c r="I6" s="5"/>
      <c r="J6" s="117"/>
      <c r="K6" s="6"/>
      <c r="L6" s="6"/>
      <c r="M6" s="118"/>
      <c r="N6" s="3"/>
      <c r="O6" s="2"/>
    </row>
    <row r="7" spans="2:38" ht="15" customHeight="1" x14ac:dyDescent="0.25">
      <c r="B7" s="211" t="s">
        <v>64</v>
      </c>
      <c r="C7" s="90"/>
      <c r="D7" s="208" t="s">
        <v>21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45"/>
      <c r="P7" s="208" t="s">
        <v>4</v>
      </c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46"/>
      <c r="AB7" s="208" t="s">
        <v>5</v>
      </c>
      <c r="AC7" s="208"/>
      <c r="AD7" s="208"/>
      <c r="AE7" s="208"/>
      <c r="AF7" s="208"/>
      <c r="AG7" s="208"/>
      <c r="AH7" s="208"/>
      <c r="AI7" s="208"/>
      <c r="AJ7" s="208"/>
      <c r="AK7" s="208"/>
      <c r="AL7" s="208"/>
    </row>
    <row r="8" spans="2:38" ht="15" customHeight="1" x14ac:dyDescent="0.25">
      <c r="B8" s="212"/>
      <c r="C8" s="39"/>
      <c r="D8" s="206" t="s">
        <v>39</v>
      </c>
      <c r="E8" s="206"/>
      <c r="F8" s="92"/>
      <c r="G8" s="214" t="s">
        <v>22</v>
      </c>
      <c r="H8" s="214"/>
      <c r="I8" s="214"/>
      <c r="J8" s="214"/>
      <c r="K8" s="214"/>
      <c r="L8" s="214"/>
      <c r="M8" s="214"/>
      <c r="N8" s="214"/>
      <c r="O8" s="40"/>
      <c r="P8" s="206" t="s">
        <v>39</v>
      </c>
      <c r="Q8" s="206"/>
      <c r="R8" s="92"/>
      <c r="S8" s="214" t="s">
        <v>22</v>
      </c>
      <c r="T8" s="214"/>
      <c r="U8" s="206"/>
      <c r="V8" s="214"/>
      <c r="W8" s="214"/>
      <c r="X8" s="214"/>
      <c r="Y8" s="214"/>
      <c r="Z8" s="214"/>
      <c r="AA8" s="40"/>
      <c r="AB8" s="206" t="s">
        <v>39</v>
      </c>
      <c r="AC8" s="206"/>
      <c r="AD8" s="93"/>
      <c r="AE8" s="207" t="s">
        <v>22</v>
      </c>
      <c r="AF8" s="207"/>
      <c r="AG8" s="207"/>
      <c r="AH8" s="209"/>
      <c r="AI8" s="209"/>
      <c r="AJ8" s="209"/>
      <c r="AK8" s="209"/>
      <c r="AL8" s="209"/>
    </row>
    <row r="9" spans="2:38" ht="30" customHeight="1" x14ac:dyDescent="0.25">
      <c r="B9" s="212"/>
      <c r="C9" s="39"/>
      <c r="D9" s="207"/>
      <c r="E9" s="207"/>
      <c r="F9" s="93"/>
      <c r="G9" s="207" t="s">
        <v>0</v>
      </c>
      <c r="H9" s="207"/>
      <c r="I9" s="40"/>
      <c r="J9" s="207" t="s">
        <v>42</v>
      </c>
      <c r="K9" s="207"/>
      <c r="L9" s="40"/>
      <c r="M9" s="207" t="s">
        <v>43</v>
      </c>
      <c r="N9" s="207"/>
      <c r="O9" s="3"/>
      <c r="P9" s="207"/>
      <c r="Q9" s="207"/>
      <c r="R9" s="93"/>
      <c r="S9" s="207" t="s">
        <v>0</v>
      </c>
      <c r="T9" s="207"/>
      <c r="U9" s="92"/>
      <c r="V9" s="207" t="s">
        <v>42</v>
      </c>
      <c r="W9" s="207"/>
      <c r="X9" s="40"/>
      <c r="Y9" s="207" t="s">
        <v>43</v>
      </c>
      <c r="Z9" s="207"/>
      <c r="AA9" s="3"/>
      <c r="AB9" s="207"/>
      <c r="AC9" s="207"/>
      <c r="AD9" s="93"/>
      <c r="AE9" s="207" t="s">
        <v>0</v>
      </c>
      <c r="AF9" s="207"/>
      <c r="AG9" s="7"/>
      <c r="AH9" s="207" t="s">
        <v>42</v>
      </c>
      <c r="AI9" s="207"/>
      <c r="AJ9" s="40"/>
      <c r="AK9" s="207" t="s">
        <v>43</v>
      </c>
      <c r="AL9" s="207"/>
    </row>
    <row r="10" spans="2:38" x14ac:dyDescent="0.25">
      <c r="B10" s="213"/>
      <c r="C10" s="91"/>
      <c r="D10" s="110" t="s">
        <v>25</v>
      </c>
      <c r="E10" s="44" t="s">
        <v>26</v>
      </c>
      <c r="F10" s="94"/>
      <c r="G10" s="110" t="s">
        <v>25</v>
      </c>
      <c r="H10" s="44" t="s">
        <v>26</v>
      </c>
      <c r="I10" s="44"/>
      <c r="J10" s="110" t="s">
        <v>25</v>
      </c>
      <c r="K10" s="44" t="s">
        <v>26</v>
      </c>
      <c r="L10" s="44"/>
      <c r="M10" s="110" t="s">
        <v>25</v>
      </c>
      <c r="N10" s="44" t="s">
        <v>26</v>
      </c>
      <c r="O10" s="44"/>
      <c r="P10" s="110" t="s">
        <v>25</v>
      </c>
      <c r="Q10" s="44" t="s">
        <v>26</v>
      </c>
      <c r="R10" s="94"/>
      <c r="S10" s="110" t="s">
        <v>25</v>
      </c>
      <c r="T10" s="44" t="s">
        <v>26</v>
      </c>
      <c r="U10" s="44"/>
      <c r="V10" s="110" t="s">
        <v>25</v>
      </c>
      <c r="W10" s="44" t="s">
        <v>26</v>
      </c>
      <c r="X10" s="44"/>
      <c r="Y10" s="110" t="s">
        <v>25</v>
      </c>
      <c r="Z10" s="44" t="s">
        <v>26</v>
      </c>
      <c r="AA10" s="44"/>
      <c r="AB10" s="110" t="s">
        <v>25</v>
      </c>
      <c r="AC10" s="44" t="s">
        <v>26</v>
      </c>
      <c r="AD10" s="94"/>
      <c r="AE10" s="110" t="s">
        <v>25</v>
      </c>
      <c r="AF10" s="44" t="s">
        <v>26</v>
      </c>
      <c r="AG10" s="44"/>
      <c r="AH10" s="110" t="s">
        <v>25</v>
      </c>
      <c r="AI10" s="44" t="s">
        <v>26</v>
      </c>
      <c r="AJ10" s="44"/>
      <c r="AK10" s="110" t="s">
        <v>25</v>
      </c>
      <c r="AL10" s="44" t="s">
        <v>26</v>
      </c>
    </row>
    <row r="11" spans="2:38" ht="6.95" customHeight="1" x14ac:dyDescent="0.25">
      <c r="B11" s="39"/>
      <c r="C11" s="39"/>
      <c r="D11" s="111"/>
      <c r="E11" s="93"/>
      <c r="F11" s="93"/>
      <c r="G11" s="116"/>
      <c r="H11" s="47"/>
      <c r="I11" s="47"/>
      <c r="J11" s="116"/>
      <c r="K11" s="47"/>
      <c r="L11" s="47"/>
      <c r="M11" s="116"/>
      <c r="N11" s="47"/>
      <c r="O11" s="47"/>
      <c r="P11" s="111"/>
      <c r="Q11" s="93"/>
      <c r="R11" s="93"/>
      <c r="S11" s="116"/>
      <c r="T11" s="47"/>
      <c r="U11" s="47"/>
      <c r="V11" s="112"/>
      <c r="W11" s="47"/>
      <c r="X11" s="47"/>
      <c r="Y11" s="116"/>
      <c r="Z11" s="47"/>
      <c r="AA11" s="47"/>
      <c r="AB11" s="123"/>
      <c r="AC11" s="40"/>
      <c r="AD11" s="40"/>
      <c r="AE11" s="116"/>
      <c r="AF11" s="47"/>
      <c r="AG11" s="47"/>
      <c r="AH11" s="116"/>
      <c r="AI11" s="47"/>
      <c r="AJ11" s="47"/>
      <c r="AK11" s="116"/>
      <c r="AL11" s="47"/>
    </row>
    <row r="12" spans="2:38" ht="15" customHeight="1" x14ac:dyDescent="0.25">
      <c r="B12" s="48" t="s">
        <v>1</v>
      </c>
      <c r="C12" s="48"/>
      <c r="D12" s="173">
        <v>940724.76979118201</v>
      </c>
      <c r="E12" s="174">
        <v>0</v>
      </c>
      <c r="F12" s="173"/>
      <c r="G12" s="173">
        <v>958195.676279785</v>
      </c>
      <c r="H12" s="174">
        <v>0.44449835277613298</v>
      </c>
      <c r="I12" s="173"/>
      <c r="J12" s="173">
        <v>488472.209597799</v>
      </c>
      <c r="K12" s="174">
        <v>0.53574502310764505</v>
      </c>
      <c r="L12" s="173"/>
      <c r="M12" s="173">
        <v>346441.06161339098</v>
      </c>
      <c r="N12" s="174">
        <v>0.39793801814035101</v>
      </c>
      <c r="O12" s="173"/>
      <c r="P12" s="173">
        <v>790274.85617909802</v>
      </c>
      <c r="Q12" s="174">
        <v>0</v>
      </c>
      <c r="R12" s="173"/>
      <c r="S12" s="173">
        <v>776341.13240161794</v>
      </c>
      <c r="T12" s="174">
        <v>0.54704045244723298</v>
      </c>
      <c r="U12" s="173"/>
      <c r="V12" s="173">
        <v>329045.92103834299</v>
      </c>
      <c r="W12" s="174">
        <v>0.67738166809887201</v>
      </c>
      <c r="X12" s="173"/>
      <c r="Y12" s="173">
        <v>248583.52512115001</v>
      </c>
      <c r="Z12" s="174">
        <v>0.51113514863937304</v>
      </c>
      <c r="AA12" s="173"/>
      <c r="AB12" s="173">
        <v>719306.42915879702</v>
      </c>
      <c r="AC12" s="174">
        <v>0</v>
      </c>
      <c r="AD12" s="173"/>
      <c r="AE12" s="173">
        <v>695152.99914418196</v>
      </c>
      <c r="AF12" s="174">
        <v>0.69097723745766604</v>
      </c>
      <c r="AG12" s="173"/>
      <c r="AH12" s="173">
        <v>366161.18982409098</v>
      </c>
      <c r="AI12" s="174">
        <v>0.82163219023277401</v>
      </c>
      <c r="AJ12" s="173"/>
      <c r="AK12" s="173">
        <v>234748.19745541099</v>
      </c>
      <c r="AL12" s="174">
        <v>0.57016800936790202</v>
      </c>
    </row>
    <row r="13" spans="2:38" ht="6.95" customHeight="1" x14ac:dyDescent="0.25">
      <c r="B13" s="10"/>
      <c r="C13" s="10"/>
      <c r="D13" s="173"/>
      <c r="E13" s="175"/>
      <c r="F13" s="173"/>
      <c r="G13" s="173"/>
      <c r="H13" s="175"/>
      <c r="I13" s="173"/>
      <c r="J13" s="173"/>
      <c r="K13" s="175"/>
      <c r="L13" s="173"/>
      <c r="M13" s="173"/>
      <c r="N13" s="175"/>
      <c r="O13" s="173"/>
      <c r="P13" s="173"/>
      <c r="Q13" s="175"/>
      <c r="R13" s="173"/>
      <c r="S13" s="173"/>
      <c r="T13" s="175"/>
      <c r="U13" s="173"/>
      <c r="V13" s="173"/>
      <c r="W13" s="175"/>
      <c r="X13" s="173"/>
      <c r="Y13" s="173"/>
      <c r="Z13" s="175"/>
      <c r="AA13" s="173"/>
      <c r="AB13" s="173"/>
      <c r="AC13" s="175"/>
      <c r="AD13" s="173"/>
      <c r="AE13" s="173"/>
      <c r="AF13" s="175"/>
      <c r="AG13" s="173"/>
      <c r="AH13" s="173"/>
      <c r="AI13" s="175"/>
      <c r="AJ13" s="173"/>
      <c r="AK13" s="173"/>
      <c r="AL13" s="175"/>
    </row>
    <row r="14" spans="2:38" ht="15" customHeight="1" x14ac:dyDescent="0.25">
      <c r="B14" s="49" t="s">
        <v>2</v>
      </c>
      <c r="C14" s="49"/>
      <c r="D14" s="176">
        <v>940724.76979118201</v>
      </c>
      <c r="E14" s="175">
        <v>0</v>
      </c>
      <c r="F14" s="176"/>
      <c r="G14" s="176">
        <v>959418.97747922502</v>
      </c>
      <c r="H14" s="175">
        <v>0.47227017662626802</v>
      </c>
      <c r="I14" s="176"/>
      <c r="J14" s="176">
        <v>342036.39490568399</v>
      </c>
      <c r="K14" s="175">
        <v>0.39509766608873997</v>
      </c>
      <c r="L14" s="176"/>
      <c r="M14" s="176">
        <v>223854.05081963699</v>
      </c>
      <c r="N14" s="175">
        <v>0.25811709792180199</v>
      </c>
      <c r="O14" s="176"/>
      <c r="P14" s="176">
        <v>790274.85617909802</v>
      </c>
      <c r="Q14" s="175">
        <v>0</v>
      </c>
      <c r="R14" s="176"/>
      <c r="S14" s="176">
        <v>773165.68410352897</v>
      </c>
      <c r="T14" s="175">
        <v>0.59237961735406897</v>
      </c>
      <c r="U14" s="176"/>
      <c r="V14" s="176">
        <v>214979.30912810299</v>
      </c>
      <c r="W14" s="175">
        <v>0.46329201975988799</v>
      </c>
      <c r="X14" s="176"/>
      <c r="Y14" s="176">
        <v>173647.09705834501</v>
      </c>
      <c r="Z14" s="175">
        <v>0.36721572305025701</v>
      </c>
      <c r="AA14" s="176"/>
      <c r="AB14" s="176">
        <v>719306.42915879702</v>
      </c>
      <c r="AC14" s="175">
        <v>0</v>
      </c>
      <c r="AD14" s="176"/>
      <c r="AE14" s="176">
        <v>692144.27985389705</v>
      </c>
      <c r="AF14" s="175">
        <v>0.70126535340710705</v>
      </c>
      <c r="AG14" s="176"/>
      <c r="AH14" s="176">
        <v>257063.01608546701</v>
      </c>
      <c r="AI14" s="175">
        <v>0.623391504088598</v>
      </c>
      <c r="AJ14" s="176"/>
      <c r="AK14" s="176">
        <v>144755.614606919</v>
      </c>
      <c r="AL14" s="175">
        <v>0.35648568147415299</v>
      </c>
    </row>
    <row r="15" spans="2:38" ht="15" customHeight="1" x14ac:dyDescent="0.25">
      <c r="B15" s="49" t="s">
        <v>3</v>
      </c>
      <c r="C15" s="49"/>
      <c r="D15" s="176">
        <v>940724.76979118201</v>
      </c>
      <c r="E15" s="175">
        <v>0</v>
      </c>
      <c r="F15" s="176"/>
      <c r="G15" s="176">
        <v>907224.86628375005</v>
      </c>
      <c r="H15" s="175">
        <v>0.58035772943082697</v>
      </c>
      <c r="I15" s="176"/>
      <c r="J15" s="176">
        <v>450467.36687464302</v>
      </c>
      <c r="K15" s="175">
        <v>0.49458997038194202</v>
      </c>
      <c r="L15" s="176"/>
      <c r="M15" s="176">
        <v>315292.48966700799</v>
      </c>
      <c r="N15" s="175">
        <v>0.36307063907200798</v>
      </c>
      <c r="O15" s="176"/>
      <c r="P15" s="176">
        <v>790274.85617909802</v>
      </c>
      <c r="Q15" s="175">
        <v>0</v>
      </c>
      <c r="R15" s="176"/>
      <c r="S15" s="176">
        <v>726311.84652260598</v>
      </c>
      <c r="T15" s="175">
        <v>0.76502588244905301</v>
      </c>
      <c r="U15" s="176"/>
      <c r="V15" s="176">
        <v>311965.18255844899</v>
      </c>
      <c r="W15" s="175">
        <v>0.64137498290526096</v>
      </c>
      <c r="X15" s="176"/>
      <c r="Y15" s="176">
        <v>224280.36557823</v>
      </c>
      <c r="Z15" s="175">
        <v>0.46604583187931298</v>
      </c>
      <c r="AA15" s="176"/>
      <c r="AB15" s="176">
        <v>719306.42915879702</v>
      </c>
      <c r="AC15" s="175">
        <v>0</v>
      </c>
      <c r="AD15" s="176"/>
      <c r="AE15" s="176">
        <v>631904.18865699496</v>
      </c>
      <c r="AF15" s="175">
        <v>0.85190760814708</v>
      </c>
      <c r="AG15" s="176"/>
      <c r="AH15" s="176">
        <v>337873.30360055203</v>
      </c>
      <c r="AI15" s="175">
        <v>0.765805198573143</v>
      </c>
      <c r="AJ15" s="176"/>
      <c r="AK15" s="176">
        <v>220249.32206573</v>
      </c>
      <c r="AL15" s="175">
        <v>0.53713548648096499</v>
      </c>
    </row>
    <row r="16" spans="2:38" ht="6.95" customHeight="1" x14ac:dyDescent="0.25">
      <c r="B16" s="145"/>
      <c r="C16" s="11"/>
      <c r="D16" s="173"/>
      <c r="E16" s="175"/>
      <c r="F16" s="173"/>
      <c r="G16" s="173"/>
      <c r="H16" s="175"/>
      <c r="I16" s="173"/>
      <c r="J16" s="173"/>
      <c r="K16" s="175"/>
      <c r="L16" s="173"/>
      <c r="M16" s="173"/>
      <c r="N16" s="175"/>
      <c r="O16" s="173"/>
      <c r="P16" s="173"/>
      <c r="Q16" s="175"/>
      <c r="R16" s="173"/>
      <c r="S16" s="173"/>
      <c r="T16" s="175"/>
      <c r="U16" s="173"/>
      <c r="V16" s="173"/>
      <c r="W16" s="175"/>
      <c r="X16" s="173"/>
      <c r="Y16" s="173"/>
      <c r="Z16" s="175"/>
      <c r="AA16" s="173"/>
      <c r="AB16" s="173"/>
      <c r="AC16" s="175"/>
      <c r="AD16" s="173"/>
      <c r="AE16" s="173"/>
      <c r="AF16" s="175"/>
      <c r="AG16" s="173"/>
      <c r="AH16" s="173"/>
      <c r="AI16" s="175"/>
      <c r="AJ16" s="173"/>
      <c r="AK16" s="173"/>
      <c r="AL16" s="175"/>
    </row>
    <row r="17" spans="2:38" ht="15" customHeight="1" x14ac:dyDescent="0.25">
      <c r="B17" s="144" t="s">
        <v>6</v>
      </c>
      <c r="C17" s="20"/>
      <c r="D17" s="173">
        <v>1202696.45731675</v>
      </c>
      <c r="E17" s="174">
        <v>0</v>
      </c>
      <c r="F17" s="173"/>
      <c r="G17" s="173">
        <v>1140869.4574408799</v>
      </c>
      <c r="H17" s="174">
        <v>0.58470021411578199</v>
      </c>
      <c r="I17" s="173"/>
      <c r="J17" s="173">
        <v>269938.51167389</v>
      </c>
      <c r="K17" s="174">
        <v>0.75453699977590505</v>
      </c>
      <c r="L17" s="173"/>
      <c r="M17" s="173">
        <v>180348.66389388699</v>
      </c>
      <c r="N17" s="174">
        <v>0.54551898741864202</v>
      </c>
      <c r="O17" s="173"/>
      <c r="P17" s="173">
        <v>732477.33212123101</v>
      </c>
      <c r="Q17" s="174">
        <v>0</v>
      </c>
      <c r="R17" s="173"/>
      <c r="S17" s="173">
        <v>708614.90912337101</v>
      </c>
      <c r="T17" s="174">
        <v>0.68230742306945003</v>
      </c>
      <c r="U17" s="173"/>
      <c r="V17" s="173">
        <v>181498.07160453801</v>
      </c>
      <c r="W17" s="174">
        <v>1.0103899774585301</v>
      </c>
      <c r="X17" s="173"/>
      <c r="Y17" s="173">
        <v>131804.19898765499</v>
      </c>
      <c r="Z17" s="174">
        <v>0.73331768442984202</v>
      </c>
      <c r="AA17" s="173"/>
      <c r="AB17" s="173">
        <v>655788.85438650905</v>
      </c>
      <c r="AC17" s="174">
        <v>0</v>
      </c>
      <c r="AD17" s="173"/>
      <c r="AE17" s="173">
        <v>622508.25390336302</v>
      </c>
      <c r="AF17" s="174">
        <v>0.88932963986914304</v>
      </c>
      <c r="AG17" s="173"/>
      <c r="AH17" s="173">
        <v>181220.35896546199</v>
      </c>
      <c r="AI17" s="174">
        <v>1.1696264445355</v>
      </c>
      <c r="AJ17" s="173"/>
      <c r="AK17" s="173">
        <v>107026.170703578</v>
      </c>
      <c r="AL17" s="174">
        <v>0.73668446120623698</v>
      </c>
    </row>
    <row r="18" spans="2:38" ht="6.95" customHeight="1" x14ac:dyDescent="0.25">
      <c r="B18" s="146"/>
      <c r="C18" s="21"/>
      <c r="D18" s="173"/>
      <c r="E18" s="175"/>
      <c r="F18" s="173"/>
      <c r="G18" s="173"/>
      <c r="H18" s="175"/>
      <c r="I18" s="173"/>
      <c r="J18" s="173"/>
      <c r="K18" s="175"/>
      <c r="L18" s="173"/>
      <c r="M18" s="173"/>
      <c r="N18" s="175"/>
      <c r="O18" s="173"/>
      <c r="P18" s="173"/>
      <c r="Q18" s="175"/>
      <c r="R18" s="173"/>
      <c r="S18" s="173"/>
      <c r="T18" s="175"/>
      <c r="U18" s="173"/>
      <c r="V18" s="173"/>
      <c r="W18" s="175"/>
      <c r="X18" s="173"/>
      <c r="Y18" s="173"/>
      <c r="Z18" s="175"/>
      <c r="AA18" s="173"/>
      <c r="AB18" s="173"/>
      <c r="AC18" s="175"/>
      <c r="AD18" s="173"/>
      <c r="AE18" s="173"/>
      <c r="AF18" s="175"/>
      <c r="AG18" s="173"/>
      <c r="AH18" s="173"/>
      <c r="AI18" s="175"/>
      <c r="AJ18" s="173"/>
      <c r="AK18" s="173"/>
      <c r="AL18" s="175"/>
    </row>
    <row r="19" spans="2:38" ht="15" customHeight="1" x14ac:dyDescent="0.25">
      <c r="B19" s="49" t="s">
        <v>2</v>
      </c>
      <c r="C19" s="49"/>
      <c r="D19" s="176">
        <v>1202696.45731675</v>
      </c>
      <c r="E19" s="175">
        <v>0</v>
      </c>
      <c r="F19" s="176"/>
      <c r="G19" s="176">
        <v>1117815.7185223999</v>
      </c>
      <c r="H19" s="175">
        <v>0.62080586902900503</v>
      </c>
      <c r="I19" s="176"/>
      <c r="J19" s="176">
        <v>175530.68844702101</v>
      </c>
      <c r="K19" s="175">
        <v>0.53905167749454896</v>
      </c>
      <c r="L19" s="176"/>
      <c r="M19" s="176">
        <v>90378.871161600793</v>
      </c>
      <c r="N19" s="175">
        <v>0.28991494847791899</v>
      </c>
      <c r="O19" s="176"/>
      <c r="P19" s="176">
        <v>732477.33212123101</v>
      </c>
      <c r="Q19" s="175">
        <v>0</v>
      </c>
      <c r="R19" s="176"/>
      <c r="S19" s="176">
        <v>699305.58147596603</v>
      </c>
      <c r="T19" s="175">
        <v>0.74591635913063503</v>
      </c>
      <c r="U19" s="176"/>
      <c r="V19" s="176">
        <v>110560.771306151</v>
      </c>
      <c r="W19" s="175">
        <v>0.64275650071402002</v>
      </c>
      <c r="X19" s="176"/>
      <c r="Y19" s="176">
        <v>54872.209992703298</v>
      </c>
      <c r="Z19" s="175">
        <v>0.33288976916138602</v>
      </c>
      <c r="AA19" s="176"/>
      <c r="AB19" s="176">
        <v>655788.85438650905</v>
      </c>
      <c r="AC19" s="175">
        <v>0</v>
      </c>
      <c r="AD19" s="176"/>
      <c r="AE19" s="176">
        <v>611402.12994965003</v>
      </c>
      <c r="AF19" s="175">
        <v>0.92644323666956996</v>
      </c>
      <c r="AG19" s="176"/>
      <c r="AH19" s="176">
        <v>117001.41995990901</v>
      </c>
      <c r="AI19" s="175">
        <v>0.81798571342973503</v>
      </c>
      <c r="AJ19" s="176"/>
      <c r="AK19" s="176">
        <v>65770.544919873893</v>
      </c>
      <c r="AL19" s="175">
        <v>0.46884308102359501</v>
      </c>
    </row>
    <row r="20" spans="2:38" ht="15" customHeight="1" x14ac:dyDescent="0.25">
      <c r="B20" s="49" t="s">
        <v>3</v>
      </c>
      <c r="C20" s="49"/>
      <c r="D20" s="176">
        <v>1202696.45731675</v>
      </c>
      <c r="E20" s="175">
        <v>0</v>
      </c>
      <c r="F20" s="176"/>
      <c r="G20" s="176">
        <v>1043801.03584347</v>
      </c>
      <c r="H20" s="175">
        <v>0.88342963182756695</v>
      </c>
      <c r="I20" s="176"/>
      <c r="J20" s="176">
        <v>241782.906814096</v>
      </c>
      <c r="K20" s="175">
        <v>0.69959269121734002</v>
      </c>
      <c r="L20" s="176"/>
      <c r="M20" s="176">
        <v>159705.84059283099</v>
      </c>
      <c r="N20" s="175">
        <v>0.490552357485806</v>
      </c>
      <c r="O20" s="176"/>
      <c r="P20" s="176">
        <v>732477.33212123101</v>
      </c>
      <c r="Q20" s="175">
        <v>0</v>
      </c>
      <c r="R20" s="176"/>
      <c r="S20" s="176">
        <v>653116.11468680203</v>
      </c>
      <c r="T20" s="175">
        <v>1.2559851363182399</v>
      </c>
      <c r="U20" s="176"/>
      <c r="V20" s="176">
        <v>164443.78713244299</v>
      </c>
      <c r="W20" s="175">
        <v>0.94637712291158704</v>
      </c>
      <c r="X20" s="176"/>
      <c r="Y20" s="176">
        <v>124798.741323957</v>
      </c>
      <c r="Z20" s="175">
        <v>0.70247706566888701</v>
      </c>
      <c r="AA20" s="176"/>
      <c r="AB20" s="176">
        <v>655788.85438650905</v>
      </c>
      <c r="AC20" s="175">
        <v>0</v>
      </c>
      <c r="AD20" s="176"/>
      <c r="AE20" s="176">
        <v>565465.12546581705</v>
      </c>
      <c r="AF20" s="175">
        <v>1.19671139474399</v>
      </c>
      <c r="AG20" s="176"/>
      <c r="AH20" s="176">
        <v>170046.324433473</v>
      </c>
      <c r="AI20" s="175">
        <v>1.10546982684532</v>
      </c>
      <c r="AJ20" s="176"/>
      <c r="AK20" s="176">
        <v>88355.290526212601</v>
      </c>
      <c r="AL20" s="175">
        <v>0.61661657016394</v>
      </c>
    </row>
    <row r="21" spans="2:38" ht="6.95" customHeight="1" x14ac:dyDescent="0.25">
      <c r="B21" s="147"/>
      <c r="C21" s="22"/>
      <c r="D21" s="173"/>
      <c r="E21" s="186"/>
      <c r="F21" s="173"/>
      <c r="G21" s="173"/>
      <c r="H21" s="186"/>
      <c r="I21" s="173"/>
      <c r="J21" s="173"/>
      <c r="K21" s="186"/>
      <c r="L21" s="173"/>
      <c r="M21" s="173"/>
      <c r="N21" s="186"/>
      <c r="O21" s="173"/>
      <c r="P21" s="173"/>
      <c r="Q21" s="186"/>
      <c r="R21" s="173"/>
      <c r="S21" s="173"/>
      <c r="T21" s="186"/>
      <c r="U21" s="173"/>
      <c r="V21" s="173"/>
      <c r="W21" s="186"/>
      <c r="X21" s="173"/>
      <c r="Y21" s="173"/>
      <c r="Z21" s="186"/>
      <c r="AA21" s="173"/>
      <c r="AB21" s="173"/>
      <c r="AC21" s="186"/>
      <c r="AD21" s="173"/>
      <c r="AE21" s="173"/>
      <c r="AF21" s="186"/>
      <c r="AG21" s="173"/>
      <c r="AH21" s="173"/>
      <c r="AI21" s="186"/>
      <c r="AJ21" s="173"/>
      <c r="AK21" s="173"/>
      <c r="AL21" s="186"/>
    </row>
    <row r="22" spans="2:38" ht="15" customHeight="1" x14ac:dyDescent="0.25">
      <c r="B22" s="144" t="s">
        <v>7</v>
      </c>
      <c r="C22" s="20"/>
      <c r="D22" s="173">
        <v>1215345.35573305</v>
      </c>
      <c r="E22" s="174">
        <v>0</v>
      </c>
      <c r="F22" s="173"/>
      <c r="G22" s="173">
        <v>1157844.4394932401</v>
      </c>
      <c r="H22" s="174">
        <v>0.62661399913877602</v>
      </c>
      <c r="I22" s="173"/>
      <c r="J22" s="173">
        <v>456638.67717123299</v>
      </c>
      <c r="K22" s="174">
        <v>0.77132217389664703</v>
      </c>
      <c r="L22" s="173"/>
      <c r="M22" s="173">
        <v>320980.354133885</v>
      </c>
      <c r="N22" s="174">
        <v>0.54286505490651804</v>
      </c>
      <c r="O22" s="173"/>
      <c r="P22" s="173">
        <v>853166.62916364695</v>
      </c>
      <c r="Q22" s="174">
        <v>0</v>
      </c>
      <c r="R22" s="173"/>
      <c r="S22" s="173">
        <v>812893.75142888504</v>
      </c>
      <c r="T22" s="174">
        <v>0.776687294045592</v>
      </c>
      <c r="U22" s="173"/>
      <c r="V22" s="173">
        <v>286600.01480387099</v>
      </c>
      <c r="W22" s="174">
        <v>0.94193339933348996</v>
      </c>
      <c r="X22" s="173"/>
      <c r="Y22" s="173">
        <v>227155.98713151499</v>
      </c>
      <c r="Z22" s="174">
        <v>0.694871071943861</v>
      </c>
      <c r="AA22" s="173"/>
      <c r="AB22" s="173">
        <v>704303.09797417896</v>
      </c>
      <c r="AC22" s="174">
        <v>0</v>
      </c>
      <c r="AD22" s="173"/>
      <c r="AE22" s="173">
        <v>649147.64788782899</v>
      </c>
      <c r="AF22" s="174">
        <v>0.92009592776311999</v>
      </c>
      <c r="AG22" s="173"/>
      <c r="AH22" s="173">
        <v>339644.68119948299</v>
      </c>
      <c r="AI22" s="174">
        <v>1.0931753612956301</v>
      </c>
      <c r="AJ22" s="173"/>
      <c r="AK22" s="173">
        <v>213865.12420208199</v>
      </c>
      <c r="AL22" s="174">
        <v>0.77889032747569698</v>
      </c>
    </row>
    <row r="23" spans="2:38" ht="6.95" customHeight="1" x14ac:dyDescent="0.25">
      <c r="B23" s="144"/>
      <c r="C23" s="20"/>
      <c r="D23" s="173"/>
      <c r="E23" s="175"/>
      <c r="F23" s="173"/>
      <c r="G23" s="173"/>
      <c r="H23" s="175"/>
      <c r="I23" s="173"/>
      <c r="J23" s="173"/>
      <c r="K23" s="175"/>
      <c r="L23" s="173"/>
      <c r="M23" s="173"/>
      <c r="N23" s="175"/>
      <c r="O23" s="173"/>
      <c r="P23" s="173"/>
      <c r="Q23" s="175"/>
      <c r="R23" s="173"/>
      <c r="S23" s="173"/>
      <c r="T23" s="175"/>
      <c r="U23" s="173"/>
      <c r="V23" s="173"/>
      <c r="W23" s="175"/>
      <c r="X23" s="173"/>
      <c r="Y23" s="173"/>
      <c r="Z23" s="175"/>
      <c r="AA23" s="173"/>
      <c r="AB23" s="173"/>
      <c r="AC23" s="175"/>
      <c r="AD23" s="173"/>
      <c r="AE23" s="173"/>
      <c r="AF23" s="175"/>
      <c r="AG23" s="173"/>
      <c r="AH23" s="173"/>
      <c r="AI23" s="175"/>
      <c r="AJ23" s="173"/>
      <c r="AK23" s="173"/>
      <c r="AL23" s="175"/>
    </row>
    <row r="24" spans="2:38" ht="15" customHeight="1" x14ac:dyDescent="0.25">
      <c r="B24" s="49" t="s">
        <v>2</v>
      </c>
      <c r="C24" s="49"/>
      <c r="D24" s="176">
        <v>1215345.35573305</v>
      </c>
      <c r="E24" s="175">
        <v>0</v>
      </c>
      <c r="F24" s="176"/>
      <c r="G24" s="176">
        <v>1154043.0414123901</v>
      </c>
      <c r="H24" s="175">
        <v>0.67238612058944303</v>
      </c>
      <c r="I24" s="176"/>
      <c r="J24" s="176">
        <v>307467.99640588398</v>
      </c>
      <c r="K24" s="175">
        <v>0.54873462080721902</v>
      </c>
      <c r="L24" s="176"/>
      <c r="M24" s="176">
        <v>209775.46581188601</v>
      </c>
      <c r="N24" s="175">
        <v>0.36454115258411801</v>
      </c>
      <c r="O24" s="176"/>
      <c r="P24" s="176">
        <v>853166.62916364695</v>
      </c>
      <c r="Q24" s="175">
        <v>0</v>
      </c>
      <c r="R24" s="176"/>
      <c r="S24" s="176">
        <v>807069.90438405704</v>
      </c>
      <c r="T24" s="175">
        <v>0.84201584164297405</v>
      </c>
      <c r="U24" s="176"/>
      <c r="V24" s="176">
        <v>189166.557556866</v>
      </c>
      <c r="W24" s="175">
        <v>0.64704551541977195</v>
      </c>
      <c r="X24" s="176"/>
      <c r="Y24" s="176">
        <v>166336.928029656</v>
      </c>
      <c r="Z24" s="175">
        <v>0.53266393182725302</v>
      </c>
      <c r="AA24" s="176"/>
      <c r="AB24" s="176">
        <v>704303.09797417896</v>
      </c>
      <c r="AC24" s="175">
        <v>0</v>
      </c>
      <c r="AD24" s="176"/>
      <c r="AE24" s="176">
        <v>646003.64479271299</v>
      </c>
      <c r="AF24" s="175">
        <v>0.94287146560808099</v>
      </c>
      <c r="AG24" s="176"/>
      <c r="AH24" s="176">
        <v>233395.57256550601</v>
      </c>
      <c r="AI24" s="175">
        <v>0.829956269605164</v>
      </c>
      <c r="AJ24" s="176"/>
      <c r="AK24" s="176">
        <v>130822.530437537</v>
      </c>
      <c r="AL24" s="175">
        <v>0.48421996488492303</v>
      </c>
    </row>
    <row r="25" spans="2:38" ht="15" customHeight="1" x14ac:dyDescent="0.25">
      <c r="B25" s="49" t="s">
        <v>3</v>
      </c>
      <c r="C25" s="49"/>
      <c r="D25" s="176">
        <v>1215345.35573305</v>
      </c>
      <c r="E25" s="175">
        <v>0</v>
      </c>
      <c r="F25" s="176"/>
      <c r="G25" s="176">
        <v>1058427.5536336901</v>
      </c>
      <c r="H25" s="175">
        <v>0.82247581319748098</v>
      </c>
      <c r="I25" s="176"/>
      <c r="J25" s="176">
        <v>414287.69728052098</v>
      </c>
      <c r="K25" s="175">
        <v>0.70413650638458603</v>
      </c>
      <c r="L25" s="176"/>
      <c r="M25" s="176">
        <v>289920.15719844098</v>
      </c>
      <c r="N25" s="175">
        <v>0.49553666391128598</v>
      </c>
      <c r="O25" s="176"/>
      <c r="P25" s="176">
        <v>853166.62916364695</v>
      </c>
      <c r="Q25" s="175">
        <v>0</v>
      </c>
      <c r="R25" s="176"/>
      <c r="S25" s="176">
        <v>745864.42626640201</v>
      </c>
      <c r="T25" s="175">
        <v>1.0219595426433199</v>
      </c>
      <c r="U25" s="176"/>
      <c r="V25" s="176">
        <v>271986.80685906898</v>
      </c>
      <c r="W25" s="175">
        <v>0.892272167453108</v>
      </c>
      <c r="X25" s="176"/>
      <c r="Y25" s="176">
        <v>199577.983042493</v>
      </c>
      <c r="Z25" s="175">
        <v>0.62528274053372102</v>
      </c>
      <c r="AA25" s="176"/>
      <c r="AB25" s="176">
        <v>704303.09797417896</v>
      </c>
      <c r="AC25" s="175">
        <v>0</v>
      </c>
      <c r="AD25" s="176"/>
      <c r="AE25" s="176">
        <v>578013.90646555403</v>
      </c>
      <c r="AF25" s="175">
        <v>1.1393442044244599</v>
      </c>
      <c r="AG25" s="176"/>
      <c r="AH25" s="176">
        <v>309468.28968665999</v>
      </c>
      <c r="AI25" s="175">
        <v>1.01552174630513</v>
      </c>
      <c r="AJ25" s="176"/>
      <c r="AK25" s="176">
        <v>205255.25075229001</v>
      </c>
      <c r="AL25" s="175">
        <v>0.74928681799294505</v>
      </c>
    </row>
    <row r="26" spans="2:38" ht="6.95" customHeight="1" x14ac:dyDescent="0.25">
      <c r="B26" s="12"/>
      <c r="C26" s="12"/>
      <c r="D26" s="113"/>
      <c r="E26" s="13"/>
      <c r="F26" s="13"/>
      <c r="G26" s="113"/>
      <c r="H26" s="13"/>
      <c r="I26" s="13"/>
      <c r="J26" s="113"/>
      <c r="K26" s="13"/>
      <c r="L26" s="13"/>
      <c r="M26" s="113"/>
      <c r="N26" s="13"/>
      <c r="O26" s="14"/>
      <c r="P26" s="121"/>
      <c r="Q26" s="95"/>
      <c r="R26" s="95"/>
      <c r="S26" s="122"/>
      <c r="T26" s="23"/>
      <c r="U26" s="23"/>
      <c r="V26" s="122"/>
      <c r="W26" s="23"/>
      <c r="X26" s="23"/>
      <c r="Y26" s="122"/>
      <c r="Z26" s="23"/>
      <c r="AA26" s="23"/>
      <c r="AB26" s="122"/>
      <c r="AC26" s="23"/>
      <c r="AD26" s="23"/>
      <c r="AE26" s="122"/>
      <c r="AF26" s="23"/>
      <c r="AG26" s="23"/>
      <c r="AH26" s="122"/>
      <c r="AI26" s="23"/>
      <c r="AJ26" s="23"/>
      <c r="AK26" s="122"/>
      <c r="AL26" s="23"/>
    </row>
    <row r="27" spans="2:38" ht="6.95" customHeight="1" x14ac:dyDescent="0.25">
      <c r="B27" s="9"/>
      <c r="C27" s="9"/>
      <c r="D27" s="114"/>
      <c r="E27" s="8"/>
      <c r="F27" s="8"/>
      <c r="G27" s="114"/>
      <c r="H27" s="8"/>
      <c r="I27" s="8"/>
      <c r="J27" s="114"/>
      <c r="K27" s="8"/>
      <c r="L27" s="8"/>
      <c r="M27" s="114"/>
      <c r="N27" s="8"/>
      <c r="O27" s="2"/>
    </row>
    <row r="28" spans="2:38" s="105" customFormat="1" ht="12" customHeight="1" x14ac:dyDescent="0.25">
      <c r="B28" s="106" t="s">
        <v>55</v>
      </c>
      <c r="C28" s="8"/>
      <c r="D28" s="114"/>
      <c r="E28" s="8"/>
      <c r="F28" s="8"/>
      <c r="G28" s="114"/>
      <c r="H28" s="8"/>
      <c r="I28" s="8"/>
      <c r="J28" s="114"/>
      <c r="K28" s="104"/>
      <c r="L28" s="104"/>
      <c r="M28" s="119"/>
      <c r="P28" s="120"/>
      <c r="S28" s="120"/>
      <c r="V28" s="120"/>
      <c r="Y28" s="120"/>
      <c r="AB28" s="120"/>
      <c r="AE28" s="120"/>
      <c r="AH28" s="120"/>
      <c r="AK28" s="120"/>
    </row>
    <row r="29" spans="2:38" ht="12" customHeight="1" x14ac:dyDescent="0.25">
      <c r="B29" s="210" t="s">
        <v>65</v>
      </c>
      <c r="C29" s="210"/>
      <c r="D29" s="210"/>
      <c r="E29" s="210"/>
      <c r="F29" s="210"/>
      <c r="G29" s="210"/>
    </row>
  </sheetData>
  <mergeCells count="20">
    <mergeCell ref="B29:G29"/>
    <mergeCell ref="P8:Q9"/>
    <mergeCell ref="B7:B10"/>
    <mergeCell ref="S9:T9"/>
    <mergeCell ref="V9:W9"/>
    <mergeCell ref="G9:H9"/>
    <mergeCell ref="J9:K9"/>
    <mergeCell ref="D7:N7"/>
    <mergeCell ref="P7:Z7"/>
    <mergeCell ref="D8:E9"/>
    <mergeCell ref="M9:N9"/>
    <mergeCell ref="S8:Z8"/>
    <mergeCell ref="G8:N8"/>
    <mergeCell ref="Y9:Z9"/>
    <mergeCell ref="AB8:AC9"/>
    <mergeCell ref="AH9:AI9"/>
    <mergeCell ref="AB7:AL7"/>
    <mergeCell ref="AE8:AL8"/>
    <mergeCell ref="AK9:AL9"/>
    <mergeCell ref="AE9:AF9"/>
  </mergeCells>
  <hyperlinks>
    <hyperlink ref="AL1" location="Índice!A1" tooltip="Ir a ÍNDICE" display="INDICE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539C5-FBC4-4742-A84E-ED036054C76D}">
  <dimension ref="B1:K60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</row>
    <row r="4" spans="2:11" ht="6.95" customHeight="1" x14ac:dyDescent="0.25">
      <c r="B4" s="24"/>
      <c r="C4" s="24"/>
      <c r="D4" s="124"/>
      <c r="E4" s="25"/>
      <c r="F4" s="25"/>
      <c r="G4" s="124"/>
      <c r="H4" s="26"/>
      <c r="I4" s="26"/>
      <c r="J4" s="128"/>
    </row>
    <row r="5" spans="2:11" x14ac:dyDescent="0.25">
      <c r="B5" s="53" t="s">
        <v>85</v>
      </c>
      <c r="C5" s="53"/>
      <c r="D5" s="124"/>
      <c r="E5" s="25"/>
      <c r="F5" s="25"/>
      <c r="G5" s="124"/>
      <c r="H5" s="27"/>
      <c r="I5" s="27"/>
      <c r="J5" s="129"/>
      <c r="K5" s="52" t="s">
        <v>13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86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ht="15" customHeight="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168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55" t="s">
        <v>1</v>
      </c>
      <c r="C11" s="55"/>
      <c r="D11" s="173">
        <v>940724.76979118201</v>
      </c>
      <c r="E11" s="174">
        <v>0</v>
      </c>
      <c r="F11" s="173"/>
      <c r="G11" s="173">
        <v>790274.85617909802</v>
      </c>
      <c r="H11" s="174">
        <v>0</v>
      </c>
      <c r="I11" s="173"/>
      <c r="J11" s="173">
        <v>719306.42915879702</v>
      </c>
      <c r="K11" s="174">
        <v>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x14ac:dyDescent="0.25">
      <c r="B13" s="141" t="s">
        <v>59</v>
      </c>
      <c r="C13" s="56"/>
      <c r="D13" s="173">
        <v>753335.53255437897</v>
      </c>
      <c r="E13" s="174">
        <v>0.76123833685590703</v>
      </c>
      <c r="F13" s="173"/>
      <c r="G13" s="173">
        <v>542533.600797444</v>
      </c>
      <c r="H13" s="174">
        <v>0.95436553752812003</v>
      </c>
      <c r="I13" s="173"/>
      <c r="J13" s="173">
        <v>515776.65765041998</v>
      </c>
      <c r="K13" s="174">
        <v>1.06218897018583</v>
      </c>
    </row>
    <row r="14" spans="2:11" ht="6.95" customHeight="1" x14ac:dyDescent="0.25">
      <c r="B14" s="141"/>
      <c r="C14" s="56"/>
      <c r="D14" s="173"/>
      <c r="E14" s="174"/>
      <c r="F14" s="173"/>
      <c r="G14" s="173"/>
      <c r="H14" s="174"/>
      <c r="I14" s="173"/>
      <c r="J14" s="173"/>
      <c r="K14" s="174"/>
    </row>
    <row r="15" spans="2:11" x14ac:dyDescent="0.25">
      <c r="B15" s="142" t="s">
        <v>66</v>
      </c>
      <c r="C15" s="56"/>
      <c r="D15" s="176">
        <v>267459.41828504798</v>
      </c>
      <c r="E15" s="175">
        <v>0.741800318610908</v>
      </c>
      <c r="F15" s="173"/>
      <c r="G15" s="176">
        <v>189862.024782647</v>
      </c>
      <c r="H15" s="175">
        <v>1.06859566709593</v>
      </c>
      <c r="I15" s="173"/>
      <c r="J15" s="176">
        <v>189110.32409271799</v>
      </c>
      <c r="K15" s="175">
        <v>1.07773861265402</v>
      </c>
    </row>
    <row r="16" spans="2:11" x14ac:dyDescent="0.25">
      <c r="B16" s="142" t="s">
        <v>9</v>
      </c>
      <c r="C16" s="56"/>
      <c r="D16" s="176">
        <v>687390.52394835697</v>
      </c>
      <c r="E16" s="175">
        <v>0.741800318610908</v>
      </c>
      <c r="F16" s="173"/>
      <c r="G16" s="176">
        <v>492706.76286945399</v>
      </c>
      <c r="H16" s="175">
        <v>1.06859566709593</v>
      </c>
      <c r="I16" s="173"/>
      <c r="J16" s="176">
        <v>489960.99065578502</v>
      </c>
      <c r="K16" s="175">
        <v>1.07773861265402</v>
      </c>
    </row>
    <row r="17" spans="2:11" ht="6.95" customHeight="1" x14ac:dyDescent="0.25">
      <c r="B17" s="142"/>
      <c r="C17" s="56"/>
      <c r="D17" s="176"/>
      <c r="E17" s="175"/>
      <c r="F17" s="173"/>
      <c r="G17" s="173"/>
      <c r="H17" s="174"/>
      <c r="I17" s="173"/>
      <c r="J17" s="173"/>
      <c r="K17" s="174"/>
    </row>
    <row r="18" spans="2:11" x14ac:dyDescent="0.25">
      <c r="B18" s="141" t="s">
        <v>58</v>
      </c>
      <c r="C18" s="56"/>
      <c r="D18" s="173">
        <v>875752.77651814104</v>
      </c>
      <c r="E18" s="174">
        <v>0.76123833685590703</v>
      </c>
      <c r="F18" s="173"/>
      <c r="G18" s="173">
        <v>649175.56456074503</v>
      </c>
      <c r="H18" s="174">
        <v>0.95436553752812003</v>
      </c>
      <c r="I18" s="173"/>
      <c r="J18" s="173">
        <v>604586.48785182205</v>
      </c>
      <c r="K18" s="174">
        <v>1.06218897018583</v>
      </c>
    </row>
    <row r="19" spans="2:11" ht="6.95" customHeight="1" x14ac:dyDescent="0.25">
      <c r="B19" s="143"/>
      <c r="C19" s="57"/>
      <c r="D19" s="176"/>
      <c r="E19" s="175"/>
      <c r="F19" s="176"/>
      <c r="G19" s="176"/>
      <c r="H19" s="175"/>
      <c r="I19" s="176"/>
      <c r="J19" s="176"/>
      <c r="K19" s="175"/>
    </row>
    <row r="20" spans="2:11" x14ac:dyDescent="0.25">
      <c r="B20" s="140" t="s">
        <v>56</v>
      </c>
      <c r="C20" s="58"/>
      <c r="D20" s="173">
        <v>504732.270996604</v>
      </c>
      <c r="E20" s="174">
        <v>0.55234892296723204</v>
      </c>
      <c r="F20" s="173"/>
      <c r="G20" s="173">
        <v>332934.00283831899</v>
      </c>
      <c r="H20" s="174">
        <v>0.66516354292411894</v>
      </c>
      <c r="I20" s="173"/>
      <c r="J20" s="173">
        <v>404062.539414984</v>
      </c>
      <c r="K20" s="174">
        <v>0.91024867293581802</v>
      </c>
    </row>
    <row r="21" spans="2:11" ht="6.95" customHeight="1" x14ac:dyDescent="0.25">
      <c r="B21" s="140"/>
      <c r="C21" s="58"/>
      <c r="D21" s="173"/>
      <c r="E21" s="174"/>
      <c r="F21" s="173"/>
      <c r="G21" s="173"/>
      <c r="H21" s="174"/>
      <c r="I21" s="173"/>
      <c r="J21" s="173"/>
      <c r="K21" s="174"/>
    </row>
    <row r="22" spans="2:11" ht="15" customHeight="1" x14ac:dyDescent="0.25">
      <c r="B22" s="142" t="s">
        <v>66</v>
      </c>
      <c r="C22" s="58"/>
      <c r="D22" s="176">
        <v>116593.220790664</v>
      </c>
      <c r="E22" s="175">
        <v>0.72346488416604804</v>
      </c>
      <c r="F22" s="173"/>
      <c r="G22" s="176">
        <v>65940.360733092297</v>
      </c>
      <c r="H22" s="175">
        <v>0.89509262827761804</v>
      </c>
      <c r="I22" s="173"/>
      <c r="J22" s="176">
        <v>93388.997367019707</v>
      </c>
      <c r="K22" s="175">
        <v>1.04574979631528</v>
      </c>
    </row>
    <row r="23" spans="2:11" x14ac:dyDescent="0.25">
      <c r="B23" s="142" t="s">
        <v>9</v>
      </c>
      <c r="C23" s="58"/>
      <c r="D23" s="176">
        <v>497953.10656714102</v>
      </c>
      <c r="E23" s="175">
        <v>0.72346488416604804</v>
      </c>
      <c r="F23" s="173"/>
      <c r="G23" s="176">
        <v>327544.672007774</v>
      </c>
      <c r="H23" s="175">
        <v>0.89509262827761804</v>
      </c>
      <c r="I23" s="173"/>
      <c r="J23" s="176">
        <v>392068.16506317502</v>
      </c>
      <c r="K23" s="175">
        <v>1.04574979631528</v>
      </c>
    </row>
    <row r="24" spans="2:11" ht="6.95" customHeight="1" x14ac:dyDescent="0.25">
      <c r="B24" s="142"/>
      <c r="C24" s="58"/>
      <c r="D24" s="176"/>
      <c r="E24" s="175"/>
      <c r="F24" s="173"/>
      <c r="G24" s="173"/>
      <c r="H24" s="174"/>
      <c r="I24" s="173"/>
      <c r="J24" s="173"/>
      <c r="K24" s="174"/>
    </row>
    <row r="25" spans="2:11" x14ac:dyDescent="0.25">
      <c r="B25" s="140" t="s">
        <v>57</v>
      </c>
      <c r="C25" s="58"/>
      <c r="D25" s="173">
        <v>914545.46954144002</v>
      </c>
      <c r="E25" s="174">
        <v>0.55234892296723204</v>
      </c>
      <c r="F25" s="173"/>
      <c r="G25" s="173">
        <v>735096.261270224</v>
      </c>
      <c r="H25" s="174">
        <v>0.66516354292411894</v>
      </c>
      <c r="I25" s="173"/>
      <c r="J25" s="173">
        <v>656501.82965559303</v>
      </c>
      <c r="K25" s="174">
        <v>0.91024867293581802</v>
      </c>
    </row>
    <row r="26" spans="2:11" ht="6.95" customHeight="1" x14ac:dyDescent="0.25">
      <c r="B26" s="32"/>
      <c r="C26" s="32"/>
      <c r="D26" s="173"/>
      <c r="E26" s="177"/>
      <c r="F26" s="178"/>
      <c r="G26" s="173"/>
      <c r="H26" s="177"/>
      <c r="I26" s="177"/>
      <c r="J26" s="173"/>
      <c r="K26" s="177"/>
    </row>
    <row r="27" spans="2:11" x14ac:dyDescent="0.25">
      <c r="B27" s="98" t="s">
        <v>6</v>
      </c>
      <c r="C27" s="98"/>
      <c r="D27" s="173">
        <v>1202696.45731675</v>
      </c>
      <c r="E27" s="174">
        <v>0</v>
      </c>
      <c r="F27" s="173"/>
      <c r="G27" s="173">
        <v>732477.33212123101</v>
      </c>
      <c r="H27" s="174">
        <v>0</v>
      </c>
      <c r="I27" s="173"/>
      <c r="J27" s="173">
        <v>655788.85438650905</v>
      </c>
      <c r="K27" s="174">
        <v>0</v>
      </c>
    </row>
    <row r="28" spans="2:11" ht="7.5" customHeight="1" x14ac:dyDescent="0.25">
      <c r="B28" s="56"/>
      <c r="C28" s="56"/>
      <c r="D28" s="173"/>
      <c r="E28" s="175"/>
      <c r="F28" s="173"/>
      <c r="G28" s="173"/>
      <c r="H28" s="175"/>
      <c r="I28" s="176"/>
      <c r="J28" s="173"/>
      <c r="K28" s="175"/>
    </row>
    <row r="29" spans="2:11" x14ac:dyDescent="0.25">
      <c r="B29" s="141" t="s">
        <v>59</v>
      </c>
      <c r="C29" s="56"/>
      <c r="D29" s="173">
        <v>579502.68385382299</v>
      </c>
      <c r="E29" s="174">
        <v>1.40201034938453</v>
      </c>
      <c r="F29" s="173"/>
      <c r="G29" s="173">
        <v>375699.23404500802</v>
      </c>
      <c r="H29" s="174">
        <v>1.7362006417499201</v>
      </c>
      <c r="I29" s="173"/>
      <c r="J29" s="173">
        <v>331816.62490196602</v>
      </c>
      <c r="K29" s="174">
        <v>1.78066786950001</v>
      </c>
    </row>
    <row r="30" spans="2:11" ht="6.95" customHeight="1" x14ac:dyDescent="0.25">
      <c r="B30" s="141"/>
      <c r="C30" s="56"/>
      <c r="D30" s="173"/>
      <c r="E30" s="174"/>
      <c r="F30" s="173"/>
      <c r="G30" s="173"/>
      <c r="H30" s="174"/>
      <c r="I30" s="173"/>
      <c r="J30" s="173"/>
      <c r="K30" s="174"/>
    </row>
    <row r="31" spans="2:11" x14ac:dyDescent="0.25">
      <c r="B31" s="142" t="s">
        <v>66</v>
      </c>
      <c r="C31" s="56"/>
      <c r="D31" s="176">
        <v>141651.00758342899</v>
      </c>
      <c r="E31" s="175">
        <v>1.3871102986073101</v>
      </c>
      <c r="F31" s="173"/>
      <c r="G31" s="176">
        <v>91251.739169057895</v>
      </c>
      <c r="H31" s="175">
        <v>1.7980643552019999</v>
      </c>
      <c r="I31" s="173"/>
      <c r="J31" s="176">
        <v>108865.99395416801</v>
      </c>
      <c r="K31" s="175">
        <v>2.3175262603619</v>
      </c>
    </row>
    <row r="32" spans="2:11" x14ac:dyDescent="0.25">
      <c r="B32" s="142" t="s">
        <v>9</v>
      </c>
      <c r="C32" s="56"/>
      <c r="D32" s="176">
        <v>513478.18441539601</v>
      </c>
      <c r="E32" s="175">
        <v>1.3871102986073101</v>
      </c>
      <c r="F32" s="173"/>
      <c r="G32" s="176">
        <v>338765.990628117</v>
      </c>
      <c r="H32" s="175">
        <v>1.7980643552019999</v>
      </c>
      <c r="I32" s="173"/>
      <c r="J32" s="176">
        <v>296464.91703602602</v>
      </c>
      <c r="K32" s="175">
        <v>2.3175262603619</v>
      </c>
    </row>
    <row r="33" spans="2:11" ht="6.95" customHeight="1" x14ac:dyDescent="0.25">
      <c r="B33" s="142"/>
      <c r="C33" s="56"/>
      <c r="D33" s="176"/>
      <c r="E33" s="175"/>
      <c r="F33" s="173"/>
      <c r="G33" s="173"/>
      <c r="H33" s="174"/>
      <c r="I33" s="173"/>
      <c r="J33" s="173"/>
      <c r="K33" s="174"/>
    </row>
    <row r="34" spans="2:11" x14ac:dyDescent="0.25">
      <c r="B34" s="141" t="s">
        <v>58</v>
      </c>
      <c r="C34" s="56"/>
      <c r="D34" s="173">
        <v>901114.75143993204</v>
      </c>
      <c r="E34" s="174">
        <v>1.40201034938453</v>
      </c>
      <c r="F34" s="173"/>
      <c r="G34" s="173">
        <v>557458.07313866098</v>
      </c>
      <c r="H34" s="174">
        <v>1.7362006417499201</v>
      </c>
      <c r="I34" s="173"/>
      <c r="J34" s="173">
        <v>489338.08447712002</v>
      </c>
      <c r="K34" s="174">
        <v>1.78066786950001</v>
      </c>
    </row>
    <row r="35" spans="2:11" ht="7.5" customHeight="1" x14ac:dyDescent="0.25">
      <c r="B35" s="143"/>
      <c r="C35" s="57"/>
      <c r="D35" s="176"/>
      <c r="E35" s="175"/>
      <c r="F35" s="176"/>
      <c r="G35" s="176"/>
      <c r="H35" s="175"/>
      <c r="I35" s="176"/>
      <c r="J35" s="176"/>
      <c r="K35" s="175"/>
    </row>
    <row r="36" spans="2:11" x14ac:dyDescent="0.25">
      <c r="B36" s="140" t="s">
        <v>56</v>
      </c>
      <c r="C36" s="57"/>
      <c r="D36" s="173">
        <v>332018.46886434598</v>
      </c>
      <c r="E36" s="174">
        <v>0.87106791780826698</v>
      </c>
      <c r="F36" s="173"/>
      <c r="G36" s="173">
        <v>190389.97625785801</v>
      </c>
      <c r="H36" s="174">
        <v>1.0358271614060599</v>
      </c>
      <c r="I36" s="173"/>
      <c r="J36" s="173">
        <v>280590.94859291601</v>
      </c>
      <c r="K36" s="174">
        <v>1.68970498008325</v>
      </c>
    </row>
    <row r="37" spans="2:11" ht="6.95" customHeight="1" x14ac:dyDescent="0.25">
      <c r="B37" s="140"/>
      <c r="C37" s="57"/>
      <c r="D37" s="173"/>
      <c r="E37" s="174"/>
      <c r="F37" s="173"/>
      <c r="G37" s="173"/>
      <c r="H37" s="174"/>
      <c r="I37" s="173"/>
      <c r="J37" s="173"/>
      <c r="K37" s="174"/>
    </row>
    <row r="38" spans="2:11" ht="15" customHeight="1" x14ac:dyDescent="0.25">
      <c r="B38" s="142" t="s">
        <v>66</v>
      </c>
      <c r="C38" s="58"/>
      <c r="D38" s="176">
        <v>54360.057484584002</v>
      </c>
      <c r="E38" s="175">
        <v>1.2223527531554499</v>
      </c>
      <c r="F38" s="173"/>
      <c r="G38" s="176">
        <v>34594.224411983399</v>
      </c>
      <c r="H38" s="175">
        <v>1.8050931977890099</v>
      </c>
      <c r="I38" s="173"/>
      <c r="J38" s="176">
        <v>39825.9414334502</v>
      </c>
      <c r="K38" s="175">
        <v>1.56971502675749</v>
      </c>
    </row>
    <row r="39" spans="2:11" x14ac:dyDescent="0.25">
      <c r="B39" s="142" t="s">
        <v>9</v>
      </c>
      <c r="C39" s="58"/>
      <c r="D39" s="176">
        <v>323083.41344565502</v>
      </c>
      <c r="E39" s="175">
        <v>1.2223527531554499</v>
      </c>
      <c r="F39" s="173"/>
      <c r="G39" s="176">
        <v>187379.53387852799</v>
      </c>
      <c r="H39" s="175">
        <v>1.8050931977890099</v>
      </c>
      <c r="I39" s="173"/>
      <c r="J39" s="176">
        <v>271264.40520861198</v>
      </c>
      <c r="K39" s="175">
        <v>1.56971502675749</v>
      </c>
    </row>
    <row r="40" spans="2:11" ht="6.95" customHeight="1" x14ac:dyDescent="0.25">
      <c r="B40" s="142"/>
      <c r="C40" s="58"/>
      <c r="D40" s="176"/>
      <c r="E40" s="175"/>
      <c r="F40" s="173"/>
      <c r="G40" s="173"/>
      <c r="H40" s="174"/>
      <c r="I40" s="173"/>
      <c r="J40" s="173"/>
      <c r="K40" s="174"/>
    </row>
    <row r="41" spans="2:11" x14ac:dyDescent="0.25">
      <c r="B41" s="140" t="s">
        <v>57</v>
      </c>
      <c r="C41" s="59"/>
      <c r="D41" s="173">
        <v>1026835.67658401</v>
      </c>
      <c r="E41" s="174">
        <v>0.87106791780826698</v>
      </c>
      <c r="F41" s="173"/>
      <c r="G41" s="173">
        <v>667367.77266743395</v>
      </c>
      <c r="H41" s="174">
        <v>1.0358271614060599</v>
      </c>
      <c r="I41" s="173"/>
      <c r="J41" s="173">
        <v>533823.51668874198</v>
      </c>
      <c r="K41" s="174">
        <v>1.68970498008325</v>
      </c>
    </row>
    <row r="42" spans="2:11" ht="7.5" customHeight="1" x14ac:dyDescent="0.25">
      <c r="B42" s="139"/>
      <c r="C42" s="59"/>
      <c r="D42" s="173"/>
      <c r="E42" s="177"/>
      <c r="F42" s="178"/>
      <c r="G42" s="173"/>
      <c r="H42" s="177"/>
      <c r="I42" s="177"/>
      <c r="J42" s="173"/>
      <c r="K42" s="177"/>
    </row>
    <row r="43" spans="2:11" x14ac:dyDescent="0.25">
      <c r="B43" s="98" t="s">
        <v>7</v>
      </c>
      <c r="C43" s="98"/>
      <c r="D43" s="173">
        <v>1215345.35573305</v>
      </c>
      <c r="E43" s="174">
        <v>0</v>
      </c>
      <c r="F43" s="173"/>
      <c r="G43" s="173">
        <v>853166.62916364695</v>
      </c>
      <c r="H43" s="174">
        <v>0</v>
      </c>
      <c r="I43" s="173"/>
      <c r="J43" s="173">
        <v>704303.09797417896</v>
      </c>
      <c r="K43" s="174">
        <v>0</v>
      </c>
    </row>
    <row r="44" spans="2:11" ht="6.95" customHeight="1" x14ac:dyDescent="0.25">
      <c r="B44" s="98"/>
      <c r="C44" s="98"/>
      <c r="D44" s="173"/>
      <c r="E44" s="175"/>
      <c r="F44" s="173"/>
      <c r="G44" s="173"/>
      <c r="H44" s="175"/>
      <c r="I44" s="176"/>
      <c r="J44" s="173"/>
      <c r="K44" s="175"/>
    </row>
    <row r="45" spans="2:11" x14ac:dyDescent="0.25">
      <c r="B45" s="141" t="s">
        <v>59</v>
      </c>
      <c r="C45" s="98"/>
      <c r="D45" s="173">
        <v>694241.48155214498</v>
      </c>
      <c r="E45" s="174">
        <v>0.89608028880372903</v>
      </c>
      <c r="F45" s="173"/>
      <c r="G45" s="173">
        <v>474754.71422431897</v>
      </c>
      <c r="H45" s="174">
        <v>1.12719930530498</v>
      </c>
      <c r="I45" s="173"/>
      <c r="J45" s="173">
        <v>462836.02428837202</v>
      </c>
      <c r="K45" s="174">
        <v>1.3173310625427399</v>
      </c>
    </row>
    <row r="46" spans="2:11" ht="6.95" customHeight="1" x14ac:dyDescent="0.25">
      <c r="B46" s="141"/>
      <c r="C46" s="98"/>
      <c r="D46" s="173"/>
      <c r="E46" s="174"/>
      <c r="F46" s="173"/>
      <c r="G46" s="173"/>
      <c r="H46" s="174"/>
      <c r="I46" s="173"/>
      <c r="J46" s="173"/>
      <c r="K46" s="174"/>
    </row>
    <row r="47" spans="2:11" x14ac:dyDescent="0.25">
      <c r="B47" s="142" t="s">
        <v>66</v>
      </c>
      <c r="C47" s="98"/>
      <c r="D47" s="176">
        <v>240628.33482132701</v>
      </c>
      <c r="E47" s="175">
        <v>0.88286345505229402</v>
      </c>
      <c r="F47" s="173"/>
      <c r="G47" s="176">
        <v>173591.700131889</v>
      </c>
      <c r="H47" s="175">
        <v>1.33827741647277</v>
      </c>
      <c r="I47" s="173"/>
      <c r="J47" s="176">
        <v>164517.29557238999</v>
      </c>
      <c r="K47" s="175">
        <v>1.2218315779964499</v>
      </c>
    </row>
    <row r="48" spans="2:11" x14ac:dyDescent="0.25">
      <c r="B48" s="142" t="s">
        <v>9</v>
      </c>
      <c r="C48" s="98"/>
      <c r="D48" s="176">
        <v>619317.92535197898</v>
      </c>
      <c r="E48" s="175">
        <v>0.88286345505229402</v>
      </c>
      <c r="F48" s="173"/>
      <c r="G48" s="176">
        <v>425702.912217098</v>
      </c>
      <c r="H48" s="175">
        <v>1.33827741647277</v>
      </c>
      <c r="I48" s="173"/>
      <c r="J48" s="176">
        <v>428283.82350038597</v>
      </c>
      <c r="K48" s="175">
        <v>1.2218315779964499</v>
      </c>
    </row>
    <row r="49" spans="2:11" ht="6.95" customHeight="1" x14ac:dyDescent="0.25">
      <c r="B49" s="142"/>
      <c r="C49" s="98"/>
      <c r="D49" s="176"/>
      <c r="E49" s="175"/>
      <c r="F49" s="173"/>
      <c r="G49" s="173"/>
      <c r="H49" s="174"/>
      <c r="I49" s="173"/>
      <c r="J49" s="173"/>
      <c r="K49" s="174"/>
    </row>
    <row r="50" spans="2:11" x14ac:dyDescent="0.25">
      <c r="B50" s="141" t="s">
        <v>58</v>
      </c>
      <c r="C50" s="98"/>
      <c r="D50" s="173">
        <v>897242.50410879799</v>
      </c>
      <c r="E50" s="174">
        <v>0.89608028880372903</v>
      </c>
      <c r="F50" s="173"/>
      <c r="G50" s="173">
        <v>622378.16351153597</v>
      </c>
      <c r="H50" s="174">
        <v>1.12719930530498</v>
      </c>
      <c r="I50" s="173"/>
      <c r="J50" s="173">
        <v>531382.89622298104</v>
      </c>
      <c r="K50" s="174">
        <v>1.3173310625427399</v>
      </c>
    </row>
    <row r="51" spans="2:11" ht="6.95" customHeight="1" x14ac:dyDescent="0.25">
      <c r="B51" s="142"/>
      <c r="C51" s="56"/>
      <c r="D51" s="173"/>
      <c r="E51" s="174"/>
      <c r="F51" s="173"/>
      <c r="G51" s="173"/>
      <c r="H51" s="174"/>
      <c r="I51" s="173"/>
      <c r="J51" s="173"/>
      <c r="K51" s="174"/>
    </row>
    <row r="52" spans="2:11" x14ac:dyDescent="0.25">
      <c r="B52" s="140" t="s">
        <v>56</v>
      </c>
      <c r="C52" s="56"/>
      <c r="D52" s="173">
        <v>458126.22905015497</v>
      </c>
      <c r="E52" s="174">
        <v>0.71114203125742004</v>
      </c>
      <c r="F52" s="173"/>
      <c r="G52" s="173">
        <v>288462.44909184001</v>
      </c>
      <c r="H52" s="174">
        <v>0.858929679589576</v>
      </c>
      <c r="I52" s="173"/>
      <c r="J52" s="173">
        <v>336795.70213541499</v>
      </c>
      <c r="K52" s="174">
        <v>1.1042716302004101</v>
      </c>
    </row>
    <row r="53" spans="2:11" ht="6.95" customHeight="1" x14ac:dyDescent="0.25">
      <c r="B53" s="140"/>
      <c r="C53" s="56"/>
      <c r="D53" s="173"/>
      <c r="E53" s="174"/>
      <c r="F53" s="173"/>
      <c r="G53" s="173"/>
      <c r="H53" s="174"/>
      <c r="I53" s="173"/>
      <c r="J53" s="173"/>
      <c r="K53" s="174"/>
    </row>
    <row r="54" spans="2:11" x14ac:dyDescent="0.25">
      <c r="B54" s="142" t="s">
        <v>66</v>
      </c>
      <c r="C54" s="56"/>
      <c r="D54" s="176">
        <v>104144.66464036801</v>
      </c>
      <c r="E54" s="175">
        <v>0.88289357214903996</v>
      </c>
      <c r="F54" s="173"/>
      <c r="G54" s="176">
        <v>57639.737637706799</v>
      </c>
      <c r="H54" s="175">
        <v>1.05130389176941</v>
      </c>
      <c r="I54" s="173"/>
      <c r="J54" s="176">
        <v>84548.906909719793</v>
      </c>
      <c r="K54" s="175">
        <v>1.32379742798475</v>
      </c>
    </row>
    <row r="55" spans="2:11" x14ac:dyDescent="0.25">
      <c r="B55" s="142" t="s">
        <v>9</v>
      </c>
      <c r="C55" s="56"/>
      <c r="D55" s="176">
        <v>449476.24540368601</v>
      </c>
      <c r="E55" s="175">
        <v>0.88289357214903996</v>
      </c>
      <c r="F55" s="173"/>
      <c r="G55" s="176">
        <v>282424.27335231798</v>
      </c>
      <c r="H55" s="175">
        <v>1.05130389176941</v>
      </c>
      <c r="I55" s="173"/>
      <c r="J55" s="176">
        <v>328390.61140844302</v>
      </c>
      <c r="K55" s="175">
        <v>1.32379742798475</v>
      </c>
    </row>
    <row r="56" spans="2:11" ht="6.95" customHeight="1" x14ac:dyDescent="0.25">
      <c r="B56" s="142"/>
      <c r="C56" s="56"/>
      <c r="D56" s="176"/>
      <c r="E56" s="175"/>
      <c r="F56" s="173"/>
      <c r="G56" s="173"/>
      <c r="H56" s="174"/>
      <c r="I56" s="173"/>
      <c r="J56" s="173"/>
      <c r="K56" s="174"/>
    </row>
    <row r="57" spans="2:11" x14ac:dyDescent="0.25">
      <c r="B57" s="140" t="s">
        <v>57</v>
      </c>
      <c r="C57" s="56"/>
      <c r="D57" s="173">
        <v>1074198.42716954</v>
      </c>
      <c r="E57" s="174">
        <v>0.71114203125742004</v>
      </c>
      <c r="F57" s="173"/>
      <c r="G57" s="173">
        <v>768345.054101708</v>
      </c>
      <c r="H57" s="174">
        <v>0.858929679589576</v>
      </c>
      <c r="I57" s="173"/>
      <c r="J57" s="173">
        <v>614010.52680648596</v>
      </c>
      <c r="K57" s="174">
        <v>1.1042716302004101</v>
      </c>
    </row>
    <row r="58" spans="2:11" ht="6.95" customHeight="1" x14ac:dyDescent="0.25">
      <c r="B58" s="33"/>
      <c r="C58" s="33"/>
      <c r="D58" s="126"/>
      <c r="E58" s="34"/>
      <c r="F58" s="34"/>
      <c r="G58" s="126"/>
      <c r="H58" s="33"/>
      <c r="I58" s="33"/>
      <c r="J58" s="132"/>
      <c r="K58" s="35"/>
    </row>
    <row r="59" spans="2:11" ht="6.95" customHeight="1" x14ac:dyDescent="0.25">
      <c r="B59" s="31"/>
      <c r="C59" s="31"/>
      <c r="D59" s="127"/>
      <c r="E59" s="37"/>
      <c r="F59" s="37"/>
      <c r="G59" s="127"/>
      <c r="H59" s="31"/>
      <c r="I59" s="31"/>
      <c r="J59" s="131"/>
      <c r="K59" s="30"/>
    </row>
    <row r="60" spans="2:11" ht="12" customHeight="1" x14ac:dyDescent="0.25">
      <c r="B60" s="210" t="s">
        <v>65</v>
      </c>
      <c r="C60" s="210"/>
      <c r="D60" s="210"/>
      <c r="E60" s="210"/>
      <c r="F60" s="210"/>
      <c r="G60" s="210"/>
    </row>
  </sheetData>
  <mergeCells count="6">
    <mergeCell ref="B60:G60"/>
    <mergeCell ref="B7:B9"/>
    <mergeCell ref="D7:E8"/>
    <mergeCell ref="G7:K7"/>
    <mergeCell ref="G8:H8"/>
    <mergeCell ref="J8:K8"/>
  </mergeCells>
  <hyperlinks>
    <hyperlink ref="K1" location="Índice!A1" tooltip="Ir a ÍNDICE" display="INDICE" xr:uid="{E76350BE-14EC-45D1-B872-A1C20582924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BB06B-E501-40A0-9CE0-9C93258C334D}">
  <dimension ref="B1:K46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  <c r="G3" s="133"/>
    </row>
    <row r="4" spans="2:11" ht="6.95" customHeight="1" x14ac:dyDescent="0.25">
      <c r="B4" s="38"/>
      <c r="C4" s="38"/>
      <c r="D4" s="124"/>
      <c r="E4" s="25"/>
      <c r="F4" s="25"/>
      <c r="G4" s="124"/>
      <c r="H4" s="26"/>
      <c r="I4" s="26"/>
      <c r="J4" s="128"/>
    </row>
    <row r="5" spans="2:11" ht="30" customHeight="1" x14ac:dyDescent="0.25">
      <c r="B5" s="221" t="s">
        <v>38</v>
      </c>
      <c r="C5" s="221"/>
      <c r="D5" s="221"/>
      <c r="E5" s="221"/>
      <c r="F5" s="221"/>
      <c r="G5" s="221"/>
      <c r="H5" s="27"/>
      <c r="I5" s="27"/>
      <c r="J5" s="129"/>
      <c r="K5" s="52" t="s">
        <v>14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37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33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31" t="s">
        <v>1</v>
      </c>
      <c r="C11" s="31"/>
      <c r="D11" s="173">
        <v>940724.76979118201</v>
      </c>
      <c r="E11" s="174">
        <v>0</v>
      </c>
      <c r="F11" s="173"/>
      <c r="G11" s="173">
        <v>790274.85617909802</v>
      </c>
      <c r="H11" s="174">
        <v>0</v>
      </c>
      <c r="I11" s="173"/>
      <c r="J11" s="173">
        <v>719306.42915879702</v>
      </c>
      <c r="K11" s="174">
        <v>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ht="30" customHeight="1" x14ac:dyDescent="0.25">
      <c r="B13" s="60" t="s">
        <v>16</v>
      </c>
      <c r="C13" s="60"/>
      <c r="D13" s="173">
        <v>396241.87734215899</v>
      </c>
      <c r="E13" s="174">
        <v>0.44523929388706102</v>
      </c>
      <c r="F13" s="173"/>
      <c r="G13" s="173">
        <v>288370.29234569799</v>
      </c>
      <c r="H13" s="174">
        <v>0.59808225379152102</v>
      </c>
      <c r="I13" s="173"/>
      <c r="J13" s="173">
        <v>211180.095581184</v>
      </c>
      <c r="K13" s="174">
        <v>0.51221643858727495</v>
      </c>
    </row>
    <row r="14" spans="2:11" ht="6.95" customHeight="1" x14ac:dyDescent="0.25">
      <c r="B14" s="60"/>
      <c r="C14" s="60"/>
      <c r="D14" s="173"/>
      <c r="E14" s="174"/>
      <c r="F14" s="173"/>
      <c r="G14" s="173"/>
      <c r="H14" s="174"/>
      <c r="I14" s="173"/>
      <c r="J14" s="173"/>
      <c r="K14" s="174"/>
    </row>
    <row r="15" spans="2:11" x14ac:dyDescent="0.25">
      <c r="B15" s="57" t="s">
        <v>61</v>
      </c>
      <c r="C15" s="57"/>
      <c r="D15" s="176">
        <v>210767.300946851</v>
      </c>
      <c r="E15" s="175">
        <v>1.86739925966275</v>
      </c>
      <c r="F15" s="173"/>
      <c r="G15" s="176">
        <v>154966.71741271799</v>
      </c>
      <c r="H15" s="175">
        <v>2.2626819741400901</v>
      </c>
      <c r="I15" s="176"/>
      <c r="J15" s="176">
        <v>124567.467794599</v>
      </c>
      <c r="K15" s="175">
        <v>2.98175211465793</v>
      </c>
    </row>
    <row r="16" spans="2:11" x14ac:dyDescent="0.25">
      <c r="B16" s="57" t="s">
        <v>62</v>
      </c>
      <c r="C16" s="57"/>
      <c r="D16" s="176">
        <v>291794.01911247498</v>
      </c>
      <c r="E16" s="175">
        <v>2.1250826097201201</v>
      </c>
      <c r="F16" s="173"/>
      <c r="G16" s="176">
        <v>216187.36594402601</v>
      </c>
      <c r="H16" s="175">
        <v>2.5410995836771999</v>
      </c>
      <c r="I16" s="176"/>
      <c r="J16" s="176">
        <v>155686.25103673301</v>
      </c>
      <c r="K16" s="175">
        <v>3.0896351964303599</v>
      </c>
    </row>
    <row r="17" spans="2:11" x14ac:dyDescent="0.25">
      <c r="B17" s="57" t="s">
        <v>47</v>
      </c>
      <c r="C17" s="57"/>
      <c r="D17" s="176">
        <v>56212.458167423298</v>
      </c>
      <c r="E17" s="175">
        <v>0.62843523230204301</v>
      </c>
      <c r="F17" s="176"/>
      <c r="G17" s="176">
        <v>41628.630829109599</v>
      </c>
      <c r="H17" s="175">
        <v>0.74410052608260002</v>
      </c>
      <c r="I17" s="176"/>
      <c r="J17" s="176">
        <v>37578.562282844403</v>
      </c>
      <c r="K17" s="175">
        <v>1.07796863257804</v>
      </c>
    </row>
    <row r="18" spans="2:11" x14ac:dyDescent="0.25">
      <c r="B18" s="61" t="s">
        <v>63</v>
      </c>
      <c r="C18" s="61"/>
      <c r="D18" s="176">
        <v>108178.59362737399</v>
      </c>
      <c r="E18" s="175">
        <v>1.12864717264396</v>
      </c>
      <c r="F18" s="176"/>
      <c r="G18" s="176">
        <v>77543.178110937006</v>
      </c>
      <c r="H18" s="175">
        <v>1.3329989508142901</v>
      </c>
      <c r="I18" s="176"/>
      <c r="J18" s="176">
        <v>58318.311737632503</v>
      </c>
      <c r="K18" s="175">
        <v>1.61610746759468</v>
      </c>
    </row>
    <row r="19" spans="2:11" ht="6.95" customHeight="1" x14ac:dyDescent="0.25">
      <c r="B19" s="61"/>
      <c r="C19" s="61"/>
      <c r="D19" s="176"/>
      <c r="E19" s="175"/>
      <c r="F19" s="176"/>
      <c r="G19" s="176"/>
      <c r="H19" s="175"/>
      <c r="I19" s="176"/>
      <c r="J19" s="176"/>
      <c r="K19" s="175"/>
    </row>
    <row r="20" spans="2:11" ht="30" customHeight="1" x14ac:dyDescent="0.25">
      <c r="B20" s="62" t="s">
        <v>17</v>
      </c>
      <c r="C20" s="62"/>
      <c r="D20" s="173">
        <v>933014.15695399803</v>
      </c>
      <c r="E20" s="174">
        <v>0.44523929388706102</v>
      </c>
      <c r="F20" s="173"/>
      <c r="G20" s="173">
        <v>764280.48149754305</v>
      </c>
      <c r="H20" s="174">
        <v>0.59808225379152102</v>
      </c>
      <c r="I20" s="173"/>
      <c r="J20" s="173">
        <v>700292.39882673195</v>
      </c>
      <c r="K20" s="174">
        <v>0.51221643858727495</v>
      </c>
    </row>
    <row r="21" spans="2:11" ht="6.95" customHeight="1" x14ac:dyDescent="0.25">
      <c r="B21" s="32"/>
      <c r="C21" s="32"/>
      <c r="D21" s="173"/>
      <c r="E21" s="177"/>
      <c r="F21" s="178"/>
      <c r="G21" s="173"/>
      <c r="H21" s="177"/>
      <c r="I21" s="177"/>
      <c r="J21" s="173"/>
      <c r="K21" s="177"/>
    </row>
    <row r="22" spans="2:11" x14ac:dyDescent="0.25">
      <c r="B22" s="100" t="s">
        <v>6</v>
      </c>
      <c r="C22" s="100"/>
      <c r="D22" s="173">
        <v>1202696.45731675</v>
      </c>
      <c r="E22" s="174">
        <v>0</v>
      </c>
      <c r="F22" s="173"/>
      <c r="G22" s="173">
        <v>732477.33212123101</v>
      </c>
      <c r="H22" s="174">
        <v>0</v>
      </c>
      <c r="I22" s="173"/>
      <c r="J22" s="173">
        <v>655788.85438650905</v>
      </c>
      <c r="K22" s="174">
        <v>0</v>
      </c>
    </row>
    <row r="23" spans="2:11" ht="6.95" customHeight="1" x14ac:dyDescent="0.25">
      <c r="B23" s="100"/>
      <c r="C23" s="100"/>
      <c r="D23" s="173"/>
      <c r="E23" s="175"/>
      <c r="F23" s="173"/>
      <c r="G23" s="173"/>
      <c r="H23" s="175"/>
      <c r="I23" s="176"/>
      <c r="J23" s="173"/>
      <c r="K23" s="175"/>
    </row>
    <row r="24" spans="2:11" ht="30" customHeight="1" x14ac:dyDescent="0.25">
      <c r="B24" s="60" t="s">
        <v>16</v>
      </c>
      <c r="C24" s="60"/>
      <c r="D24" s="173">
        <v>351899.56129438197</v>
      </c>
      <c r="E24" s="174">
        <v>1.03652768789373</v>
      </c>
      <c r="F24" s="173"/>
      <c r="G24" s="173">
        <v>242197.45105614301</v>
      </c>
      <c r="H24" s="174">
        <v>1.23709453584397</v>
      </c>
      <c r="I24" s="173"/>
      <c r="J24" s="173">
        <v>175026.739150724</v>
      </c>
      <c r="K24" s="174">
        <v>1.18154490782495</v>
      </c>
    </row>
    <row r="25" spans="2:11" ht="6.95" customHeight="1" x14ac:dyDescent="0.25">
      <c r="B25" s="60"/>
      <c r="C25" s="60"/>
      <c r="D25" s="173"/>
      <c r="E25" s="174"/>
      <c r="F25" s="173"/>
      <c r="G25" s="173"/>
      <c r="H25" s="174"/>
      <c r="I25" s="173"/>
      <c r="J25" s="173"/>
      <c r="K25" s="174"/>
    </row>
    <row r="26" spans="2:11" x14ac:dyDescent="0.25">
      <c r="B26" s="57" t="s">
        <v>61</v>
      </c>
      <c r="C26" s="57"/>
      <c r="D26" s="176">
        <v>174516.03021198299</v>
      </c>
      <c r="E26" s="175">
        <v>2.7334043899457199</v>
      </c>
      <c r="F26" s="173"/>
      <c r="G26" s="176">
        <v>107384.048364969</v>
      </c>
      <c r="H26" s="175">
        <v>3.0707366983006099</v>
      </c>
      <c r="I26" s="176"/>
      <c r="J26" s="176">
        <v>109371.720395551</v>
      </c>
      <c r="K26" s="175">
        <v>4.7748717675166903</v>
      </c>
    </row>
    <row r="27" spans="2:11" x14ac:dyDescent="0.25">
      <c r="B27" s="57" t="s">
        <v>62</v>
      </c>
      <c r="C27" s="57"/>
      <c r="D27" s="176">
        <v>239304.00563708699</v>
      </c>
      <c r="E27" s="175">
        <v>3.22759260592803</v>
      </c>
      <c r="F27" s="173"/>
      <c r="G27" s="176">
        <v>181087.467837384</v>
      </c>
      <c r="H27" s="175">
        <v>3.8519041416128301</v>
      </c>
      <c r="I27" s="176"/>
      <c r="J27" s="176">
        <v>120325.600008348</v>
      </c>
      <c r="K27" s="175">
        <v>4.7135181999226203</v>
      </c>
    </row>
    <row r="28" spans="2:11" x14ac:dyDescent="0.25">
      <c r="B28" s="57" t="s">
        <v>47</v>
      </c>
      <c r="C28" s="57"/>
      <c r="D28" s="176">
        <v>42483.701272370301</v>
      </c>
      <c r="E28" s="175">
        <v>0.92219504631114302</v>
      </c>
      <c r="F28" s="176"/>
      <c r="G28" s="176">
        <v>36904.904468105597</v>
      </c>
      <c r="H28" s="175">
        <v>1.2713729315583799</v>
      </c>
      <c r="I28" s="176"/>
      <c r="J28" s="176">
        <v>20505.3476358404</v>
      </c>
      <c r="K28" s="175">
        <v>1.1575262328445</v>
      </c>
    </row>
    <row r="29" spans="2:11" x14ac:dyDescent="0.25">
      <c r="B29" s="61" t="s">
        <v>63</v>
      </c>
      <c r="C29" s="61"/>
      <c r="D29" s="176">
        <v>92610.603154042503</v>
      </c>
      <c r="E29" s="175">
        <v>1.83448164288101</v>
      </c>
      <c r="F29" s="176"/>
      <c r="G29" s="176">
        <v>64700.218204779099</v>
      </c>
      <c r="H29" s="175">
        <v>2.1228655614632501</v>
      </c>
      <c r="I29" s="176"/>
      <c r="J29" s="176">
        <v>45330.1790170112</v>
      </c>
      <c r="K29" s="175">
        <v>2.42579789886413</v>
      </c>
    </row>
    <row r="30" spans="2:11" ht="6.95" customHeight="1" x14ac:dyDescent="0.25">
      <c r="B30" s="61"/>
      <c r="C30" s="61"/>
      <c r="D30" s="176"/>
      <c r="E30" s="175"/>
      <c r="F30" s="176"/>
      <c r="G30" s="176"/>
      <c r="H30" s="175"/>
      <c r="I30" s="176"/>
      <c r="J30" s="176"/>
      <c r="K30" s="175"/>
    </row>
    <row r="31" spans="2:11" ht="30" customHeight="1" x14ac:dyDescent="0.25">
      <c r="B31" s="62" t="s">
        <v>17</v>
      </c>
      <c r="C31" s="62"/>
      <c r="D31" s="173">
        <v>1080255.5588581201</v>
      </c>
      <c r="E31" s="174">
        <v>1.03652768789373</v>
      </c>
      <c r="F31" s="173"/>
      <c r="G31" s="173">
        <v>632384.98200795602</v>
      </c>
      <c r="H31" s="174">
        <v>1.23709453584397</v>
      </c>
      <c r="I31" s="173"/>
      <c r="J31" s="173">
        <v>605070.10037921497</v>
      </c>
      <c r="K31" s="174">
        <v>1.18154490782495</v>
      </c>
    </row>
    <row r="32" spans="2:11" ht="6.95" customHeight="1" x14ac:dyDescent="0.25">
      <c r="B32" s="101"/>
      <c r="C32" s="101"/>
      <c r="D32" s="173"/>
      <c r="E32" s="177"/>
      <c r="F32" s="178"/>
      <c r="G32" s="173"/>
      <c r="H32" s="177"/>
      <c r="I32" s="177"/>
      <c r="J32" s="173"/>
      <c r="K32" s="177"/>
    </row>
    <row r="33" spans="2:11" x14ac:dyDescent="0.25">
      <c r="B33" s="100" t="s">
        <v>7</v>
      </c>
      <c r="C33" s="100"/>
      <c r="D33" s="173">
        <v>1215345.35573305</v>
      </c>
      <c r="E33" s="174">
        <v>0</v>
      </c>
      <c r="F33" s="173"/>
      <c r="G33" s="173">
        <v>853166.62916364695</v>
      </c>
      <c r="H33" s="174">
        <v>0</v>
      </c>
      <c r="I33" s="173"/>
      <c r="J33" s="173">
        <v>704303.09797417896</v>
      </c>
      <c r="K33" s="174">
        <v>0</v>
      </c>
    </row>
    <row r="34" spans="2:11" ht="6.95" customHeight="1" x14ac:dyDescent="0.25">
      <c r="B34" s="100"/>
      <c r="C34" s="100"/>
      <c r="D34" s="173"/>
      <c r="E34" s="175"/>
      <c r="F34" s="173"/>
      <c r="G34" s="173"/>
      <c r="H34" s="175"/>
      <c r="I34" s="176"/>
      <c r="J34" s="173"/>
      <c r="K34" s="175"/>
    </row>
    <row r="35" spans="2:11" ht="30" customHeight="1" x14ac:dyDescent="0.25">
      <c r="B35" s="60" t="s">
        <v>16</v>
      </c>
      <c r="C35" s="60"/>
      <c r="D35" s="173">
        <v>253954.930464651</v>
      </c>
      <c r="E35" s="174">
        <v>0.4187670003108</v>
      </c>
      <c r="F35" s="173"/>
      <c r="G35" s="173">
        <v>192868.14865026899</v>
      </c>
      <c r="H35" s="174">
        <v>0.62340264933282596</v>
      </c>
      <c r="I35" s="173"/>
      <c r="J35" s="173">
        <v>134110.075262194</v>
      </c>
      <c r="K35" s="174">
        <v>0.484076721331894</v>
      </c>
    </row>
    <row r="36" spans="2:11" ht="6.95" customHeight="1" x14ac:dyDescent="0.25">
      <c r="B36" s="60"/>
      <c r="C36" s="60"/>
      <c r="D36" s="173"/>
      <c r="E36" s="174"/>
      <c r="F36" s="173"/>
      <c r="G36" s="173"/>
      <c r="H36" s="174"/>
      <c r="I36" s="173"/>
      <c r="J36" s="173"/>
      <c r="K36" s="174"/>
    </row>
    <row r="37" spans="2:11" x14ac:dyDescent="0.25">
      <c r="B37" s="57" t="s">
        <v>61</v>
      </c>
      <c r="C37" s="57"/>
      <c r="D37" s="176">
        <v>139749.20989350299</v>
      </c>
      <c r="E37" s="175">
        <v>2.5572132181343799</v>
      </c>
      <c r="F37" s="173"/>
      <c r="G37" s="176">
        <v>118512.56773883601</v>
      </c>
      <c r="H37" s="175">
        <v>3.2982328566185299</v>
      </c>
      <c r="I37" s="176"/>
      <c r="J37" s="176">
        <v>66671.377225563207</v>
      </c>
      <c r="K37" s="175">
        <v>3.5005336087268901</v>
      </c>
    </row>
    <row r="38" spans="2:11" x14ac:dyDescent="0.25">
      <c r="B38" s="57" t="s">
        <v>62</v>
      </c>
      <c r="C38" s="57"/>
      <c r="D38" s="176">
        <v>189285.16270096201</v>
      </c>
      <c r="E38" s="175">
        <v>2.7421764640704001</v>
      </c>
      <c r="F38" s="173"/>
      <c r="G38" s="176">
        <v>135879.05701947599</v>
      </c>
      <c r="H38" s="175">
        <v>3.3271337056410601</v>
      </c>
      <c r="I38" s="176"/>
      <c r="J38" s="176">
        <v>102946.629761273</v>
      </c>
      <c r="K38" s="175">
        <v>4.0014811081046204</v>
      </c>
    </row>
    <row r="39" spans="2:11" x14ac:dyDescent="0.25">
      <c r="B39" s="57" t="s">
        <v>47</v>
      </c>
      <c r="C39" s="57"/>
      <c r="D39" s="176">
        <v>36823.704461684101</v>
      </c>
      <c r="E39" s="175">
        <v>0.84700878590806505</v>
      </c>
      <c r="F39" s="176"/>
      <c r="G39" s="176">
        <v>19286.797602594401</v>
      </c>
      <c r="H39" s="175">
        <v>0.72302257683457805</v>
      </c>
      <c r="I39" s="176"/>
      <c r="J39" s="176">
        <v>31490.936181367299</v>
      </c>
      <c r="K39" s="175">
        <v>1.8228846850486999</v>
      </c>
    </row>
    <row r="40" spans="2:11" x14ac:dyDescent="0.25">
      <c r="B40" s="61" t="s">
        <v>63</v>
      </c>
      <c r="C40" s="61"/>
      <c r="D40" s="176">
        <v>57653.1031562141</v>
      </c>
      <c r="E40" s="175">
        <v>1.30387104988289</v>
      </c>
      <c r="F40" s="176"/>
      <c r="G40" s="176">
        <v>44699.998579401203</v>
      </c>
      <c r="H40" s="175">
        <v>1.63739597098408</v>
      </c>
      <c r="I40" s="176"/>
      <c r="J40" s="176">
        <v>36757.7453853388</v>
      </c>
      <c r="K40" s="175">
        <v>2.1311347548736101</v>
      </c>
    </row>
    <row r="41" spans="2:11" ht="6.95" customHeight="1" x14ac:dyDescent="0.25">
      <c r="B41" s="61"/>
      <c r="C41" s="61"/>
      <c r="D41" s="176"/>
      <c r="E41" s="175"/>
      <c r="F41" s="176"/>
      <c r="G41" s="176"/>
      <c r="H41" s="175"/>
      <c r="I41" s="176"/>
      <c r="J41" s="176"/>
      <c r="K41" s="175"/>
    </row>
    <row r="42" spans="2:11" ht="30" customHeight="1" x14ac:dyDescent="0.25">
      <c r="B42" s="62" t="s">
        <v>17</v>
      </c>
      <c r="C42" s="62"/>
      <c r="D42" s="173">
        <v>1150240.1552138799</v>
      </c>
      <c r="E42" s="174">
        <v>0.4187670003108</v>
      </c>
      <c r="F42" s="173"/>
      <c r="G42" s="173">
        <v>823780.28097685799</v>
      </c>
      <c r="H42" s="174">
        <v>0.62340264933282596</v>
      </c>
      <c r="I42" s="173"/>
      <c r="J42" s="173">
        <v>678444.54780143802</v>
      </c>
      <c r="K42" s="174">
        <v>0.484076721331894</v>
      </c>
    </row>
    <row r="43" spans="2:11" ht="6.95" customHeight="1" x14ac:dyDescent="0.25">
      <c r="B43" s="33"/>
      <c r="C43" s="33"/>
      <c r="D43" s="126"/>
      <c r="E43" s="34"/>
      <c r="F43" s="34"/>
      <c r="G43" s="126"/>
      <c r="H43" s="33"/>
      <c r="I43" s="33"/>
      <c r="J43" s="132"/>
      <c r="K43" s="35"/>
    </row>
    <row r="44" spans="2:11" ht="6.95" customHeight="1" x14ac:dyDescent="0.25">
      <c r="B44" s="31"/>
      <c r="C44" s="31"/>
      <c r="D44" s="127"/>
      <c r="E44" s="37"/>
      <c r="F44" s="37"/>
      <c r="G44" s="127"/>
      <c r="H44" s="31"/>
      <c r="I44" s="31"/>
      <c r="J44" s="131"/>
      <c r="K44" s="30"/>
    </row>
    <row r="45" spans="2:11" ht="12" customHeight="1" x14ac:dyDescent="0.25">
      <c r="B45" s="88" t="s">
        <v>34</v>
      </c>
      <c r="C45" s="88"/>
      <c r="D45" s="127"/>
      <c r="E45" s="37"/>
      <c r="F45" s="37"/>
      <c r="G45" s="127"/>
      <c r="H45" s="31"/>
      <c r="I45" s="31"/>
      <c r="J45" s="131"/>
      <c r="K45" s="30"/>
    </row>
    <row r="46" spans="2:11" ht="12" customHeight="1" x14ac:dyDescent="0.25">
      <c r="B46" s="210" t="s">
        <v>65</v>
      </c>
      <c r="C46" s="210"/>
      <c r="D46" s="210"/>
      <c r="E46" s="210"/>
      <c r="F46" s="210"/>
      <c r="G46" s="210"/>
    </row>
  </sheetData>
  <mergeCells count="7">
    <mergeCell ref="B46:G46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17641C3F-0B9A-4A4F-9900-30AF6D06ED6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39D8-BE89-4D9C-8E5D-B76A539F928A}">
  <dimension ref="B1:AL39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28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  <col min="12" max="12" width="1.7109375" customWidth="1"/>
    <col min="13" max="13" width="15.7109375" style="107" customWidth="1"/>
    <col min="14" max="14" width="15.7109375" customWidth="1"/>
    <col min="15" max="15" width="1.7109375" customWidth="1"/>
    <col min="16" max="16" width="15.7109375" style="107" customWidth="1"/>
    <col min="17" max="17" width="15.7109375" customWidth="1"/>
    <col min="18" max="18" width="1.7109375" customWidth="1"/>
    <col min="19" max="19" width="15.7109375" style="107" customWidth="1"/>
    <col min="20" max="20" width="15.7109375" customWidth="1"/>
    <col min="21" max="21" width="1.7109375" customWidth="1"/>
    <col min="22" max="22" width="15.7109375" style="107" customWidth="1"/>
    <col min="23" max="23" width="15.7109375" customWidth="1"/>
    <col min="24" max="24" width="1.7109375" customWidth="1"/>
    <col min="25" max="25" width="15.7109375" style="107" customWidth="1"/>
    <col min="26" max="26" width="15.7109375" customWidth="1"/>
    <col min="27" max="27" width="1.7109375" customWidth="1"/>
    <col min="28" max="28" width="15.7109375" style="107" customWidth="1"/>
    <col min="29" max="29" width="15.7109375" customWidth="1"/>
    <col min="30" max="30" width="1.7109375" customWidth="1"/>
    <col min="31" max="31" width="15.7109375" style="107" customWidth="1"/>
    <col min="32" max="32" width="15.7109375" customWidth="1"/>
    <col min="33" max="33" width="1.7109375" customWidth="1"/>
    <col min="34" max="34" width="15.7109375" style="107" customWidth="1"/>
    <col min="35" max="35" width="15.7109375" customWidth="1"/>
    <col min="36" max="36" width="1.7109375" customWidth="1"/>
    <col min="37" max="37" width="15.7109375" style="107" customWidth="1"/>
    <col min="38" max="38" width="15.7109375" customWidth="1"/>
  </cols>
  <sheetData>
    <row r="1" spans="2:38" x14ac:dyDescent="0.25">
      <c r="B1" s="229" t="s">
        <v>89</v>
      </c>
      <c r="C1" s="41"/>
      <c r="AL1" s="50" t="s">
        <v>27</v>
      </c>
    </row>
    <row r="2" spans="2:38" ht="6.95" customHeight="1" x14ac:dyDescent="0.25"/>
    <row r="3" spans="2:38" x14ac:dyDescent="0.25">
      <c r="B3" s="41" t="s">
        <v>87</v>
      </c>
      <c r="K3" s="65"/>
    </row>
    <row r="4" spans="2:38" ht="6.95" customHeight="1" x14ac:dyDescent="0.25">
      <c r="B4" s="1"/>
      <c r="C4" s="1"/>
      <c r="D4" s="108"/>
      <c r="E4" s="1"/>
      <c r="F4" s="1"/>
      <c r="G4" s="108"/>
      <c r="H4" s="1"/>
      <c r="I4" s="1"/>
      <c r="J4" s="115"/>
      <c r="K4" s="2"/>
      <c r="L4" s="2"/>
      <c r="M4" s="118"/>
      <c r="N4" s="3"/>
      <c r="O4" s="3"/>
    </row>
    <row r="5" spans="2:38" x14ac:dyDescent="0.25">
      <c r="B5" s="42" t="s">
        <v>76</v>
      </c>
      <c r="C5" s="66"/>
      <c r="D5" s="108"/>
      <c r="E5" s="1"/>
      <c r="F5" s="1"/>
      <c r="G5" s="108"/>
      <c r="H5" s="1"/>
      <c r="I5" s="1"/>
      <c r="J5" s="108"/>
      <c r="K5" s="1"/>
      <c r="L5" s="1"/>
      <c r="M5" s="118"/>
      <c r="N5" s="3"/>
      <c r="O5" s="3"/>
      <c r="AL5" s="52" t="s">
        <v>15</v>
      </c>
    </row>
    <row r="6" spans="2:38" ht="6.95" customHeight="1" x14ac:dyDescent="0.25">
      <c r="B6" s="4"/>
      <c r="C6" s="4"/>
      <c r="D6" s="109"/>
      <c r="E6" s="5"/>
      <c r="F6" s="5"/>
      <c r="G6" s="109"/>
      <c r="H6" s="5"/>
      <c r="I6" s="5"/>
      <c r="J6" s="117"/>
      <c r="K6" s="6"/>
      <c r="L6" s="6"/>
      <c r="M6" s="118"/>
      <c r="N6" s="3"/>
      <c r="O6" s="3"/>
    </row>
    <row r="7" spans="2:38" ht="15" customHeight="1" x14ac:dyDescent="0.25">
      <c r="B7" s="224" t="s">
        <v>40</v>
      </c>
      <c r="C7" s="169"/>
      <c r="D7" s="225" t="s">
        <v>23</v>
      </c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170"/>
      <c r="P7" s="225" t="s">
        <v>4</v>
      </c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170"/>
      <c r="AB7" s="225" t="s">
        <v>5</v>
      </c>
      <c r="AC7" s="225"/>
      <c r="AD7" s="225"/>
      <c r="AE7" s="225"/>
      <c r="AF7" s="225"/>
      <c r="AG7" s="225"/>
      <c r="AH7" s="225"/>
      <c r="AI7" s="225"/>
      <c r="AJ7" s="225"/>
      <c r="AK7" s="225"/>
      <c r="AL7" s="225"/>
    </row>
    <row r="8" spans="2:38" ht="15" customHeight="1" x14ac:dyDescent="0.25">
      <c r="B8" s="212"/>
      <c r="C8" s="39"/>
      <c r="D8" s="226" t="s">
        <v>19</v>
      </c>
      <c r="E8" s="226"/>
      <c r="F8" s="171"/>
      <c r="G8" s="222" t="s">
        <v>20</v>
      </c>
      <c r="H8" s="222"/>
      <c r="I8" s="222"/>
      <c r="J8" s="222"/>
      <c r="K8" s="222"/>
      <c r="L8" s="222"/>
      <c r="M8" s="222"/>
      <c r="N8" s="222"/>
      <c r="O8" s="63"/>
      <c r="P8" s="226" t="s">
        <v>19</v>
      </c>
      <c r="Q8" s="226"/>
      <c r="R8" s="171"/>
      <c r="S8" s="222" t="s">
        <v>20</v>
      </c>
      <c r="T8" s="222"/>
      <c r="U8" s="222"/>
      <c r="V8" s="227"/>
      <c r="W8" s="227"/>
      <c r="X8" s="227"/>
      <c r="Y8" s="227"/>
      <c r="Z8" s="227"/>
      <c r="AA8" s="2"/>
      <c r="AB8" s="226" t="s">
        <v>19</v>
      </c>
      <c r="AC8" s="226"/>
      <c r="AD8" s="171"/>
      <c r="AE8" s="222" t="s">
        <v>20</v>
      </c>
      <c r="AF8" s="222"/>
      <c r="AG8" s="222"/>
      <c r="AH8" s="227"/>
      <c r="AI8" s="227"/>
      <c r="AJ8" s="228"/>
      <c r="AK8" s="227"/>
      <c r="AL8" s="227"/>
    </row>
    <row r="9" spans="2:38" ht="30" customHeight="1" x14ac:dyDescent="0.25">
      <c r="B9" s="212"/>
      <c r="C9" s="39"/>
      <c r="D9" s="207"/>
      <c r="E9" s="207"/>
      <c r="F9" s="97"/>
      <c r="G9" s="222" t="s">
        <v>18</v>
      </c>
      <c r="H9" s="222"/>
      <c r="I9" s="171"/>
      <c r="J9" s="207" t="s">
        <v>42</v>
      </c>
      <c r="K9" s="207"/>
      <c r="L9" s="171"/>
      <c r="M9" s="223" t="s">
        <v>10</v>
      </c>
      <c r="N9" s="223"/>
      <c r="O9" s="63"/>
      <c r="P9" s="207"/>
      <c r="Q9" s="207"/>
      <c r="R9" s="96"/>
      <c r="S9" s="222" t="s">
        <v>18</v>
      </c>
      <c r="T9" s="222"/>
      <c r="U9" s="171"/>
      <c r="V9" s="207" t="s">
        <v>42</v>
      </c>
      <c r="W9" s="207"/>
      <c r="X9" s="172"/>
      <c r="Y9" s="222" t="s">
        <v>10</v>
      </c>
      <c r="Z9" s="222"/>
      <c r="AA9" s="99"/>
      <c r="AB9" s="207"/>
      <c r="AC9" s="207"/>
      <c r="AD9" s="96"/>
      <c r="AE9" s="222" t="s">
        <v>18</v>
      </c>
      <c r="AF9" s="222"/>
      <c r="AG9" s="171"/>
      <c r="AH9" s="207" t="s">
        <v>42</v>
      </c>
      <c r="AI9" s="207"/>
      <c r="AJ9" s="171"/>
      <c r="AK9" s="222" t="s">
        <v>10</v>
      </c>
      <c r="AL9" s="222"/>
    </row>
    <row r="10" spans="2:38" x14ac:dyDescent="0.25">
      <c r="B10" s="213"/>
      <c r="C10" s="91"/>
      <c r="D10" s="110" t="s">
        <v>25</v>
      </c>
      <c r="E10" s="44" t="s">
        <v>26</v>
      </c>
      <c r="F10" s="96"/>
      <c r="G10" s="110" t="s">
        <v>25</v>
      </c>
      <c r="H10" s="44" t="s">
        <v>26</v>
      </c>
      <c r="I10" s="13"/>
      <c r="J10" s="110" t="s">
        <v>25</v>
      </c>
      <c r="K10" s="44" t="s">
        <v>26</v>
      </c>
      <c r="L10" s="64"/>
      <c r="M10" s="110" t="s">
        <v>25</v>
      </c>
      <c r="N10" s="44" t="s">
        <v>26</v>
      </c>
      <c r="O10" s="64"/>
      <c r="P10" s="110" t="s">
        <v>25</v>
      </c>
      <c r="Q10" s="44" t="s">
        <v>26</v>
      </c>
      <c r="R10" s="23"/>
      <c r="S10" s="110" t="s">
        <v>25</v>
      </c>
      <c r="T10" s="44" t="s">
        <v>26</v>
      </c>
      <c r="U10" s="23"/>
      <c r="V10" s="110" t="s">
        <v>25</v>
      </c>
      <c r="W10" s="44" t="s">
        <v>26</v>
      </c>
      <c r="X10" s="44"/>
      <c r="Y10" s="110" t="s">
        <v>25</v>
      </c>
      <c r="Z10" s="44" t="s">
        <v>26</v>
      </c>
      <c r="AA10" s="23"/>
      <c r="AB10" s="110" t="s">
        <v>25</v>
      </c>
      <c r="AC10" s="44" t="s">
        <v>26</v>
      </c>
      <c r="AD10" s="23"/>
      <c r="AE10" s="110" t="s">
        <v>25</v>
      </c>
      <c r="AF10" s="44" t="s">
        <v>26</v>
      </c>
      <c r="AG10" s="23"/>
      <c r="AH10" s="110" t="s">
        <v>25</v>
      </c>
      <c r="AI10" s="44" t="s">
        <v>26</v>
      </c>
      <c r="AJ10" s="23"/>
      <c r="AK10" s="110" t="s">
        <v>25</v>
      </c>
      <c r="AL10" s="44" t="s">
        <v>26</v>
      </c>
    </row>
    <row r="11" spans="2:38" ht="6.95" customHeight="1" x14ac:dyDescent="0.25">
      <c r="B11" s="39"/>
      <c r="C11" s="39"/>
      <c r="D11" s="134"/>
      <c r="E11" s="97"/>
      <c r="F11" s="97"/>
      <c r="G11" s="116"/>
      <c r="H11" s="47"/>
      <c r="I11" s="70"/>
      <c r="J11" s="116"/>
      <c r="K11" s="47"/>
      <c r="L11" s="71"/>
      <c r="M11" s="116"/>
      <c r="N11" s="47"/>
      <c r="O11" s="71"/>
      <c r="P11" s="138"/>
      <c r="Q11" s="69"/>
      <c r="R11" s="69"/>
      <c r="S11" s="116"/>
      <c r="T11" s="47"/>
      <c r="U11" s="69"/>
      <c r="V11" s="116"/>
      <c r="W11" s="47"/>
      <c r="X11" s="47"/>
      <c r="Y11" s="116"/>
      <c r="Z11" s="47"/>
      <c r="AA11" s="69"/>
      <c r="AB11" s="138"/>
      <c r="AC11" s="69"/>
      <c r="AD11" s="69"/>
      <c r="AE11" s="116"/>
      <c r="AF11" s="47"/>
      <c r="AG11" s="69"/>
      <c r="AH11" s="116"/>
      <c r="AI11" s="47"/>
      <c r="AJ11" s="69"/>
      <c r="AK11" s="116"/>
      <c r="AL11" s="47"/>
    </row>
    <row r="12" spans="2:38" ht="15" customHeight="1" x14ac:dyDescent="0.25">
      <c r="B12" s="9" t="s">
        <v>1</v>
      </c>
      <c r="C12" s="9"/>
      <c r="D12" s="173">
        <v>940724.76979118201</v>
      </c>
      <c r="E12" s="174">
        <v>0</v>
      </c>
      <c r="F12" s="173"/>
      <c r="G12" s="173">
        <v>537690.793177568</v>
      </c>
      <c r="H12" s="174">
        <v>0.62399576203884399</v>
      </c>
      <c r="I12" s="173"/>
      <c r="J12" s="173">
        <v>637533.04938943102</v>
      </c>
      <c r="K12" s="174">
        <v>0.69358534142435202</v>
      </c>
      <c r="L12" s="173"/>
      <c r="M12" s="173">
        <v>942653.68822256697</v>
      </c>
      <c r="N12" s="174">
        <v>0.27523859058298</v>
      </c>
      <c r="O12" s="173"/>
      <c r="P12" s="173">
        <v>790274.85617909802</v>
      </c>
      <c r="Q12" s="174">
        <v>0</v>
      </c>
      <c r="R12" s="173"/>
      <c r="S12" s="173">
        <v>377735.01320112398</v>
      </c>
      <c r="T12" s="174">
        <v>0.77720023845580499</v>
      </c>
      <c r="U12" s="173"/>
      <c r="V12" s="173">
        <v>446522.203526931</v>
      </c>
      <c r="W12" s="174">
        <v>0.87711215380026697</v>
      </c>
      <c r="X12" s="173"/>
      <c r="Y12" s="173">
        <v>772976.78011535003</v>
      </c>
      <c r="Z12" s="174">
        <v>0.37833632352888602</v>
      </c>
      <c r="AA12" s="173"/>
      <c r="AB12" s="173">
        <v>719306.42915879702</v>
      </c>
      <c r="AC12" s="174">
        <v>0</v>
      </c>
      <c r="AD12" s="173"/>
      <c r="AE12" s="173">
        <v>393497.31277387799</v>
      </c>
      <c r="AF12" s="174">
        <v>0.90029710798733398</v>
      </c>
      <c r="AG12" s="173"/>
      <c r="AH12" s="173">
        <v>462032.22353018401</v>
      </c>
      <c r="AI12" s="174">
        <v>0.966166397633068</v>
      </c>
      <c r="AJ12" s="173"/>
      <c r="AK12" s="173">
        <v>704490.45671801898</v>
      </c>
      <c r="AL12" s="174">
        <v>0.38409534741294499</v>
      </c>
    </row>
    <row r="13" spans="2:38" ht="6.95" customHeight="1" x14ac:dyDescent="0.25">
      <c r="B13" s="10"/>
      <c r="C13" s="10"/>
      <c r="D13" s="173"/>
      <c r="E13" s="175"/>
      <c r="F13" s="173"/>
      <c r="G13" s="173"/>
      <c r="H13" s="175"/>
      <c r="I13" s="176"/>
      <c r="J13" s="173"/>
      <c r="K13" s="175"/>
      <c r="L13" s="173"/>
      <c r="M13" s="173"/>
      <c r="N13" s="175"/>
      <c r="O13" s="176"/>
      <c r="P13" s="173"/>
      <c r="Q13" s="175"/>
      <c r="R13" s="173"/>
      <c r="S13" s="173"/>
      <c r="T13" s="175"/>
      <c r="U13" s="176"/>
      <c r="V13" s="173"/>
      <c r="W13" s="175"/>
      <c r="X13" s="173"/>
      <c r="Y13" s="173"/>
      <c r="Z13" s="175"/>
      <c r="AA13" s="173"/>
      <c r="AB13" s="173"/>
      <c r="AC13" s="175"/>
      <c r="AD13" s="173"/>
      <c r="AE13" s="173"/>
      <c r="AF13" s="175"/>
      <c r="AG13" s="176"/>
      <c r="AH13" s="173"/>
      <c r="AI13" s="175"/>
      <c r="AJ13" s="173"/>
      <c r="AK13" s="173"/>
      <c r="AL13" s="175"/>
    </row>
    <row r="14" spans="2:38" ht="30" customHeight="1" x14ac:dyDescent="0.25">
      <c r="B14" s="49" t="s">
        <v>69</v>
      </c>
      <c r="C14" s="67"/>
      <c r="D14" s="176">
        <v>918412.78694678098</v>
      </c>
      <c r="E14" s="175">
        <v>0.31653642359837703</v>
      </c>
      <c r="F14" s="176"/>
      <c r="G14" s="176">
        <v>213846.94177845999</v>
      </c>
      <c r="H14" s="175">
        <v>0.26164476361232702</v>
      </c>
      <c r="I14" s="176"/>
      <c r="J14" s="176">
        <v>349264.53212445101</v>
      </c>
      <c r="K14" s="175">
        <v>0.42857979614785702</v>
      </c>
      <c r="L14" s="176"/>
      <c r="M14" s="176">
        <v>924427.93853829603</v>
      </c>
      <c r="N14" s="175">
        <v>0.26400484268846802</v>
      </c>
      <c r="O14" s="176"/>
      <c r="P14" s="176">
        <v>767426.29316813196</v>
      </c>
      <c r="Q14" s="175">
        <v>0.36520121788899301</v>
      </c>
      <c r="R14" s="176"/>
      <c r="S14" s="176">
        <v>140895.950105722</v>
      </c>
      <c r="T14" s="175">
        <v>0.31348825509578199</v>
      </c>
      <c r="U14" s="176"/>
      <c r="V14" s="176">
        <v>220747.82993527601</v>
      </c>
      <c r="W14" s="175">
        <v>0.48813955778251999</v>
      </c>
      <c r="X14" s="176"/>
      <c r="Y14" s="176">
        <v>753592.29995750904</v>
      </c>
      <c r="Z14" s="175">
        <v>0.32800060940874498</v>
      </c>
      <c r="AA14" s="176"/>
      <c r="AB14" s="176">
        <v>696785.16685276001</v>
      </c>
      <c r="AC14" s="175">
        <v>0.51911649587639996</v>
      </c>
      <c r="AD14" s="176"/>
      <c r="AE14" s="176">
        <v>154888.534090403</v>
      </c>
      <c r="AF14" s="175">
        <v>0.41262571900606998</v>
      </c>
      <c r="AG14" s="176"/>
      <c r="AH14" s="176">
        <v>267657.55187387799</v>
      </c>
      <c r="AI14" s="175">
        <v>0.676608148757323</v>
      </c>
      <c r="AJ14" s="176"/>
      <c r="AK14" s="176">
        <v>696450.30175304494</v>
      </c>
      <c r="AL14" s="175">
        <v>0.408466665581319</v>
      </c>
    </row>
    <row r="15" spans="2:38" ht="45" customHeight="1" x14ac:dyDescent="0.25">
      <c r="B15" s="49" t="s">
        <v>70</v>
      </c>
      <c r="C15" s="49"/>
      <c r="D15" s="176">
        <v>896571.47020990599</v>
      </c>
      <c r="E15" s="175">
        <v>0.642799729564279</v>
      </c>
      <c r="F15" s="176"/>
      <c r="G15" s="176">
        <v>198425.82345221599</v>
      </c>
      <c r="H15" s="175">
        <v>0.27865307509571102</v>
      </c>
      <c r="I15" s="176"/>
      <c r="J15" s="176">
        <v>603037.00923271698</v>
      </c>
      <c r="K15" s="175">
        <v>0.72922606332116802</v>
      </c>
      <c r="L15" s="176"/>
      <c r="M15" s="176">
        <v>889120.96965629503</v>
      </c>
      <c r="N15" s="175">
        <v>0.57443109369265999</v>
      </c>
      <c r="O15" s="176"/>
      <c r="P15" s="176">
        <v>708257.91963451996</v>
      </c>
      <c r="Q15" s="175">
        <v>0.81218572718764304</v>
      </c>
      <c r="R15" s="176"/>
      <c r="S15" s="176">
        <v>160654.64195826501</v>
      </c>
      <c r="T15" s="175">
        <v>0.41358212148059198</v>
      </c>
      <c r="U15" s="176"/>
      <c r="V15" s="176">
        <v>418897.53174924699</v>
      </c>
      <c r="W15" s="175">
        <v>0.97266070907315305</v>
      </c>
      <c r="X15" s="176"/>
      <c r="Y15" s="176">
        <v>665181.44834802998</v>
      </c>
      <c r="Z15" s="175">
        <v>0.69182187817826402</v>
      </c>
      <c r="AA15" s="176"/>
      <c r="AB15" s="176">
        <v>674982.78357848094</v>
      </c>
      <c r="AC15" s="175">
        <v>0.89074193754942699</v>
      </c>
      <c r="AD15" s="176"/>
      <c r="AE15" s="176">
        <v>120703.685276367</v>
      </c>
      <c r="AF15" s="175">
        <v>0.367217512723997</v>
      </c>
      <c r="AG15" s="176"/>
      <c r="AH15" s="176">
        <v>434759.40388961899</v>
      </c>
      <c r="AI15" s="175">
        <v>1.0783956252657501</v>
      </c>
      <c r="AJ15" s="176"/>
      <c r="AK15" s="176">
        <v>649188.44947186694</v>
      </c>
      <c r="AL15" s="175">
        <v>0.83170550891162698</v>
      </c>
    </row>
    <row r="16" spans="2:38" ht="45" customHeight="1" x14ac:dyDescent="0.25">
      <c r="B16" s="49" t="s">
        <v>11</v>
      </c>
      <c r="C16" s="49"/>
      <c r="D16" s="176">
        <v>850135.16967442306</v>
      </c>
      <c r="E16" s="175">
        <v>0.72395417466691603</v>
      </c>
      <c r="F16" s="176"/>
      <c r="G16" s="176">
        <v>341818.16988492798</v>
      </c>
      <c r="H16" s="175">
        <v>0.53294345765104001</v>
      </c>
      <c r="I16" s="176"/>
      <c r="J16" s="176">
        <v>362942.21784162603</v>
      </c>
      <c r="K16" s="175">
        <v>0.574970251359332</v>
      </c>
      <c r="L16" s="176"/>
      <c r="M16" s="176">
        <v>829406.86303022201</v>
      </c>
      <c r="N16" s="175">
        <v>0.57242909615694404</v>
      </c>
      <c r="O16" s="176"/>
      <c r="P16" s="176">
        <v>664536.35247829696</v>
      </c>
      <c r="Q16" s="175">
        <v>0.91323820826628699</v>
      </c>
      <c r="R16" s="176"/>
      <c r="S16" s="176">
        <v>234850.106860787</v>
      </c>
      <c r="T16" s="175">
        <v>0.67813765763049805</v>
      </c>
      <c r="U16" s="176"/>
      <c r="V16" s="176">
        <v>226662.16601403299</v>
      </c>
      <c r="W16" s="175">
        <v>0.66157732445881201</v>
      </c>
      <c r="X16" s="176"/>
      <c r="Y16" s="176">
        <v>610185.44057801098</v>
      </c>
      <c r="Z16" s="175">
        <v>0.71853957256485301</v>
      </c>
      <c r="AA16" s="176"/>
      <c r="AB16" s="176">
        <v>617272.31962068903</v>
      </c>
      <c r="AC16" s="175">
        <v>0.99701140404259303</v>
      </c>
      <c r="AD16" s="176"/>
      <c r="AE16" s="176">
        <v>253703.74041733699</v>
      </c>
      <c r="AF16" s="175">
        <v>0.80460125909756697</v>
      </c>
      <c r="AG16" s="176"/>
      <c r="AH16" s="176">
        <v>291686.782067956</v>
      </c>
      <c r="AI16" s="175">
        <v>0.931799532783958</v>
      </c>
      <c r="AJ16" s="176"/>
      <c r="AK16" s="176">
        <v>578722.36814111797</v>
      </c>
      <c r="AL16" s="175">
        <v>0.82622749256205197</v>
      </c>
    </row>
    <row r="17" spans="2:38" ht="45" customHeight="1" x14ac:dyDescent="0.25">
      <c r="B17" s="49" t="s">
        <v>41</v>
      </c>
      <c r="C17" s="49"/>
      <c r="D17" s="176">
        <v>894317.16568145505</v>
      </c>
      <c r="E17" s="175">
        <v>0.80053659714793302</v>
      </c>
      <c r="F17" s="176"/>
      <c r="G17" s="176">
        <v>334349.511870238</v>
      </c>
      <c r="H17" s="175">
        <v>0.56935633056516299</v>
      </c>
      <c r="I17" s="176"/>
      <c r="J17" s="176">
        <v>313322.56253460801</v>
      </c>
      <c r="K17" s="175">
        <v>0.53455679606372697</v>
      </c>
      <c r="L17" s="176"/>
      <c r="M17" s="176">
        <v>881882.63643498102</v>
      </c>
      <c r="N17" s="175">
        <v>0.44429930631009701</v>
      </c>
      <c r="O17" s="176"/>
      <c r="P17" s="176">
        <v>677072.17384233396</v>
      </c>
      <c r="Q17" s="175">
        <v>0.92049721169931098</v>
      </c>
      <c r="R17" s="176"/>
      <c r="S17" s="176">
        <v>206713.85655764301</v>
      </c>
      <c r="T17" s="175">
        <v>0.631574410480639</v>
      </c>
      <c r="U17" s="176"/>
      <c r="V17" s="176">
        <v>203339.28726830299</v>
      </c>
      <c r="W17" s="175">
        <v>0.61853992765824894</v>
      </c>
      <c r="X17" s="176"/>
      <c r="Y17" s="176">
        <v>662536.47363563802</v>
      </c>
      <c r="Z17" s="175">
        <v>0.51574834122919899</v>
      </c>
      <c r="AA17" s="176"/>
      <c r="AB17" s="176">
        <v>608240.43226129306</v>
      </c>
      <c r="AC17" s="175">
        <v>1.1263767282589801</v>
      </c>
      <c r="AD17" s="176"/>
      <c r="AE17" s="176">
        <v>230152.37628310299</v>
      </c>
      <c r="AF17" s="175">
        <v>0.88427355886623804</v>
      </c>
      <c r="AG17" s="176"/>
      <c r="AH17" s="176">
        <v>211965.90450583899</v>
      </c>
      <c r="AI17" s="175">
        <v>0.805958325528907</v>
      </c>
      <c r="AJ17" s="176"/>
      <c r="AK17" s="176">
        <v>589080.69151752302</v>
      </c>
      <c r="AL17" s="175">
        <v>0.70231194559708299</v>
      </c>
    </row>
    <row r="18" spans="2:38" ht="45" customHeight="1" x14ac:dyDescent="0.25">
      <c r="B18" s="49" t="s">
        <v>71</v>
      </c>
      <c r="C18" s="49"/>
      <c r="D18" s="176">
        <v>580628.08758831199</v>
      </c>
      <c r="E18" s="175">
        <v>0.65402497489974798</v>
      </c>
      <c r="F18" s="176"/>
      <c r="G18" s="176">
        <v>462972.24068422202</v>
      </c>
      <c r="H18" s="175">
        <v>1.2096773574028299</v>
      </c>
      <c r="I18" s="176"/>
      <c r="J18" s="176">
        <v>343838.59151774697</v>
      </c>
      <c r="K18" s="175">
        <v>1.18805057437118</v>
      </c>
      <c r="L18" s="176"/>
      <c r="M18" s="176">
        <v>337239.535806745</v>
      </c>
      <c r="N18" s="175">
        <v>1.18525010917865</v>
      </c>
      <c r="O18" s="176"/>
      <c r="P18" s="176">
        <v>387186.94598581002</v>
      </c>
      <c r="Q18" s="175">
        <v>0.76872629649318702</v>
      </c>
      <c r="R18" s="176"/>
      <c r="S18" s="176">
        <v>326652.940068739</v>
      </c>
      <c r="T18" s="175">
        <v>1.6911061548258099</v>
      </c>
      <c r="U18" s="176"/>
      <c r="V18" s="176">
        <v>233683.62742099201</v>
      </c>
      <c r="W18" s="175">
        <v>1.63039685010574</v>
      </c>
      <c r="X18" s="176"/>
      <c r="Y18" s="176">
        <v>206340.109931329</v>
      </c>
      <c r="Z18" s="175">
        <v>1.52210871344635</v>
      </c>
      <c r="AA18" s="176"/>
      <c r="AB18" s="176">
        <v>432026.43623370799</v>
      </c>
      <c r="AC18" s="175">
        <v>0.95928653800294905</v>
      </c>
      <c r="AD18" s="176"/>
      <c r="AE18" s="176">
        <v>329687.49368362699</v>
      </c>
      <c r="AF18" s="175">
        <v>1.7464070845069799</v>
      </c>
      <c r="AG18" s="176"/>
      <c r="AH18" s="176">
        <v>255038.858074018</v>
      </c>
      <c r="AI18" s="175">
        <v>1.7111364666671101</v>
      </c>
      <c r="AJ18" s="176"/>
      <c r="AK18" s="176">
        <v>244346.313094118</v>
      </c>
      <c r="AL18" s="175">
        <v>1.65388549376287</v>
      </c>
    </row>
    <row r="19" spans="2:38" ht="6.95" customHeight="1" x14ac:dyDescent="0.25">
      <c r="B19" s="145"/>
      <c r="C19" s="11"/>
      <c r="D19" s="176"/>
      <c r="E19" s="175"/>
      <c r="F19" s="173"/>
      <c r="G19" s="173"/>
      <c r="H19" s="181"/>
      <c r="I19" s="181"/>
      <c r="J19" s="173"/>
      <c r="K19" s="181"/>
      <c r="L19" s="182"/>
      <c r="M19" s="173"/>
      <c r="N19" s="181"/>
      <c r="O19" s="181"/>
      <c r="P19" s="183"/>
      <c r="Q19" s="183"/>
      <c r="R19" s="183"/>
      <c r="S19" s="173"/>
      <c r="T19" s="181"/>
      <c r="U19" s="181"/>
      <c r="V19" s="173"/>
      <c r="W19" s="181"/>
      <c r="X19" s="182"/>
      <c r="Y19" s="173"/>
      <c r="Z19" s="181"/>
      <c r="AA19" s="183"/>
      <c r="AB19" s="173"/>
      <c r="AC19" s="175"/>
      <c r="AD19" s="173"/>
      <c r="AE19" s="173"/>
      <c r="AF19" s="181"/>
      <c r="AG19" s="181"/>
      <c r="AH19" s="173"/>
      <c r="AI19" s="181"/>
      <c r="AJ19" s="182"/>
      <c r="AK19" s="173"/>
      <c r="AL19" s="181"/>
    </row>
    <row r="20" spans="2:38" x14ac:dyDescent="0.25">
      <c r="B20" s="148" t="s">
        <v>6</v>
      </c>
      <c r="C20" s="102"/>
      <c r="D20" s="173">
        <v>1202696.45731675</v>
      </c>
      <c r="E20" s="174">
        <v>0</v>
      </c>
      <c r="F20" s="173"/>
      <c r="G20" s="173">
        <v>326767.14400275197</v>
      </c>
      <c r="H20" s="174">
        <v>0.95697854680417505</v>
      </c>
      <c r="I20" s="173"/>
      <c r="J20" s="173">
        <v>465137.807484955</v>
      </c>
      <c r="K20" s="174">
        <v>1.21252154609952</v>
      </c>
      <c r="L20" s="173"/>
      <c r="M20" s="173">
        <v>1173886.3045022101</v>
      </c>
      <c r="N20" s="174">
        <v>0.35580498081665302</v>
      </c>
      <c r="O20" s="173"/>
      <c r="P20" s="173">
        <v>732477.33212123101</v>
      </c>
      <c r="Q20" s="174">
        <v>0</v>
      </c>
      <c r="R20" s="173"/>
      <c r="S20" s="173">
        <v>227794.589381567</v>
      </c>
      <c r="T20" s="174">
        <v>1.23538971313722</v>
      </c>
      <c r="U20" s="173"/>
      <c r="V20" s="173">
        <v>278111.00256613502</v>
      </c>
      <c r="W20" s="174">
        <v>1.39534965926822</v>
      </c>
      <c r="X20" s="173"/>
      <c r="Y20" s="173">
        <v>716827.44376920105</v>
      </c>
      <c r="Z20" s="174">
        <v>0.45000130334959798</v>
      </c>
      <c r="AA20" s="173"/>
      <c r="AB20" s="173">
        <v>655788.85438650905</v>
      </c>
      <c r="AC20" s="174">
        <v>0</v>
      </c>
      <c r="AD20" s="173"/>
      <c r="AE20" s="173">
        <v>204720.98351104799</v>
      </c>
      <c r="AF20" s="174">
        <v>1.3623540905392599</v>
      </c>
      <c r="AG20" s="173"/>
      <c r="AH20" s="173">
        <v>277653.98104161298</v>
      </c>
      <c r="AI20" s="174">
        <v>1.6057562225473501</v>
      </c>
      <c r="AJ20" s="173"/>
      <c r="AK20" s="173">
        <v>634570.03409587196</v>
      </c>
      <c r="AL20" s="174">
        <v>0.52915214281499801</v>
      </c>
    </row>
    <row r="21" spans="2:38" ht="6.95" customHeight="1" x14ac:dyDescent="0.25">
      <c r="B21" s="148"/>
      <c r="C21" s="102"/>
      <c r="D21" s="173"/>
      <c r="E21" s="175"/>
      <c r="F21" s="173"/>
      <c r="G21" s="173"/>
      <c r="H21" s="175"/>
      <c r="I21" s="176"/>
      <c r="J21" s="173"/>
      <c r="K21" s="175"/>
      <c r="L21" s="173"/>
      <c r="M21" s="173"/>
      <c r="N21" s="175"/>
      <c r="O21" s="176"/>
      <c r="P21" s="173"/>
      <c r="Q21" s="175"/>
      <c r="R21" s="173"/>
      <c r="S21" s="173"/>
      <c r="T21" s="175"/>
      <c r="U21" s="176"/>
      <c r="V21" s="173"/>
      <c r="W21" s="175"/>
      <c r="X21" s="173"/>
      <c r="Y21" s="173"/>
      <c r="Z21" s="175"/>
      <c r="AA21" s="173"/>
      <c r="AB21" s="173"/>
      <c r="AC21" s="175"/>
      <c r="AD21" s="173"/>
      <c r="AE21" s="173"/>
      <c r="AF21" s="175"/>
      <c r="AG21" s="176"/>
      <c r="AH21" s="173"/>
      <c r="AI21" s="175"/>
      <c r="AJ21" s="173"/>
      <c r="AK21" s="173"/>
      <c r="AL21" s="175"/>
    </row>
    <row r="22" spans="2:38" ht="22.5" x14ac:dyDescent="0.25">
      <c r="B22" s="49" t="s">
        <v>69</v>
      </c>
      <c r="C22" s="36"/>
      <c r="D22" s="176">
        <v>1152782.8609770399</v>
      </c>
      <c r="E22" s="175">
        <v>0.53248414120404697</v>
      </c>
      <c r="F22" s="176"/>
      <c r="G22" s="176">
        <v>92490.816990653097</v>
      </c>
      <c r="H22" s="175">
        <v>0.32210491625547899</v>
      </c>
      <c r="I22" s="176"/>
      <c r="J22" s="176">
        <v>185694.841025328</v>
      </c>
      <c r="K22" s="175">
        <v>0.59249919441580101</v>
      </c>
      <c r="L22" s="176"/>
      <c r="M22" s="176">
        <v>1134148.04953516</v>
      </c>
      <c r="N22" s="175">
        <v>0.25200341635635198</v>
      </c>
      <c r="O22" s="176"/>
      <c r="P22" s="176">
        <v>710246.85771402402</v>
      </c>
      <c r="Q22" s="175">
        <v>0.54280230635552595</v>
      </c>
      <c r="R22" s="176"/>
      <c r="S22" s="176">
        <v>42020.986217093297</v>
      </c>
      <c r="T22" s="175">
        <v>0.26814415596631802</v>
      </c>
      <c r="U22" s="176"/>
      <c r="V22" s="176">
        <v>103252.880739243</v>
      </c>
      <c r="W22" s="175">
        <v>0.60876171613683205</v>
      </c>
      <c r="X22" s="176"/>
      <c r="Y22" s="176">
        <v>694547.69309400104</v>
      </c>
      <c r="Z22" s="175">
        <v>0.33480767807318401</v>
      </c>
      <c r="AA22" s="176"/>
      <c r="AB22" s="176">
        <v>621875.75180990796</v>
      </c>
      <c r="AC22" s="175">
        <v>0.90000079567649804</v>
      </c>
      <c r="AD22" s="176"/>
      <c r="AE22" s="176">
        <v>75373.623749456805</v>
      </c>
      <c r="AF22" s="175">
        <v>0.59332801505850696</v>
      </c>
      <c r="AG22" s="176"/>
      <c r="AH22" s="176">
        <v>147539.61464975</v>
      </c>
      <c r="AI22" s="175">
        <v>1.0534676262709399</v>
      </c>
      <c r="AJ22" s="176"/>
      <c r="AK22" s="176">
        <v>617363.52601835004</v>
      </c>
      <c r="AL22" s="175">
        <v>0.39200598325577801</v>
      </c>
    </row>
    <row r="23" spans="2:38" s="68" customFormat="1" ht="45" customHeight="1" x14ac:dyDescent="0.25">
      <c r="B23" s="49" t="s">
        <v>70</v>
      </c>
      <c r="C23" s="49"/>
      <c r="D23" s="176">
        <v>962140.16225551104</v>
      </c>
      <c r="E23" s="175">
        <v>1.3785787993682901</v>
      </c>
      <c r="F23" s="176"/>
      <c r="G23" s="176">
        <v>121458.056044542</v>
      </c>
      <c r="H23" s="175">
        <v>0.60419882594049701</v>
      </c>
      <c r="I23" s="176"/>
      <c r="J23" s="176">
        <v>409092.56351697602</v>
      </c>
      <c r="K23" s="175">
        <v>1.4725914280582</v>
      </c>
      <c r="L23" s="176"/>
      <c r="M23" s="176">
        <v>872866.05709510401</v>
      </c>
      <c r="N23" s="175">
        <v>0.99746503707467105</v>
      </c>
      <c r="O23" s="176"/>
      <c r="P23" s="176">
        <v>576184.38927275804</v>
      </c>
      <c r="Q23" s="175">
        <v>1.5796415255990699</v>
      </c>
      <c r="R23" s="176"/>
      <c r="S23" s="176">
        <v>112445.881317573</v>
      </c>
      <c r="T23" s="175">
        <v>1.0111682233294199</v>
      </c>
      <c r="U23" s="176"/>
      <c r="V23" s="176">
        <v>260779.69178307199</v>
      </c>
      <c r="W23" s="175">
        <v>1.8525746586474301</v>
      </c>
      <c r="X23" s="176"/>
      <c r="Y23" s="176">
        <v>520362.66581332299</v>
      </c>
      <c r="Z23" s="175">
        <v>1.0748180459416099</v>
      </c>
      <c r="AA23" s="176"/>
      <c r="AB23" s="176">
        <v>533640.91898992902</v>
      </c>
      <c r="AC23" s="175">
        <v>1.9316763658145499</v>
      </c>
      <c r="AD23" s="176"/>
      <c r="AE23" s="176">
        <v>47461.583698818999</v>
      </c>
      <c r="AF23" s="175">
        <v>0.52403352030743799</v>
      </c>
      <c r="AG23" s="176"/>
      <c r="AH23" s="176">
        <v>248202.491254881</v>
      </c>
      <c r="AI23" s="175">
        <v>2.2756964815002001</v>
      </c>
      <c r="AJ23" s="176"/>
      <c r="AK23" s="176">
        <v>501670.23477861303</v>
      </c>
      <c r="AL23" s="175">
        <v>1.26220198797157</v>
      </c>
    </row>
    <row r="24" spans="2:38" s="68" customFormat="1" ht="45" customHeight="1" x14ac:dyDescent="0.25">
      <c r="B24" s="49" t="s">
        <v>11</v>
      </c>
      <c r="C24" s="49"/>
      <c r="D24" s="176">
        <v>857703.57156334003</v>
      </c>
      <c r="E24" s="175">
        <v>1.44976733961995</v>
      </c>
      <c r="F24" s="176"/>
      <c r="G24" s="176">
        <v>154642.53486404999</v>
      </c>
      <c r="H24" s="175">
        <v>0.69098816091524995</v>
      </c>
      <c r="I24" s="176"/>
      <c r="J24" s="176">
        <v>150849.550419737</v>
      </c>
      <c r="K24" s="175">
        <v>0.71863071429512904</v>
      </c>
      <c r="L24" s="176"/>
      <c r="M24" s="176">
        <v>791367.61286476103</v>
      </c>
      <c r="N24" s="175">
        <v>0.84382999608557296</v>
      </c>
      <c r="O24" s="176"/>
      <c r="P24" s="176">
        <v>533793.81960123195</v>
      </c>
      <c r="Q24" s="175">
        <v>1.65780203144931</v>
      </c>
      <c r="R24" s="176"/>
      <c r="S24" s="176">
        <v>99976.652019112196</v>
      </c>
      <c r="T24" s="175">
        <v>0.86885147031488397</v>
      </c>
      <c r="U24" s="176"/>
      <c r="V24" s="176">
        <v>91051.617755107596</v>
      </c>
      <c r="W24" s="175">
        <v>0.77606997627200403</v>
      </c>
      <c r="X24" s="176"/>
      <c r="Y24" s="176">
        <v>502462.50340878102</v>
      </c>
      <c r="Z24" s="175">
        <v>0.90519657599894598</v>
      </c>
      <c r="AA24" s="176"/>
      <c r="AB24" s="176">
        <v>483587.93300581397</v>
      </c>
      <c r="AC24" s="175">
        <v>1.97253073731061</v>
      </c>
      <c r="AD24" s="176"/>
      <c r="AE24" s="176">
        <v>119885.003194858</v>
      </c>
      <c r="AF24" s="175">
        <v>1.1957633624834501</v>
      </c>
      <c r="AG24" s="176"/>
      <c r="AH24" s="176">
        <v>121692.41195760301</v>
      </c>
      <c r="AI24" s="175">
        <v>1.32208747799343</v>
      </c>
      <c r="AJ24" s="176"/>
      <c r="AK24" s="176">
        <v>435957.25024977099</v>
      </c>
      <c r="AL24" s="175">
        <v>1.32762737670498</v>
      </c>
    </row>
    <row r="25" spans="2:38" s="68" customFormat="1" ht="45" customHeight="1" x14ac:dyDescent="0.25">
      <c r="B25" s="49" t="s">
        <v>41</v>
      </c>
      <c r="C25" s="49"/>
      <c r="D25" s="176">
        <v>794028.58302057895</v>
      </c>
      <c r="E25" s="175">
        <v>1.46386447085655</v>
      </c>
      <c r="F25" s="176"/>
      <c r="G25" s="176">
        <v>169479.730872582</v>
      </c>
      <c r="H25" s="175">
        <v>0.87144892936138296</v>
      </c>
      <c r="I25" s="176"/>
      <c r="J25" s="176">
        <v>64607.123412500703</v>
      </c>
      <c r="K25" s="175">
        <v>0.33891654712536501</v>
      </c>
      <c r="L25" s="176"/>
      <c r="M25" s="176">
        <v>776618.45631491602</v>
      </c>
      <c r="N25" s="175">
        <v>0.37440232046740501</v>
      </c>
      <c r="O25" s="176"/>
      <c r="P25" s="176">
        <v>521231.30904160801</v>
      </c>
      <c r="Q25" s="175">
        <v>1.5434281907059799</v>
      </c>
      <c r="R25" s="176"/>
      <c r="S25" s="176">
        <v>98857.274835660603</v>
      </c>
      <c r="T25" s="175">
        <v>0.86532960970400197</v>
      </c>
      <c r="U25" s="176"/>
      <c r="V25" s="176">
        <v>51311.926621122198</v>
      </c>
      <c r="W25" s="175">
        <v>0.46612843641630203</v>
      </c>
      <c r="X25" s="176"/>
      <c r="Y25" s="176">
        <v>510108.97284223197</v>
      </c>
      <c r="Z25" s="175">
        <v>0.56048227125954297</v>
      </c>
      <c r="AA25" s="176"/>
      <c r="AB25" s="176">
        <v>403597.08848400402</v>
      </c>
      <c r="AC25" s="175">
        <v>2.05641870169271</v>
      </c>
      <c r="AD25" s="176"/>
      <c r="AE25" s="176">
        <v>119208.748844402</v>
      </c>
      <c r="AF25" s="175">
        <v>1.5029773021622901</v>
      </c>
      <c r="AG25" s="176"/>
      <c r="AH25" s="176">
        <v>38407.123975464099</v>
      </c>
      <c r="AI25" s="175">
        <v>0.48630625725987697</v>
      </c>
      <c r="AJ25" s="176"/>
      <c r="AK25" s="176">
        <v>394976.66350660502</v>
      </c>
      <c r="AL25" s="175">
        <v>0.45661312409745503</v>
      </c>
    </row>
    <row r="26" spans="2:38" s="68" customFormat="1" ht="45" customHeight="1" x14ac:dyDescent="0.25">
      <c r="B26" s="49" t="s">
        <v>71</v>
      </c>
      <c r="C26" s="49"/>
      <c r="D26" s="176">
        <v>424139.07576017798</v>
      </c>
      <c r="E26" s="175">
        <v>1.14473587642908</v>
      </c>
      <c r="F26" s="176"/>
      <c r="G26" s="176">
        <v>254251.608620149</v>
      </c>
      <c r="H26" s="175">
        <v>3.0749652646587702</v>
      </c>
      <c r="I26" s="176"/>
      <c r="J26" s="176">
        <v>220574.103558548</v>
      </c>
      <c r="K26" s="175">
        <v>3.0988042724292701</v>
      </c>
      <c r="L26" s="176"/>
      <c r="M26" s="176">
        <v>194815.32688250899</v>
      </c>
      <c r="N26" s="175">
        <v>3.2541835058533399</v>
      </c>
      <c r="O26" s="176"/>
      <c r="P26" s="176">
        <v>245401.69773190201</v>
      </c>
      <c r="Q26" s="175">
        <v>1.2031301207738501</v>
      </c>
      <c r="R26" s="176"/>
      <c r="S26" s="176">
        <v>184003.824419557</v>
      </c>
      <c r="T26" s="175">
        <v>4.47187254414452</v>
      </c>
      <c r="U26" s="176"/>
      <c r="V26" s="176">
        <v>147416.399608081</v>
      </c>
      <c r="W26" s="175">
        <v>4.4674626806278299</v>
      </c>
      <c r="X26" s="176"/>
      <c r="Y26" s="176">
        <v>130719.46875626101</v>
      </c>
      <c r="Z26" s="175">
        <v>4.2808835585187603</v>
      </c>
      <c r="AA26" s="176"/>
      <c r="AB26" s="176">
        <v>263909.55003516201</v>
      </c>
      <c r="AC26" s="175">
        <v>1.6466467475642299</v>
      </c>
      <c r="AD26" s="176"/>
      <c r="AE26" s="176">
        <v>153410.28076150201</v>
      </c>
      <c r="AF26" s="175">
        <v>4.2337885474351404</v>
      </c>
      <c r="AG26" s="176"/>
      <c r="AH26" s="176">
        <v>141540.14208310199</v>
      </c>
      <c r="AI26" s="175">
        <v>4.6502056268259597</v>
      </c>
      <c r="AJ26" s="176"/>
      <c r="AK26" s="176">
        <v>121813.856124597</v>
      </c>
      <c r="AL26" s="175">
        <v>4.3523004863320596</v>
      </c>
    </row>
    <row r="27" spans="2:38" ht="6.95" customHeight="1" x14ac:dyDescent="0.25">
      <c r="B27" s="149"/>
      <c r="C27" s="103"/>
      <c r="D27" s="173"/>
      <c r="E27" s="184"/>
      <c r="F27" s="173"/>
      <c r="G27" s="173"/>
      <c r="H27" s="184"/>
      <c r="I27" s="184"/>
      <c r="J27" s="173"/>
      <c r="K27" s="184"/>
      <c r="L27" s="184"/>
      <c r="M27" s="173"/>
      <c r="N27" s="185"/>
      <c r="O27" s="185"/>
      <c r="P27" s="183"/>
      <c r="Q27" s="183"/>
      <c r="R27" s="183"/>
      <c r="S27" s="173"/>
      <c r="T27" s="183"/>
      <c r="U27" s="183"/>
      <c r="V27" s="173"/>
      <c r="W27" s="183"/>
      <c r="X27" s="183"/>
      <c r="Y27" s="173"/>
      <c r="Z27" s="183"/>
      <c r="AA27" s="183"/>
      <c r="AB27" s="173"/>
      <c r="AC27" s="183"/>
      <c r="AD27" s="173"/>
      <c r="AE27" s="173"/>
      <c r="AF27" s="183"/>
      <c r="AG27" s="183"/>
      <c r="AH27" s="173"/>
      <c r="AI27" s="183"/>
      <c r="AJ27" s="183"/>
      <c r="AK27" s="173"/>
      <c r="AL27" s="183"/>
    </row>
    <row r="28" spans="2:38" x14ac:dyDescent="0.25">
      <c r="B28" s="148" t="s">
        <v>7</v>
      </c>
      <c r="C28" s="102"/>
      <c r="D28" s="173">
        <v>1215345.35573305</v>
      </c>
      <c r="E28" s="174">
        <v>0</v>
      </c>
      <c r="F28" s="173"/>
      <c r="G28" s="173">
        <v>507445.48513155198</v>
      </c>
      <c r="H28" s="174">
        <v>0.80731945929738402</v>
      </c>
      <c r="I28" s="173"/>
      <c r="J28" s="173">
        <v>609026.81580776698</v>
      </c>
      <c r="K28" s="174">
        <v>0.94532340606918897</v>
      </c>
      <c r="L28" s="173"/>
      <c r="M28" s="173">
        <v>1182396.9485869301</v>
      </c>
      <c r="N28" s="174">
        <v>0.37209279471814599</v>
      </c>
      <c r="O28" s="173"/>
      <c r="P28" s="173">
        <v>853166.62916364695</v>
      </c>
      <c r="Q28" s="174">
        <v>0</v>
      </c>
      <c r="R28" s="173"/>
      <c r="S28" s="173">
        <v>337622.08227669197</v>
      </c>
      <c r="T28" s="174">
        <v>1.0137539201350501</v>
      </c>
      <c r="U28" s="173"/>
      <c r="V28" s="173">
        <v>400618.65896468598</v>
      </c>
      <c r="W28" s="174">
        <v>1.1925467488716399</v>
      </c>
      <c r="X28" s="173"/>
      <c r="Y28" s="173">
        <v>821811.10518368904</v>
      </c>
      <c r="Z28" s="174">
        <v>0.51964090126252405</v>
      </c>
      <c r="AA28" s="173"/>
      <c r="AB28" s="173">
        <v>704303.09797417896</v>
      </c>
      <c r="AC28" s="174">
        <v>0</v>
      </c>
      <c r="AD28" s="173"/>
      <c r="AE28" s="173">
        <v>357646.835950671</v>
      </c>
      <c r="AF28" s="174">
        <v>1.1421438412174301</v>
      </c>
      <c r="AG28" s="173"/>
      <c r="AH28" s="173">
        <v>432724.72677562002</v>
      </c>
      <c r="AI28" s="174">
        <v>1.2580838414884601</v>
      </c>
      <c r="AJ28" s="173"/>
      <c r="AK28" s="173">
        <v>688323.03804361797</v>
      </c>
      <c r="AL28" s="174">
        <v>0.51683932593825399</v>
      </c>
    </row>
    <row r="29" spans="2:38" ht="6.95" customHeight="1" x14ac:dyDescent="0.25">
      <c r="B29" s="148"/>
      <c r="C29" s="102"/>
      <c r="D29" s="173"/>
      <c r="E29" s="175"/>
      <c r="F29" s="173"/>
      <c r="G29" s="173"/>
      <c r="H29" s="175"/>
      <c r="I29" s="176"/>
      <c r="J29" s="173"/>
      <c r="K29" s="175"/>
      <c r="L29" s="173"/>
      <c r="M29" s="173"/>
      <c r="N29" s="175"/>
      <c r="O29" s="176"/>
      <c r="P29" s="173"/>
      <c r="Q29" s="175"/>
      <c r="R29" s="173"/>
      <c r="S29" s="173"/>
      <c r="T29" s="175"/>
      <c r="U29" s="176"/>
      <c r="V29" s="173"/>
      <c r="W29" s="175"/>
      <c r="X29" s="173"/>
      <c r="Y29" s="173"/>
      <c r="Z29" s="175"/>
      <c r="AA29" s="173"/>
      <c r="AB29" s="173"/>
      <c r="AC29" s="175"/>
      <c r="AD29" s="173"/>
      <c r="AE29" s="173"/>
      <c r="AF29" s="175"/>
      <c r="AG29" s="176"/>
      <c r="AH29" s="173"/>
      <c r="AI29" s="175"/>
      <c r="AJ29" s="173"/>
      <c r="AK29" s="173"/>
      <c r="AL29" s="175"/>
    </row>
    <row r="30" spans="2:38" ht="22.5" x14ac:dyDescent="0.25">
      <c r="B30" s="49" t="s">
        <v>69</v>
      </c>
      <c r="C30" s="36"/>
      <c r="D30" s="176">
        <v>1165312.1488032499</v>
      </c>
      <c r="E30" s="175">
        <v>0.399197890473664</v>
      </c>
      <c r="F30" s="176"/>
      <c r="G30" s="176">
        <v>196423.09872784399</v>
      </c>
      <c r="H30" s="175">
        <v>0.365003725201762</v>
      </c>
      <c r="I30" s="176"/>
      <c r="J30" s="176">
        <v>314058.82306932501</v>
      </c>
      <c r="K30" s="175">
        <v>0.60269287386844095</v>
      </c>
      <c r="L30" s="176"/>
      <c r="M30" s="176">
        <v>1150738.32726783</v>
      </c>
      <c r="N30" s="175">
        <v>0.38665546235675702</v>
      </c>
      <c r="O30" s="176"/>
      <c r="P30" s="176">
        <v>821459.12416463206</v>
      </c>
      <c r="Q30" s="175">
        <v>0.47432809049833902</v>
      </c>
      <c r="R30" s="176"/>
      <c r="S30" s="176">
        <v>135430.626062928</v>
      </c>
      <c r="T30" s="175">
        <v>0.46043995803961302</v>
      </c>
      <c r="U30" s="176"/>
      <c r="V30" s="176">
        <v>198725.64901046301</v>
      </c>
      <c r="W30" s="175">
        <v>0.70262467025427799</v>
      </c>
      <c r="X30" s="176"/>
      <c r="Y30" s="176">
        <v>806180.56800223503</v>
      </c>
      <c r="Z30" s="175">
        <v>0.47688167464652598</v>
      </c>
      <c r="AA30" s="176"/>
      <c r="AB30" s="176">
        <v>678071.61424613395</v>
      </c>
      <c r="AC30" s="175">
        <v>0.65268584541159302</v>
      </c>
      <c r="AD30" s="176"/>
      <c r="AE30" s="176">
        <v>137761.75605180801</v>
      </c>
      <c r="AF30" s="175">
        <v>0.55053257245548903</v>
      </c>
      <c r="AG30" s="176"/>
      <c r="AH30" s="176">
        <v>233501.62969862999</v>
      </c>
      <c r="AI30" s="175">
        <v>0.89740063124134795</v>
      </c>
      <c r="AJ30" s="176"/>
      <c r="AK30" s="176">
        <v>668335.69738940103</v>
      </c>
      <c r="AL30" s="175">
        <v>0.58384897972134098</v>
      </c>
    </row>
    <row r="31" spans="2:38" s="68" customFormat="1" ht="45" customHeight="1" x14ac:dyDescent="0.25">
      <c r="B31" s="49" t="s">
        <v>70</v>
      </c>
      <c r="C31" s="49"/>
      <c r="D31" s="176">
        <v>1055445.0663445501</v>
      </c>
      <c r="E31" s="175">
        <v>0.64705785292999596</v>
      </c>
      <c r="F31" s="176"/>
      <c r="G31" s="176">
        <v>159029.54433561099</v>
      </c>
      <c r="H31" s="175">
        <v>0.30382330018306097</v>
      </c>
      <c r="I31" s="176"/>
      <c r="J31" s="176">
        <v>553710.53488705296</v>
      </c>
      <c r="K31" s="175">
        <v>0.93120433648065004</v>
      </c>
      <c r="L31" s="176"/>
      <c r="M31" s="176">
        <v>975167.46102117095</v>
      </c>
      <c r="N31" s="175">
        <v>0.72534121779372795</v>
      </c>
      <c r="O31" s="176"/>
      <c r="P31" s="176">
        <v>742219.84898190096</v>
      </c>
      <c r="Q31" s="175">
        <v>0.89466061422451104</v>
      </c>
      <c r="R31" s="176"/>
      <c r="S31" s="176">
        <v>116517.973650076</v>
      </c>
      <c r="T31" s="175">
        <v>0.412120163633863</v>
      </c>
      <c r="U31" s="176"/>
      <c r="V31" s="176">
        <v>361209.61359036597</v>
      </c>
      <c r="W31" s="175">
        <v>1.20227705297355</v>
      </c>
      <c r="X31" s="176"/>
      <c r="Y31" s="176">
        <v>682461.165430933</v>
      </c>
      <c r="Z31" s="175">
        <v>0.90373611636466999</v>
      </c>
      <c r="AA31" s="176"/>
      <c r="AB31" s="176">
        <v>643598.15761554404</v>
      </c>
      <c r="AC31" s="175">
        <v>0.85214139350292595</v>
      </c>
      <c r="AD31" s="176"/>
      <c r="AE31" s="176">
        <v>111230.964630341</v>
      </c>
      <c r="AF31" s="175">
        <v>0.46196540760417498</v>
      </c>
      <c r="AG31" s="176"/>
      <c r="AH31" s="176">
        <v>397568.07730467402</v>
      </c>
      <c r="AI31" s="175">
        <v>1.25416885471648</v>
      </c>
      <c r="AJ31" s="176"/>
      <c r="AK31" s="176">
        <v>584785.77090316999</v>
      </c>
      <c r="AL31" s="175">
        <v>1.0304689360777599</v>
      </c>
    </row>
    <row r="32" spans="2:38" s="68" customFormat="1" ht="45" customHeight="1" x14ac:dyDescent="0.25">
      <c r="B32" s="49" t="s">
        <v>11</v>
      </c>
      <c r="C32" s="49"/>
      <c r="D32" s="176">
        <v>969168.79272255802</v>
      </c>
      <c r="E32" s="175">
        <v>0.80178713678104396</v>
      </c>
      <c r="F32" s="176"/>
      <c r="G32" s="176">
        <v>330292.21002197103</v>
      </c>
      <c r="H32" s="175">
        <v>0.72003912555611804</v>
      </c>
      <c r="I32" s="176"/>
      <c r="J32" s="176">
        <v>353474.23897766101</v>
      </c>
      <c r="K32" s="175">
        <v>0.80107511049301205</v>
      </c>
      <c r="L32" s="176"/>
      <c r="M32" s="176">
        <v>891844.33248451701</v>
      </c>
      <c r="N32" s="175">
        <v>0.79229400124800498</v>
      </c>
      <c r="O32" s="176"/>
      <c r="P32" s="176">
        <v>663986.84819358599</v>
      </c>
      <c r="Q32" s="175">
        <v>1.09372164416216</v>
      </c>
      <c r="R32" s="176"/>
      <c r="S32" s="176">
        <v>221810.091765947</v>
      </c>
      <c r="T32" s="175">
        <v>0.92227466019990101</v>
      </c>
      <c r="U32" s="176"/>
      <c r="V32" s="176">
        <v>211882.709542211</v>
      </c>
      <c r="W32" s="175">
        <v>0.93921363927590795</v>
      </c>
      <c r="X32" s="176"/>
      <c r="Y32" s="176">
        <v>592356.08371839498</v>
      </c>
      <c r="Z32" s="175">
        <v>0.996937045915128</v>
      </c>
      <c r="AA32" s="176"/>
      <c r="AB32" s="176">
        <v>587423.03805293096</v>
      </c>
      <c r="AC32" s="175">
        <v>1.1058405133268701</v>
      </c>
      <c r="AD32" s="176"/>
      <c r="AE32" s="176">
        <v>232634.55942915901</v>
      </c>
      <c r="AF32" s="175">
        <v>1.02915149603036</v>
      </c>
      <c r="AG32" s="176"/>
      <c r="AH32" s="176">
        <v>278600.09093564301</v>
      </c>
      <c r="AI32" s="175">
        <v>1.2223148168438001</v>
      </c>
      <c r="AJ32" s="176"/>
      <c r="AK32" s="176">
        <v>537966.42679004802</v>
      </c>
      <c r="AL32" s="175">
        <v>1.08792603602448</v>
      </c>
    </row>
    <row r="33" spans="2:38" s="68" customFormat="1" ht="45" customHeight="1" x14ac:dyDescent="0.25">
      <c r="B33" s="49" t="s">
        <v>41</v>
      </c>
      <c r="C33" s="49"/>
      <c r="D33" s="176">
        <v>951837.43091180397</v>
      </c>
      <c r="E33" s="175">
        <v>0.94225168018817496</v>
      </c>
      <c r="F33" s="176"/>
      <c r="G33" s="176">
        <v>292415.85542814602</v>
      </c>
      <c r="H33" s="175">
        <v>0.74609134570906399</v>
      </c>
      <c r="I33" s="176"/>
      <c r="J33" s="176">
        <v>306764.40915907099</v>
      </c>
      <c r="K33" s="175">
        <v>0.79950978469751599</v>
      </c>
      <c r="L33" s="176"/>
      <c r="M33" s="176">
        <v>932900.59657796705</v>
      </c>
      <c r="N33" s="175">
        <v>0.65090269286216096</v>
      </c>
      <c r="O33" s="176"/>
      <c r="P33" s="176">
        <v>661182.94724500203</v>
      </c>
      <c r="Q33" s="175">
        <v>1.14150122606552</v>
      </c>
      <c r="R33" s="176"/>
      <c r="S33" s="176">
        <v>183706.11972620501</v>
      </c>
      <c r="T33" s="175">
        <v>0.85606495958448203</v>
      </c>
      <c r="U33" s="176"/>
      <c r="V33" s="176">
        <v>196825.35456096099</v>
      </c>
      <c r="W33" s="175">
        <v>0.92422147862589898</v>
      </c>
      <c r="X33" s="176"/>
      <c r="Y33" s="176">
        <v>644765.50063922198</v>
      </c>
      <c r="Z33" s="175">
        <v>0.73427333276962703</v>
      </c>
      <c r="AA33" s="176"/>
      <c r="AB33" s="176">
        <v>584619.86104301806</v>
      </c>
      <c r="AC33" s="175">
        <v>1.3212012883792601</v>
      </c>
      <c r="AD33" s="176"/>
      <c r="AE33" s="176">
        <v>197145.13181658401</v>
      </c>
      <c r="AF33" s="175">
        <v>1.1041209602550199</v>
      </c>
      <c r="AG33" s="176"/>
      <c r="AH33" s="176">
        <v>208473.02585253501</v>
      </c>
      <c r="AI33" s="175">
        <v>1.15201222369877</v>
      </c>
      <c r="AJ33" s="176"/>
      <c r="AK33" s="176">
        <v>563077.00252595497</v>
      </c>
      <c r="AL33" s="175">
        <v>1.0149560620464599</v>
      </c>
    </row>
    <row r="34" spans="2:38" s="68" customFormat="1" ht="45" customHeight="1" x14ac:dyDescent="0.25">
      <c r="B34" s="49" t="s">
        <v>71</v>
      </c>
      <c r="C34" s="49"/>
      <c r="D34" s="176">
        <v>583235.28213580896</v>
      </c>
      <c r="E34" s="175">
        <v>0.81748619018888102</v>
      </c>
      <c r="F34" s="176"/>
      <c r="G34" s="176">
        <v>437925.47788540099</v>
      </c>
      <c r="H34" s="175">
        <v>1.3632531790497799</v>
      </c>
      <c r="I34" s="176"/>
      <c r="J34" s="176">
        <v>302460.00075133302</v>
      </c>
      <c r="K34" s="175">
        <v>1.2959405251523599</v>
      </c>
      <c r="L34" s="176"/>
      <c r="M34" s="176">
        <v>299968.72989226598</v>
      </c>
      <c r="N34" s="175">
        <v>1.26675172090677</v>
      </c>
      <c r="O34" s="176"/>
      <c r="P34" s="176">
        <v>381081.96128822601</v>
      </c>
      <c r="Q34" s="175">
        <v>1.0244782752994199</v>
      </c>
      <c r="R34" s="176"/>
      <c r="S34" s="176">
        <v>295949.24543095101</v>
      </c>
      <c r="T34" s="175">
        <v>1.86686368078341</v>
      </c>
      <c r="U34" s="176"/>
      <c r="V34" s="176">
        <v>196192.74162053299</v>
      </c>
      <c r="W34" s="175">
        <v>1.71740584321876</v>
      </c>
      <c r="X34" s="176"/>
      <c r="Y34" s="176">
        <v>180915.432486495</v>
      </c>
      <c r="Z34" s="175">
        <v>1.6373117528724599</v>
      </c>
      <c r="AA34" s="176"/>
      <c r="AB34" s="176">
        <v>393290.87500269699</v>
      </c>
      <c r="AC34" s="175">
        <v>1.1756700116136001</v>
      </c>
      <c r="AD34" s="176"/>
      <c r="AE34" s="176">
        <v>303440.89933330001</v>
      </c>
      <c r="AF34" s="175">
        <v>1.9347853898762699</v>
      </c>
      <c r="AG34" s="176"/>
      <c r="AH34" s="176">
        <v>225084.415064684</v>
      </c>
      <c r="AI34" s="175">
        <v>1.8282368115740599</v>
      </c>
      <c r="AJ34" s="176"/>
      <c r="AK34" s="176">
        <v>216780.39894740199</v>
      </c>
      <c r="AL34" s="175">
        <v>1.7721084163781899</v>
      </c>
    </row>
    <row r="35" spans="2:38" ht="6.95" customHeight="1" x14ac:dyDescent="0.25">
      <c r="B35" s="12"/>
      <c r="C35" s="12"/>
      <c r="D35" s="113"/>
      <c r="E35" s="13"/>
      <c r="F35" s="13"/>
      <c r="G35" s="113"/>
      <c r="H35" s="13"/>
      <c r="I35" s="13"/>
      <c r="J35" s="113"/>
      <c r="K35" s="13"/>
      <c r="L35" s="13"/>
      <c r="M35" s="113"/>
      <c r="N35" s="13"/>
      <c r="O35" s="13"/>
      <c r="P35" s="122"/>
      <c r="Q35" s="23"/>
      <c r="R35" s="23"/>
      <c r="S35" s="122"/>
      <c r="T35" s="23"/>
      <c r="U35" s="23"/>
      <c r="V35" s="122"/>
      <c r="W35" s="23"/>
      <c r="X35" s="23"/>
      <c r="Y35" s="122"/>
      <c r="Z35" s="23"/>
      <c r="AA35" s="23"/>
      <c r="AB35" s="122"/>
      <c r="AC35" s="23"/>
      <c r="AD35" s="23"/>
      <c r="AE35" s="122"/>
      <c r="AF35" s="23"/>
      <c r="AG35" s="23"/>
      <c r="AH35" s="122"/>
      <c r="AI35" s="23"/>
      <c r="AJ35" s="23"/>
      <c r="AK35" s="122"/>
      <c r="AL35" s="23"/>
    </row>
    <row r="36" spans="2:38" ht="6.95" customHeight="1" x14ac:dyDescent="0.25">
      <c r="B36" s="9"/>
      <c r="C36" s="9"/>
      <c r="D36" s="114"/>
      <c r="E36" s="8"/>
      <c r="F36" s="8"/>
      <c r="G36" s="114"/>
      <c r="H36" s="8"/>
      <c r="I36" s="8"/>
      <c r="J36" s="114"/>
      <c r="K36" s="8"/>
      <c r="L36" s="8"/>
      <c r="M36" s="114"/>
      <c r="N36" s="8"/>
      <c r="O36" s="8"/>
    </row>
    <row r="37" spans="2:38" ht="12" customHeight="1" x14ac:dyDescent="0.25">
      <c r="B37" s="89" t="s">
        <v>35</v>
      </c>
      <c r="C37" s="89"/>
      <c r="D37" s="135"/>
      <c r="E37" s="15"/>
      <c r="F37" s="15"/>
      <c r="G37" s="135"/>
      <c r="H37" s="15"/>
      <c r="I37" s="15"/>
      <c r="J37" s="135"/>
      <c r="K37" s="15"/>
      <c r="L37" s="15"/>
      <c r="M37" s="137"/>
      <c r="N37" s="16"/>
      <c r="O37" s="16"/>
    </row>
    <row r="38" spans="2:38" ht="12" customHeight="1" x14ac:dyDescent="0.25">
      <c r="B38" s="89" t="s">
        <v>36</v>
      </c>
      <c r="C38" s="89"/>
      <c r="D38" s="136"/>
      <c r="E38" s="17"/>
      <c r="F38" s="17"/>
      <c r="G38" s="136"/>
      <c r="H38" s="17"/>
      <c r="I38" s="17"/>
      <c r="J38" s="136"/>
      <c r="K38" s="17"/>
      <c r="L38" s="17"/>
      <c r="M38" s="136"/>
      <c r="N38" s="18"/>
      <c r="O38" s="18"/>
    </row>
    <row r="39" spans="2:38" ht="12" customHeight="1" x14ac:dyDescent="0.25">
      <c r="B39" s="210" t="s">
        <v>65</v>
      </c>
      <c r="C39" s="210"/>
      <c r="D39" s="210"/>
      <c r="E39" s="210"/>
      <c r="F39" s="210"/>
      <c r="G39" s="210"/>
      <c r="H39" s="19"/>
      <c r="I39" s="19"/>
      <c r="J39" s="115"/>
      <c r="K39" s="19"/>
      <c r="L39" s="19"/>
      <c r="M39" s="115"/>
      <c r="N39" s="2"/>
      <c r="O39" s="2"/>
    </row>
  </sheetData>
  <mergeCells count="20">
    <mergeCell ref="AK9:AL9"/>
    <mergeCell ref="V9:W9"/>
    <mergeCell ref="Y9:Z9"/>
    <mergeCell ref="AB7:AL7"/>
    <mergeCell ref="AB8:AC9"/>
    <mergeCell ref="AE8:AL8"/>
    <mergeCell ref="AE9:AF9"/>
    <mergeCell ref="B39:G39"/>
    <mergeCell ref="G9:H9"/>
    <mergeCell ref="J9:K9"/>
    <mergeCell ref="M9:N9"/>
    <mergeCell ref="AH9:AI9"/>
    <mergeCell ref="S9:T9"/>
    <mergeCell ref="B7:B10"/>
    <mergeCell ref="D7:N7"/>
    <mergeCell ref="P7:Z7"/>
    <mergeCell ref="P8:Q9"/>
    <mergeCell ref="S8:Z8"/>
    <mergeCell ref="D8:E9"/>
    <mergeCell ref="G8:N8"/>
  </mergeCells>
  <hyperlinks>
    <hyperlink ref="AL1" location="Índice!A1" tooltip="Ir a ÍNDICE" display="INDICE" xr:uid="{2864B967-7C07-4C39-9716-7A12A6F85618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60E2-A9CF-4AF4-A4B4-4CAA9909CB0A}">
  <dimension ref="B1:K27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</row>
    <row r="4" spans="2:11" ht="6.95" customHeight="1" x14ac:dyDescent="0.25">
      <c r="B4" s="24"/>
      <c r="C4" s="24"/>
      <c r="D4" s="124"/>
      <c r="E4" s="25"/>
      <c r="F4" s="25"/>
      <c r="G4" s="124"/>
      <c r="H4" s="26"/>
      <c r="I4" s="26"/>
      <c r="J4" s="128"/>
    </row>
    <row r="5" spans="2:11" ht="30" customHeight="1" x14ac:dyDescent="0.25">
      <c r="B5" s="221" t="s">
        <v>82</v>
      </c>
      <c r="C5" s="221"/>
      <c r="D5" s="221"/>
      <c r="E5" s="221"/>
      <c r="F5" s="221"/>
      <c r="G5" s="221"/>
      <c r="H5" s="221"/>
      <c r="I5" s="27"/>
      <c r="J5" s="129"/>
      <c r="K5" s="52" t="s">
        <v>46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72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ht="15" customHeight="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33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55" t="s">
        <v>1</v>
      </c>
      <c r="C11" s="55"/>
      <c r="D11" s="173">
        <v>940724.76979118201</v>
      </c>
      <c r="E11" s="174">
        <v>0</v>
      </c>
      <c r="F11" s="173"/>
      <c r="G11" s="173">
        <v>790274.85617909802</v>
      </c>
      <c r="H11" s="174">
        <v>0</v>
      </c>
      <c r="I11" s="173"/>
      <c r="J11" s="173">
        <v>719306.42915879702</v>
      </c>
      <c r="K11" s="174">
        <v>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ht="30" customHeight="1" x14ac:dyDescent="0.25">
      <c r="B13" s="154" t="s">
        <v>68</v>
      </c>
      <c r="C13" s="56"/>
      <c r="D13" s="176">
        <v>676173.12392389204</v>
      </c>
      <c r="E13" s="175">
        <v>0.70641298778684702</v>
      </c>
      <c r="F13" s="173"/>
      <c r="G13" s="176">
        <v>471532.31065713399</v>
      </c>
      <c r="H13" s="175">
        <v>0.878385301494225</v>
      </c>
      <c r="I13" s="173"/>
      <c r="J13" s="176">
        <v>472020.33192001702</v>
      </c>
      <c r="K13" s="175">
        <v>0.98421212218206799</v>
      </c>
    </row>
    <row r="14" spans="2:11" ht="30" customHeight="1" x14ac:dyDescent="0.25">
      <c r="B14" s="154" t="s">
        <v>48</v>
      </c>
      <c r="C14" s="58"/>
      <c r="D14" s="176">
        <v>888747.80442170601</v>
      </c>
      <c r="E14" s="175">
        <v>0.70641298778684702</v>
      </c>
      <c r="F14" s="173"/>
      <c r="G14" s="176">
        <v>685884.17832974205</v>
      </c>
      <c r="H14" s="175">
        <v>0.878385301494225</v>
      </c>
      <c r="I14" s="173"/>
      <c r="J14" s="176">
        <v>604431.33927031897</v>
      </c>
      <c r="K14" s="175">
        <v>0.984212122182067</v>
      </c>
    </row>
    <row r="15" spans="2:11" ht="6.95" customHeight="1" x14ac:dyDescent="0.25">
      <c r="B15" s="151"/>
      <c r="C15" s="32"/>
      <c r="D15" s="173"/>
      <c r="E15" s="177"/>
      <c r="F15" s="178"/>
      <c r="G15" s="173"/>
      <c r="H15" s="177"/>
      <c r="I15" s="177"/>
      <c r="J15" s="173"/>
      <c r="K15" s="177"/>
    </row>
    <row r="16" spans="2:11" x14ac:dyDescent="0.25">
      <c r="B16" s="152" t="s">
        <v>6</v>
      </c>
      <c r="C16" s="98"/>
      <c r="D16" s="173">
        <v>1202696.45731675</v>
      </c>
      <c r="E16" s="174">
        <v>0</v>
      </c>
      <c r="F16" s="173"/>
      <c r="G16" s="173">
        <v>732477.33212123101</v>
      </c>
      <c r="H16" s="174">
        <v>0</v>
      </c>
      <c r="I16" s="173"/>
      <c r="J16" s="173">
        <v>655788.85438650905</v>
      </c>
      <c r="K16" s="174">
        <v>0</v>
      </c>
    </row>
    <row r="17" spans="2:11" ht="6.95" customHeight="1" x14ac:dyDescent="0.25">
      <c r="B17" s="152"/>
      <c r="C17" s="98"/>
      <c r="D17" s="173"/>
      <c r="E17" s="175"/>
      <c r="F17" s="173"/>
      <c r="G17" s="173"/>
      <c r="H17" s="175"/>
      <c r="I17" s="176"/>
      <c r="J17" s="173"/>
      <c r="K17" s="175"/>
    </row>
    <row r="18" spans="2:11" ht="30" customHeight="1" x14ac:dyDescent="0.25">
      <c r="B18" s="154" t="s">
        <v>68</v>
      </c>
      <c r="C18" s="56"/>
      <c r="D18" s="176">
        <v>575546.43677329295</v>
      </c>
      <c r="E18" s="175">
        <v>1.4532483156237901</v>
      </c>
      <c r="F18" s="173"/>
      <c r="G18" s="176">
        <v>345470.12317116599</v>
      </c>
      <c r="H18" s="175">
        <v>1.6844528146606299</v>
      </c>
      <c r="I18" s="173"/>
      <c r="J18" s="176">
        <v>322058.644923168</v>
      </c>
      <c r="K18" s="175">
        <v>1.7850826470830601</v>
      </c>
    </row>
    <row r="19" spans="2:11" ht="30" customHeight="1" x14ac:dyDescent="0.25">
      <c r="B19" s="154" t="s">
        <v>48</v>
      </c>
      <c r="C19" s="56"/>
      <c r="D19" s="176">
        <v>906047.93555662502</v>
      </c>
      <c r="E19" s="175">
        <v>1.4532483156237901</v>
      </c>
      <c r="F19" s="173"/>
      <c r="G19" s="176">
        <v>580453.42988028098</v>
      </c>
      <c r="H19" s="175">
        <v>1.6844528146606299</v>
      </c>
      <c r="I19" s="173"/>
      <c r="J19" s="176">
        <v>493350.74532583897</v>
      </c>
      <c r="K19" s="175">
        <v>1.7850826470830601</v>
      </c>
    </row>
    <row r="20" spans="2:11" ht="7.5" customHeight="1" x14ac:dyDescent="0.25">
      <c r="B20" s="153"/>
      <c r="C20" s="59"/>
      <c r="D20" s="173"/>
      <c r="E20" s="177"/>
      <c r="F20" s="178"/>
      <c r="G20" s="173"/>
      <c r="H20" s="177"/>
      <c r="I20" s="177"/>
      <c r="J20" s="173"/>
      <c r="K20" s="177"/>
    </row>
    <row r="21" spans="2:11" x14ac:dyDescent="0.25">
      <c r="B21" s="152" t="s">
        <v>7</v>
      </c>
      <c r="C21" s="98"/>
      <c r="D21" s="173">
        <v>1215345.35573305</v>
      </c>
      <c r="E21" s="174">
        <v>0</v>
      </c>
      <c r="F21" s="173"/>
      <c r="G21" s="173">
        <v>853166.62916364695</v>
      </c>
      <c r="H21" s="174">
        <v>0</v>
      </c>
      <c r="I21" s="173"/>
      <c r="J21" s="173">
        <v>704303.09797417896</v>
      </c>
      <c r="K21" s="174">
        <v>0</v>
      </c>
    </row>
    <row r="22" spans="2:11" ht="7.5" customHeight="1" x14ac:dyDescent="0.25">
      <c r="B22" s="152"/>
      <c r="C22" s="98"/>
      <c r="D22" s="173"/>
      <c r="E22" s="175"/>
      <c r="F22" s="173"/>
      <c r="G22" s="173"/>
      <c r="H22" s="175"/>
      <c r="I22" s="176"/>
      <c r="J22" s="173"/>
      <c r="K22" s="175"/>
    </row>
    <row r="23" spans="2:11" ht="30" customHeight="1" x14ac:dyDescent="0.25">
      <c r="B23" s="154" t="s">
        <v>68</v>
      </c>
      <c r="C23" s="98"/>
      <c r="D23" s="176">
        <v>653232.58433723403</v>
      </c>
      <c r="E23" s="175">
        <v>0.88435935310826796</v>
      </c>
      <c r="F23" s="173"/>
      <c r="G23" s="176">
        <v>434830.60070163099</v>
      </c>
      <c r="H23" s="175">
        <v>1.0996069472726</v>
      </c>
      <c r="I23" s="173"/>
      <c r="J23" s="176">
        <v>428937.76118570101</v>
      </c>
      <c r="K23" s="175">
        <v>1.2408997344238399</v>
      </c>
    </row>
    <row r="24" spans="2:11" ht="30" customHeight="1" x14ac:dyDescent="0.25">
      <c r="B24" s="154" t="s">
        <v>48</v>
      </c>
      <c r="C24" s="98"/>
      <c r="D24" s="176">
        <v>921402.49627527001</v>
      </c>
      <c r="E24" s="175">
        <v>0.88435935310826796</v>
      </c>
      <c r="F24" s="173"/>
      <c r="G24" s="176">
        <v>650917.72546187299</v>
      </c>
      <c r="H24" s="175">
        <v>1.0996069472726</v>
      </c>
      <c r="I24" s="173"/>
      <c r="J24" s="176">
        <v>532124.15261637396</v>
      </c>
      <c r="K24" s="175">
        <v>1.2408997344238399</v>
      </c>
    </row>
    <row r="25" spans="2:11" ht="6.95" customHeight="1" x14ac:dyDescent="0.25">
      <c r="B25" s="33"/>
      <c r="C25" s="33"/>
      <c r="D25" s="179"/>
      <c r="E25" s="179"/>
      <c r="F25" s="179"/>
      <c r="G25" s="179"/>
      <c r="H25" s="180"/>
      <c r="I25" s="180"/>
      <c r="J25" s="180"/>
      <c r="K25" s="179"/>
    </row>
    <row r="26" spans="2:11" ht="6.95" customHeight="1" x14ac:dyDescent="0.25">
      <c r="B26" s="31"/>
      <c r="C26" s="31"/>
      <c r="D26" s="127"/>
      <c r="E26" s="37"/>
      <c r="F26" s="37"/>
      <c r="G26" s="127"/>
      <c r="H26" s="31"/>
      <c r="I26" s="31"/>
      <c r="J26" s="131"/>
      <c r="K26" s="30"/>
    </row>
    <row r="27" spans="2:11" ht="12" customHeight="1" x14ac:dyDescent="0.25">
      <c r="B27" s="210" t="s">
        <v>65</v>
      </c>
      <c r="C27" s="210"/>
      <c r="D27" s="210"/>
      <c r="E27" s="210"/>
      <c r="F27" s="210"/>
      <c r="G27" s="210"/>
    </row>
  </sheetData>
  <mergeCells count="7">
    <mergeCell ref="B27:G27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63B5BA4F-B631-46EB-9F37-D251AAC8A96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84E16-55DF-4655-B9B8-8BE623498F7A}">
  <dimension ref="B1:K39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35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</row>
    <row r="4" spans="2:11" ht="6.95" customHeight="1" x14ac:dyDescent="0.25">
      <c r="B4" s="24"/>
      <c r="C4" s="24"/>
      <c r="D4" s="124"/>
      <c r="E4" s="25"/>
      <c r="F4" s="25"/>
      <c r="G4" s="124"/>
      <c r="H4" s="26"/>
      <c r="I4" s="26"/>
      <c r="J4" s="128"/>
    </row>
    <row r="5" spans="2:11" ht="30" customHeight="1" x14ac:dyDescent="0.25">
      <c r="B5" s="221" t="s">
        <v>81</v>
      </c>
      <c r="C5" s="221"/>
      <c r="D5" s="221"/>
      <c r="E5" s="221"/>
      <c r="F5" s="221"/>
      <c r="G5" s="221"/>
      <c r="H5" s="221"/>
      <c r="I5" s="27"/>
      <c r="J5" s="129"/>
      <c r="K5" s="52" t="s">
        <v>49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73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33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55" t="s">
        <v>1</v>
      </c>
      <c r="C11" s="55"/>
      <c r="D11" s="173">
        <v>940724.76979118201</v>
      </c>
      <c r="E11" s="174">
        <v>0</v>
      </c>
      <c r="F11" s="173"/>
      <c r="G11" s="173">
        <v>790274.85617909802</v>
      </c>
      <c r="H11" s="174">
        <v>0</v>
      </c>
      <c r="I11" s="173"/>
      <c r="J11" s="173">
        <v>719306.42915879702</v>
      </c>
      <c r="K11" s="174">
        <v>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ht="15" customHeight="1" x14ac:dyDescent="0.25">
      <c r="B13" s="57" t="s">
        <v>74</v>
      </c>
      <c r="C13" s="31"/>
      <c r="D13" s="176">
        <v>722730.33527860499</v>
      </c>
      <c r="E13" s="175">
        <v>0.71660015986718995</v>
      </c>
      <c r="F13" s="173"/>
      <c r="G13" s="176">
        <v>549042.03177485999</v>
      </c>
      <c r="H13" s="175">
        <v>0.960522682452013</v>
      </c>
      <c r="I13" s="173"/>
      <c r="J13" s="176">
        <v>493968.91189030098</v>
      </c>
      <c r="K13" s="175">
        <v>0.98981450403158699</v>
      </c>
    </row>
    <row r="14" spans="2:11" ht="15" customHeight="1" x14ac:dyDescent="0.25">
      <c r="B14" s="154" t="s">
        <v>52</v>
      </c>
      <c r="C14" s="56"/>
      <c r="D14" s="176">
        <v>615082.93941915198</v>
      </c>
      <c r="E14" s="175">
        <v>0.63547108264070795</v>
      </c>
      <c r="F14" s="173"/>
      <c r="G14" s="176">
        <v>505094.35309807397</v>
      </c>
      <c r="H14" s="175">
        <v>0.933123084723393</v>
      </c>
      <c r="I14" s="173"/>
      <c r="J14" s="176">
        <v>424367.92730338202</v>
      </c>
      <c r="K14" s="175">
        <v>0.87858137667629799</v>
      </c>
    </row>
    <row r="15" spans="2:11" ht="15" customHeight="1" x14ac:dyDescent="0.25">
      <c r="B15" s="154" t="s">
        <v>53</v>
      </c>
      <c r="C15" s="58"/>
      <c r="D15" s="176">
        <v>424981.81575159897</v>
      </c>
      <c r="E15" s="175">
        <v>0.46243797005787901</v>
      </c>
      <c r="F15" s="173"/>
      <c r="G15" s="176">
        <v>289300.59479243698</v>
      </c>
      <c r="H15" s="175">
        <v>0.58558824397702502</v>
      </c>
      <c r="I15" s="173"/>
      <c r="J15" s="176">
        <v>248860.441032103</v>
      </c>
      <c r="K15" s="175">
        <v>0.57866045920682696</v>
      </c>
    </row>
    <row r="16" spans="2:11" ht="15" customHeight="1" x14ac:dyDescent="0.25">
      <c r="B16" s="154" t="s">
        <v>54</v>
      </c>
      <c r="C16" s="58"/>
      <c r="D16" s="176">
        <v>367788.269800396</v>
      </c>
      <c r="E16" s="175">
        <v>0.40822167913032698</v>
      </c>
      <c r="F16" s="173"/>
      <c r="G16" s="176">
        <v>258175.84145523401</v>
      </c>
      <c r="H16" s="175">
        <v>0.52398124038157401</v>
      </c>
      <c r="I16" s="173"/>
      <c r="J16" s="176">
        <v>214280.27856381901</v>
      </c>
      <c r="K16" s="175">
        <v>0.514876318703403</v>
      </c>
    </row>
    <row r="17" spans="2:11" ht="15" customHeight="1" x14ac:dyDescent="0.25">
      <c r="B17" s="154" t="s">
        <v>60</v>
      </c>
      <c r="C17" s="58"/>
      <c r="D17" s="176">
        <v>312544.74847125</v>
      </c>
      <c r="E17" s="175">
        <v>0.35911745643019199</v>
      </c>
      <c r="F17" s="173"/>
      <c r="G17" s="176">
        <v>195116.30587683601</v>
      </c>
      <c r="H17" s="175">
        <v>0.41677183740422702</v>
      </c>
      <c r="I17" s="173"/>
      <c r="J17" s="176">
        <v>194167.46951154899</v>
      </c>
      <c r="K17" s="175">
        <v>0.47666728109119899</v>
      </c>
    </row>
    <row r="18" spans="2:11" ht="6.95" customHeight="1" x14ac:dyDescent="0.25">
      <c r="B18" s="151"/>
      <c r="C18" s="32"/>
      <c r="D18" s="173"/>
      <c r="E18" s="177"/>
      <c r="F18" s="178"/>
      <c r="G18" s="173"/>
      <c r="H18" s="177"/>
      <c r="I18" s="177"/>
      <c r="J18" s="173"/>
      <c r="K18" s="177"/>
    </row>
    <row r="19" spans="2:11" ht="15" customHeight="1" x14ac:dyDescent="0.25">
      <c r="B19" s="152" t="s">
        <v>6</v>
      </c>
      <c r="C19" s="98"/>
      <c r="D19" s="173">
        <v>1202696.45731675</v>
      </c>
      <c r="E19" s="174">
        <v>0</v>
      </c>
      <c r="F19" s="173"/>
      <c r="G19" s="173">
        <v>732477.33212123101</v>
      </c>
      <c r="H19" s="174">
        <v>0</v>
      </c>
      <c r="I19" s="173"/>
      <c r="J19" s="173">
        <v>655788.85438650905</v>
      </c>
      <c r="K19" s="174">
        <v>0</v>
      </c>
    </row>
    <row r="20" spans="2:11" ht="6.95" customHeight="1" x14ac:dyDescent="0.25">
      <c r="B20" s="152"/>
      <c r="C20" s="98"/>
      <c r="D20" s="173"/>
      <c r="E20" s="175"/>
      <c r="F20" s="173"/>
      <c r="G20" s="173"/>
      <c r="H20" s="175"/>
      <c r="I20" s="176"/>
      <c r="J20" s="173"/>
      <c r="K20" s="175"/>
    </row>
    <row r="21" spans="2:11" ht="15" customHeight="1" x14ac:dyDescent="0.25">
      <c r="B21" s="57" t="s">
        <v>74</v>
      </c>
      <c r="C21" s="98"/>
      <c r="D21" s="176">
        <v>558227.78348370804</v>
      </c>
      <c r="E21" s="175">
        <v>1.3602209013823501</v>
      </c>
      <c r="F21" s="173"/>
      <c r="G21" s="176">
        <v>351872.51220523298</v>
      </c>
      <c r="H21" s="175">
        <v>1.71774301607664</v>
      </c>
      <c r="I21" s="173"/>
      <c r="J21" s="176">
        <v>322319.20838887797</v>
      </c>
      <c r="K21" s="175">
        <v>1.8059268768174399</v>
      </c>
    </row>
    <row r="22" spans="2:11" ht="15" customHeight="1" x14ac:dyDescent="0.25">
      <c r="B22" s="154" t="s">
        <v>52</v>
      </c>
      <c r="C22" s="98"/>
      <c r="D22" s="176">
        <v>538846.08519703394</v>
      </c>
      <c r="E22" s="175">
        <v>1.18159873774626</v>
      </c>
      <c r="F22" s="173"/>
      <c r="G22" s="176">
        <v>385888.08811690297</v>
      </c>
      <c r="H22" s="175">
        <v>1.7168676413743</v>
      </c>
      <c r="I22" s="173"/>
      <c r="J22" s="176">
        <v>304135.61816194199</v>
      </c>
      <c r="K22" s="175">
        <v>1.6177412739822401</v>
      </c>
    </row>
    <row r="23" spans="2:11" ht="15" customHeight="1" x14ac:dyDescent="0.25">
      <c r="B23" s="154" t="s">
        <v>53</v>
      </c>
      <c r="C23" s="98"/>
      <c r="D23" s="176">
        <v>348255.756896879</v>
      </c>
      <c r="E23" s="175">
        <v>0.95234895610343295</v>
      </c>
      <c r="F23" s="173"/>
      <c r="G23" s="176">
        <v>205007.32472975799</v>
      </c>
      <c r="H23" s="175">
        <v>1.07963062560381</v>
      </c>
      <c r="I23" s="173"/>
      <c r="J23" s="176">
        <v>206899.236705171</v>
      </c>
      <c r="K23" s="175">
        <v>1.2512726239979499</v>
      </c>
    </row>
    <row r="24" spans="2:11" ht="15" customHeight="1" x14ac:dyDescent="0.25">
      <c r="B24" s="154" t="s">
        <v>54</v>
      </c>
      <c r="C24" s="56"/>
      <c r="D24" s="176">
        <v>341876.57011768001</v>
      </c>
      <c r="E24" s="175">
        <v>1.09635491453728</v>
      </c>
      <c r="F24" s="173"/>
      <c r="G24" s="176">
        <v>237967.36191337</v>
      </c>
      <c r="H24" s="175">
        <v>1.30728755598021</v>
      </c>
      <c r="I24" s="173"/>
      <c r="J24" s="176">
        <v>183826.50866583301</v>
      </c>
      <c r="K24" s="175">
        <v>1.30035933636482</v>
      </c>
    </row>
    <row r="25" spans="2:11" ht="15" customHeight="1" x14ac:dyDescent="0.25">
      <c r="B25" s="154" t="s">
        <v>60</v>
      </c>
      <c r="C25" s="56"/>
      <c r="D25" s="176">
        <v>255965.68729419599</v>
      </c>
      <c r="E25" s="175">
        <v>0.83609797808967701</v>
      </c>
      <c r="F25" s="173"/>
      <c r="G25" s="176">
        <v>147693.99659001699</v>
      </c>
      <c r="H25" s="175">
        <v>0.89621364194836095</v>
      </c>
      <c r="I25" s="173"/>
      <c r="J25" s="176">
        <v>153055.11811729299</v>
      </c>
      <c r="K25" s="175">
        <v>1.08276661638003</v>
      </c>
    </row>
    <row r="26" spans="2:11" ht="6.95" customHeight="1" x14ac:dyDescent="0.25">
      <c r="B26" s="153"/>
      <c r="C26" s="59"/>
      <c r="D26" s="173"/>
      <c r="E26" s="177"/>
      <c r="F26" s="178"/>
      <c r="G26" s="173"/>
      <c r="H26" s="177"/>
      <c r="I26" s="177"/>
      <c r="J26" s="173"/>
      <c r="K26" s="177"/>
    </row>
    <row r="27" spans="2:11" x14ac:dyDescent="0.25">
      <c r="B27" s="152" t="s">
        <v>7</v>
      </c>
      <c r="C27" s="98"/>
      <c r="D27" s="173">
        <v>1215345.35573305</v>
      </c>
      <c r="E27" s="174">
        <v>0</v>
      </c>
      <c r="F27" s="173"/>
      <c r="G27" s="173">
        <v>853166.62916364695</v>
      </c>
      <c r="H27" s="174">
        <v>0</v>
      </c>
      <c r="I27" s="173"/>
      <c r="J27" s="173">
        <v>704303.09797417896</v>
      </c>
      <c r="K27" s="174">
        <v>0</v>
      </c>
    </row>
    <row r="28" spans="2:11" ht="7.5" customHeight="1" x14ac:dyDescent="0.25">
      <c r="B28" s="152"/>
      <c r="C28" s="98"/>
      <c r="D28" s="173"/>
      <c r="E28" s="175"/>
      <c r="F28" s="173"/>
      <c r="G28" s="173"/>
      <c r="H28" s="175"/>
      <c r="I28" s="176"/>
      <c r="J28" s="173"/>
      <c r="K28" s="175"/>
    </row>
    <row r="29" spans="2:11" ht="15" customHeight="1" x14ac:dyDescent="0.25">
      <c r="B29" s="57" t="s">
        <v>74</v>
      </c>
      <c r="C29" s="98"/>
      <c r="D29" s="176">
        <v>708306.11815821205</v>
      </c>
      <c r="E29" s="175">
        <v>0.94110884031694797</v>
      </c>
      <c r="F29" s="173"/>
      <c r="G29" s="176">
        <v>501163.73982634401</v>
      </c>
      <c r="H29" s="175">
        <v>1.2633382123872301</v>
      </c>
      <c r="I29" s="173"/>
      <c r="J29" s="176">
        <v>465997.32817928499</v>
      </c>
      <c r="K29" s="175">
        <v>1.18670618230972</v>
      </c>
    </row>
    <row r="30" spans="2:11" ht="15" customHeight="1" x14ac:dyDescent="0.25">
      <c r="B30" s="154" t="s">
        <v>52</v>
      </c>
      <c r="C30" s="98"/>
      <c r="D30" s="176">
        <v>635168.41431210097</v>
      </c>
      <c r="E30" s="175">
        <v>0.79075057657854697</v>
      </c>
      <c r="F30" s="173"/>
      <c r="G30" s="176">
        <v>464413.344843067</v>
      </c>
      <c r="H30" s="175">
        <v>1.1380457255607499</v>
      </c>
      <c r="I30" s="173"/>
      <c r="J30" s="176">
        <v>376395.84949900903</v>
      </c>
      <c r="K30" s="175">
        <v>1.0666417044277601</v>
      </c>
    </row>
    <row r="31" spans="2:11" ht="15" customHeight="1" x14ac:dyDescent="0.25">
      <c r="B31" s="154" t="s">
        <v>53</v>
      </c>
      <c r="C31" s="98"/>
      <c r="D31" s="176">
        <v>315049.798980536</v>
      </c>
      <c r="E31" s="175">
        <v>0.50436738107319801</v>
      </c>
      <c r="F31" s="173"/>
      <c r="G31" s="176">
        <v>237116.719225899</v>
      </c>
      <c r="H31" s="175">
        <v>0.71468417343677404</v>
      </c>
      <c r="I31" s="173"/>
      <c r="J31" s="176">
        <v>160030.43090950901</v>
      </c>
      <c r="K31" s="175">
        <v>0.57016961600954097</v>
      </c>
    </row>
    <row r="32" spans="2:11" ht="15" customHeight="1" x14ac:dyDescent="0.25">
      <c r="B32" s="154" t="s">
        <v>54</v>
      </c>
      <c r="C32" s="98"/>
      <c r="D32" s="176">
        <v>195808.407287893</v>
      </c>
      <c r="E32" s="175">
        <v>0.32597639446733101</v>
      </c>
      <c r="F32" s="173"/>
      <c r="G32" s="176">
        <v>144152.773517408</v>
      </c>
      <c r="H32" s="175">
        <v>0.44631688565473598</v>
      </c>
      <c r="I32" s="173"/>
      <c r="J32" s="176">
        <v>117172.190747815</v>
      </c>
      <c r="K32" s="175">
        <v>0.43212872743237102</v>
      </c>
    </row>
    <row r="33" spans="2:11" ht="15" customHeight="1" x14ac:dyDescent="0.25">
      <c r="B33" s="154" t="s">
        <v>60</v>
      </c>
      <c r="C33" s="98"/>
      <c r="D33" s="176">
        <v>185639.72464958599</v>
      </c>
      <c r="E33" s="175">
        <v>0.32164474239197799</v>
      </c>
      <c r="F33" s="173"/>
      <c r="G33" s="176">
        <v>131628.938556017</v>
      </c>
      <c r="H33" s="175">
        <v>0.43017606087797</v>
      </c>
      <c r="I33" s="173"/>
      <c r="J33" s="176">
        <v>120217.03652542501</v>
      </c>
      <c r="K33" s="175">
        <v>0.44236963858127698</v>
      </c>
    </row>
    <row r="34" spans="2:11" ht="7.5" customHeight="1" x14ac:dyDescent="0.25">
      <c r="B34" s="33"/>
      <c r="C34" s="33"/>
      <c r="D34" s="179"/>
      <c r="E34" s="179"/>
      <c r="F34" s="179"/>
      <c r="G34" s="179"/>
      <c r="H34" s="180"/>
      <c r="I34" s="180"/>
      <c r="J34" s="180"/>
      <c r="K34" s="179"/>
    </row>
    <row r="35" spans="2:11" ht="6.95" customHeight="1" x14ac:dyDescent="0.25">
      <c r="B35" s="31"/>
      <c r="C35" s="31"/>
      <c r="D35" s="127"/>
      <c r="E35" s="37"/>
      <c r="F35" s="37"/>
      <c r="G35" s="127"/>
      <c r="H35" s="31"/>
      <c r="I35" s="31"/>
      <c r="J35" s="131"/>
      <c r="K35" s="30"/>
    </row>
    <row r="36" spans="2:11" ht="12" customHeight="1" x14ac:dyDescent="0.25">
      <c r="B36" s="210" t="s">
        <v>65</v>
      </c>
      <c r="C36" s="210"/>
      <c r="D36" s="210"/>
      <c r="E36" s="210"/>
      <c r="F36" s="210"/>
      <c r="G36" s="210"/>
    </row>
    <row r="37" spans="2:11" ht="12" customHeight="1" x14ac:dyDescent="0.25"/>
    <row r="38" spans="2:11" ht="12" customHeight="1" x14ac:dyDescent="0.25"/>
    <row r="39" spans="2:11" ht="12" customHeight="1" x14ac:dyDescent="0.25"/>
  </sheetData>
  <mergeCells count="7">
    <mergeCell ref="B36:G36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0EC6A637-B5FB-4CA5-971B-D4D8D296622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E2D2-A88F-4CE2-848D-6A99CE9C86CB}">
  <dimension ref="B1:K28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</row>
    <row r="4" spans="2:11" ht="6.95" customHeight="1" x14ac:dyDescent="0.25">
      <c r="B4" s="24"/>
      <c r="C4" s="24"/>
      <c r="D4" s="124"/>
      <c r="E4" s="25"/>
      <c r="F4" s="25"/>
      <c r="G4" s="124"/>
      <c r="H4" s="26"/>
      <c r="I4" s="26"/>
      <c r="J4" s="128"/>
    </row>
    <row r="5" spans="2:11" x14ac:dyDescent="0.25">
      <c r="B5" s="53" t="s">
        <v>80</v>
      </c>
      <c r="C5" s="53"/>
      <c r="D5" s="124"/>
      <c r="E5" s="25"/>
      <c r="F5" s="25"/>
      <c r="G5" s="124"/>
      <c r="H5" s="27"/>
      <c r="I5" s="27"/>
      <c r="J5" s="129"/>
      <c r="K5" s="52" t="s">
        <v>50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67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33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55" t="s">
        <v>1</v>
      </c>
      <c r="C11" s="55"/>
      <c r="D11" s="173">
        <v>940724.76979118201</v>
      </c>
      <c r="E11" s="174">
        <v>0</v>
      </c>
      <c r="F11" s="173"/>
      <c r="G11" s="173">
        <v>790274.85617909802</v>
      </c>
      <c r="H11" s="174">
        <v>0</v>
      </c>
      <c r="I11" s="173"/>
      <c r="J11" s="173">
        <v>719306.42915879702</v>
      </c>
      <c r="K11" s="174">
        <v>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x14ac:dyDescent="0.25">
      <c r="B13" s="150" t="s">
        <v>44</v>
      </c>
      <c r="C13" s="56"/>
      <c r="D13" s="176">
        <v>153965.40455218399</v>
      </c>
      <c r="E13" s="175">
        <v>0.17789166607913301</v>
      </c>
      <c r="F13" s="173"/>
      <c r="G13" s="176">
        <v>70691.171595019507</v>
      </c>
      <c r="H13" s="175">
        <v>0.15220735148026601</v>
      </c>
      <c r="I13" s="173"/>
      <c r="J13" s="176">
        <v>136871.78911364099</v>
      </c>
      <c r="K13" s="175">
        <v>0.34276431847350097</v>
      </c>
    </row>
    <row r="14" spans="2:11" x14ac:dyDescent="0.25">
      <c r="B14" s="150" t="s">
        <v>45</v>
      </c>
      <c r="C14" s="58"/>
      <c r="D14" s="176">
        <v>944545.95492954797</v>
      </c>
      <c r="E14" s="175">
        <v>0.17789166607913301</v>
      </c>
      <c r="F14" s="173"/>
      <c r="G14" s="176">
        <v>790268.75188001804</v>
      </c>
      <c r="H14" s="175">
        <v>0.15220735148026601</v>
      </c>
      <c r="I14" s="173"/>
      <c r="J14" s="176">
        <v>724092.95203737495</v>
      </c>
      <c r="K14" s="175">
        <v>0.34276431847350097</v>
      </c>
    </row>
    <row r="15" spans="2:11" ht="6.95" customHeight="1" x14ac:dyDescent="0.25">
      <c r="B15" s="151"/>
      <c r="C15" s="32"/>
      <c r="D15" s="173"/>
      <c r="E15" s="177"/>
      <c r="F15" s="178"/>
      <c r="G15" s="173"/>
      <c r="H15" s="177"/>
      <c r="I15" s="177"/>
      <c r="J15" s="173"/>
      <c r="K15" s="177"/>
    </row>
    <row r="16" spans="2:11" x14ac:dyDescent="0.25">
      <c r="B16" s="152" t="s">
        <v>6</v>
      </c>
      <c r="C16" s="98"/>
      <c r="D16" s="173">
        <v>1202696.45731675</v>
      </c>
      <c r="E16" s="174">
        <v>0</v>
      </c>
      <c r="F16" s="173"/>
      <c r="G16" s="173">
        <v>732477.33212123101</v>
      </c>
      <c r="H16" s="174">
        <v>0</v>
      </c>
      <c r="I16" s="173"/>
      <c r="J16" s="173">
        <v>655788.85438650905</v>
      </c>
      <c r="K16" s="174">
        <v>0</v>
      </c>
    </row>
    <row r="17" spans="2:11" ht="6.95" customHeight="1" x14ac:dyDescent="0.25">
      <c r="B17" s="152"/>
      <c r="C17" s="98"/>
      <c r="D17" s="173"/>
      <c r="E17" s="175"/>
      <c r="F17" s="173"/>
      <c r="G17" s="173"/>
      <c r="H17" s="175"/>
      <c r="I17" s="176"/>
      <c r="J17" s="173"/>
      <c r="K17" s="175"/>
    </row>
    <row r="18" spans="2:11" x14ac:dyDescent="0.25">
      <c r="B18" s="150" t="s">
        <v>44</v>
      </c>
      <c r="C18" s="56"/>
      <c r="D18" s="176">
        <v>61973.342699035202</v>
      </c>
      <c r="E18" s="175">
        <v>0.20768327138121201</v>
      </c>
      <c r="F18" s="173"/>
      <c r="G18" s="176">
        <v>22938.962814390699</v>
      </c>
      <c r="H18" s="175">
        <v>0.139639867663891</v>
      </c>
      <c r="I18" s="173"/>
      <c r="J18" s="176">
        <v>54420.660522583603</v>
      </c>
      <c r="K18" s="175">
        <v>0.406044953203754</v>
      </c>
    </row>
    <row r="19" spans="2:11" x14ac:dyDescent="0.25">
      <c r="B19" s="150" t="s">
        <v>45</v>
      </c>
      <c r="C19" s="56"/>
      <c r="D19" s="176">
        <v>1199296.1248728</v>
      </c>
      <c r="E19" s="175">
        <v>0.20768327138121201</v>
      </c>
      <c r="F19" s="173"/>
      <c r="G19" s="176">
        <v>730553.19153938605</v>
      </c>
      <c r="H19" s="175">
        <v>0.139639867663891</v>
      </c>
      <c r="I19" s="173"/>
      <c r="J19" s="176">
        <v>655876.29440428806</v>
      </c>
      <c r="K19" s="175">
        <v>0.406044953203754</v>
      </c>
    </row>
    <row r="20" spans="2:11" ht="7.5" customHeight="1" x14ac:dyDescent="0.25">
      <c r="B20" s="153"/>
      <c r="C20" s="59"/>
      <c r="D20" s="173"/>
      <c r="E20" s="177"/>
      <c r="F20" s="178"/>
      <c r="G20" s="173"/>
      <c r="H20" s="177"/>
      <c r="I20" s="177"/>
      <c r="J20" s="173"/>
      <c r="K20" s="177"/>
    </row>
    <row r="21" spans="2:11" x14ac:dyDescent="0.25">
      <c r="B21" s="152" t="s">
        <v>7</v>
      </c>
      <c r="C21" s="98"/>
      <c r="D21" s="173">
        <v>1215345.35573305</v>
      </c>
      <c r="E21" s="174">
        <v>0</v>
      </c>
      <c r="F21" s="173"/>
      <c r="G21" s="173">
        <v>853166.62916364695</v>
      </c>
      <c r="H21" s="174">
        <v>0</v>
      </c>
      <c r="I21" s="173"/>
      <c r="J21" s="173">
        <v>704303.09797417896</v>
      </c>
      <c r="K21" s="174">
        <v>0</v>
      </c>
    </row>
    <row r="22" spans="2:11" ht="7.5" customHeight="1" x14ac:dyDescent="0.25">
      <c r="B22" s="152"/>
      <c r="C22" s="98"/>
      <c r="D22" s="173"/>
      <c r="E22" s="175"/>
      <c r="F22" s="173"/>
      <c r="G22" s="173"/>
      <c r="H22" s="175"/>
      <c r="I22" s="176"/>
      <c r="J22" s="173"/>
      <c r="K22" s="175"/>
    </row>
    <row r="23" spans="2:11" x14ac:dyDescent="0.25">
      <c r="B23" s="150" t="s">
        <v>44</v>
      </c>
      <c r="C23" s="98"/>
      <c r="D23" s="176">
        <v>141558.160515325</v>
      </c>
      <c r="E23" s="175">
        <v>0.24575770165434299</v>
      </c>
      <c r="F23" s="173"/>
      <c r="G23" s="176">
        <v>67017.851550735999</v>
      </c>
      <c r="H23" s="175">
        <v>0.22108583392637701</v>
      </c>
      <c r="I23" s="173"/>
      <c r="J23" s="176">
        <v>125644.701666198</v>
      </c>
      <c r="K23" s="175">
        <v>0.46867631741819199</v>
      </c>
    </row>
    <row r="24" spans="2:11" x14ac:dyDescent="0.25">
      <c r="B24" s="150" t="s">
        <v>45</v>
      </c>
      <c r="C24" s="98"/>
      <c r="D24" s="176">
        <v>1197886.93731319</v>
      </c>
      <c r="E24" s="175">
        <v>0.24575770165434299</v>
      </c>
      <c r="F24" s="173"/>
      <c r="G24" s="176">
        <v>847962.66675024806</v>
      </c>
      <c r="H24" s="175">
        <v>0.22108583392637701</v>
      </c>
      <c r="I24" s="173"/>
      <c r="J24" s="176">
        <v>696095.42349800805</v>
      </c>
      <c r="K24" s="175">
        <v>0.46867631741819199</v>
      </c>
    </row>
    <row r="25" spans="2:11" ht="6.95" customHeight="1" x14ac:dyDescent="0.25">
      <c r="B25" s="33"/>
      <c r="C25" s="33"/>
      <c r="D25" s="126"/>
      <c r="E25" s="34"/>
      <c r="F25" s="34"/>
      <c r="G25" s="126"/>
      <c r="H25" s="33"/>
      <c r="I25" s="33"/>
      <c r="J25" s="132"/>
      <c r="K25" s="35"/>
    </row>
    <row r="26" spans="2:11" ht="6.95" customHeight="1" x14ac:dyDescent="0.25">
      <c r="B26" s="31"/>
      <c r="C26" s="31"/>
      <c r="D26" s="127"/>
      <c r="E26" s="37"/>
      <c r="F26" s="37"/>
      <c r="G26" s="127"/>
      <c r="H26" s="31"/>
      <c r="I26" s="31"/>
      <c r="J26" s="131"/>
      <c r="K26" s="30"/>
    </row>
    <row r="27" spans="2:11" x14ac:dyDescent="0.25">
      <c r="B27" s="88" t="s">
        <v>51</v>
      </c>
      <c r="C27" s="31"/>
      <c r="D27" s="127"/>
      <c r="E27" s="37"/>
      <c r="F27" s="37"/>
      <c r="G27" s="127"/>
      <c r="H27" s="31"/>
      <c r="I27" s="31"/>
      <c r="J27" s="131"/>
      <c r="K27" s="30"/>
    </row>
    <row r="28" spans="2:11" ht="12" customHeight="1" x14ac:dyDescent="0.25">
      <c r="B28" s="210" t="s">
        <v>65</v>
      </c>
      <c r="C28" s="210"/>
      <c r="D28" s="210"/>
      <c r="E28" s="210"/>
      <c r="F28" s="210"/>
      <c r="G28" s="210"/>
    </row>
  </sheetData>
  <mergeCells count="6">
    <mergeCell ref="B28:G28"/>
    <mergeCell ref="B7:B9"/>
    <mergeCell ref="D7:E8"/>
    <mergeCell ref="G7:K7"/>
    <mergeCell ref="G8:H8"/>
    <mergeCell ref="J8:K8"/>
  </mergeCells>
  <hyperlinks>
    <hyperlink ref="K1" location="Índice!A1" tooltip="Ir a ÍNDICE" display="INDICE" xr:uid="{F3E4F5F7-E31F-4352-B657-48742566AC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ÍNDICE</vt:lpstr>
      <vt:lpstr>Cuadro 7.1</vt:lpstr>
      <vt:lpstr>Cuadro 7.2</vt:lpstr>
      <vt:lpstr>Cuadro 7.3</vt:lpstr>
      <vt:lpstr>Cuadro 7.4</vt:lpstr>
      <vt:lpstr>Cuadro 7.5</vt:lpstr>
      <vt:lpstr>Cuadro 7.6</vt:lpstr>
      <vt:lpstr>Cuadro 7.7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2021-07-28T19:11:12Z</dcterms:created>
  <dcterms:modified xsi:type="dcterms:W3CDTF">2025-03-11T17:33:24Z</dcterms:modified>
</cp:coreProperties>
</file>