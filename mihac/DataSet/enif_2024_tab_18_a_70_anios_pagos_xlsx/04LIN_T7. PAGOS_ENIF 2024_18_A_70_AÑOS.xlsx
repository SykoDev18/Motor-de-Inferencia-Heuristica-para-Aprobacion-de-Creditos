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7\"/>
    </mc:Choice>
  </mc:AlternateContent>
  <xr:revisionPtr revIDLastSave="0" documentId="13_ncr:1_{C4197569-E2E4-4DEB-8569-9FDF64AD9EAE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ÍNDICE" sheetId="7" r:id="rId1"/>
    <sheet name="Cuadro 7.1" sheetId="1" r:id="rId2"/>
    <sheet name="Cuadro 7.2" sheetId="16" r:id="rId3"/>
    <sheet name="Cuadro 7.3" sheetId="17" r:id="rId4"/>
    <sheet name="Cuadro 7.4" sheetId="18" r:id="rId5"/>
    <sheet name="Cuadro 7.5" sheetId="19" r:id="rId6"/>
    <sheet name="Cuadro 7.6" sheetId="20" r:id="rId7"/>
    <sheet name="Cuadro 7.7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7" l="1"/>
</calcChain>
</file>

<file path=xl/sharedStrings.xml><?xml version="1.0" encoding="utf-8"?>
<sst xmlns="http://schemas.openxmlformats.org/spreadsheetml/2006/main" count="323" uniqueCount="90">
  <si>
    <t xml:space="preserve">Efectivo </t>
  </si>
  <si>
    <t>Estados Unidos Mexicanos</t>
  </si>
  <si>
    <t xml:space="preserve">Compras de 500 pesos o menos </t>
  </si>
  <si>
    <t xml:space="preserve">Compras de 501 pesos o más </t>
  </si>
  <si>
    <t>Mujeres</t>
  </si>
  <si>
    <t>Hombres</t>
  </si>
  <si>
    <t>1 a 14 999 habitantes</t>
  </si>
  <si>
    <t xml:space="preserve">15 000 y más habitantes </t>
  </si>
  <si>
    <t xml:space="preserve">Mujeres </t>
  </si>
  <si>
    <t>No lo ha utilizado</t>
  </si>
  <si>
    <t>Efectivo</t>
  </si>
  <si>
    <t>Pagos de servicios públicos o privados como agua, luz, internet, entre otros</t>
  </si>
  <si>
    <t>Cuadro 7.1</t>
  </si>
  <si>
    <t>Cuadro 7.2</t>
  </si>
  <si>
    <t>Cuadro 7.3</t>
  </si>
  <si>
    <t>Cuadro 7.4</t>
  </si>
  <si>
    <t>Sí recibe dinero de familiares o personas conocidas que viven en otro país</t>
  </si>
  <si>
    <t>No recibe dinero de familiares o personas conocidas que viven en otro país</t>
  </si>
  <si>
    <t>Transferencia electrónica o aplicación celular</t>
  </si>
  <si>
    <t xml:space="preserve">Total </t>
  </si>
  <si>
    <r>
      <t xml:space="preserve">Medio de pago </t>
    </r>
    <r>
      <rPr>
        <b/>
        <vertAlign val="superscript"/>
        <sz val="8"/>
        <color theme="1"/>
        <rFont val="Arial"/>
        <family val="2"/>
      </rPr>
      <t xml:space="preserve">2 </t>
    </r>
  </si>
  <si>
    <t>Población de 18 a 70 años</t>
  </si>
  <si>
    <t xml:space="preserve">Medio de pago </t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</si>
  <si>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</si>
  <si>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 y tipo de pago según sexo y medio de pago</t>
  </si>
  <si>
    <t>Absolutos</t>
  </si>
  <si>
    <t>Relativos</t>
  </si>
  <si>
    <t>ÍNDICE</t>
  </si>
  <si>
    <t>TABULADOS BÁSICOS</t>
  </si>
  <si>
    <t>Nivel de confianza del 90%</t>
  </si>
  <si>
    <t>Tema</t>
  </si>
  <si>
    <t>ID Cuadro</t>
  </si>
  <si>
    <t>Título</t>
  </si>
  <si>
    <r>
      <t xml:space="preserve">Tema 7. 
</t>
    </r>
    <r>
      <rPr>
        <sz val="11"/>
        <color theme="10"/>
        <rFont val="Arial"/>
        <family val="2"/>
      </rPr>
      <t>Pagos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</si>
  <si>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remesadoras.</t>
    </r>
  </si>
  <si>
    <r>
      <t xml:space="preserve">1 </t>
    </r>
    <r>
      <rPr>
        <sz val="8"/>
        <rFont val="Arial"/>
        <family val="2"/>
      </rPr>
      <t>La suma por tipo de compra o pago puede ser mayor al total porque una persona pudo haber realizado más de un tipo.</t>
    </r>
  </si>
  <si>
    <r>
      <t xml:space="preserve">2 </t>
    </r>
    <r>
      <rPr>
        <sz val="8"/>
        <rFont val="Arial"/>
        <family val="2"/>
      </rPr>
      <t>La suma de medio de pago puede ser mayor al total porque una persona pudo usar más de un tipo.</t>
    </r>
  </si>
  <si>
    <t>Tamaño de localidad y recepción de dinero de personas de otro país y medio de recepción</t>
  </si>
  <si>
    <t>Población de 18 a 70 años por tamaño de localidad y condición de recepción de dinero de personas de otro país en el último año y medio de recepción según sexo</t>
  </si>
  <si>
    <r>
      <t>Total</t>
    </r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 xml:space="preserve"> </t>
    </r>
  </si>
  <si>
    <t>Tamaño de localidad y compras en comercios o pagos de servicios</t>
  </si>
  <si>
    <t>Pagos de transporte público o privado como taxis, Uber, Didi, camión, metro, entre otros</t>
  </si>
  <si>
    <t>Uso físico de tarjeta de débito o crédito</t>
  </si>
  <si>
    <t>Transferencia electrónica o aplicación de celular</t>
  </si>
  <si>
    <t>Sí ha comprado o invertido en activos virtuales</t>
  </si>
  <si>
    <t>No ha comprado o invertido en activos virtuales</t>
  </si>
  <si>
    <t>Cuadro 7.5</t>
  </si>
  <si>
    <t>Al celular</t>
  </si>
  <si>
    <t>No ha realizado transferencias o envíos de dinero por internet o aplicación celular</t>
  </si>
  <si>
    <t>Cuadro 7.6</t>
  </si>
  <si>
    <t>Cuadro 7.7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</si>
  <si>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Bitcoin, ETHER, XRP, NFT, entre otros.</t>
    </r>
  </si>
  <si>
    <t>En algunos</t>
  </si>
  <si>
    <t>En pocos</t>
  </si>
  <si>
    <t>En ninguno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</si>
  <si>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pudo responder más de un tipo de compra.</t>
    </r>
  </si>
  <si>
    <t>Sí conoce el Dinero Móvil o DiMo</t>
  </si>
  <si>
    <t>No conoce el Dinero Móvil o DiMo</t>
  </si>
  <si>
    <t>No conoce el Cobro Digital o CoDi</t>
  </si>
  <si>
    <t>Sí conoce el Cobro Digital o CoDi</t>
  </si>
  <si>
    <t>No sabe</t>
  </si>
  <si>
    <t xml:space="preserve">En una cuenta o tarjeta </t>
  </si>
  <si>
    <t xml:space="preserve">En efectivo </t>
  </si>
  <si>
    <r>
      <t>Otra forma de recepción</t>
    </r>
    <r>
      <rPr>
        <vertAlign val="superscript"/>
        <sz val="8"/>
        <color theme="1"/>
        <rFont val="Arial"/>
        <family val="2"/>
      </rPr>
      <t>1</t>
    </r>
  </si>
  <si>
    <t xml:space="preserve">Tamaño de localidad
y tipo de pago 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</si>
  <si>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</si>
  <si>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Sí lo ha utilizado</t>
  </si>
  <si>
    <t>Tamaño de localidad y condición de compra
o inversión en activos virtuales</t>
  </si>
  <si>
    <t>Sí ha realizado transferencias o envíos de dinero
por internet o aplicación celular</t>
  </si>
  <si>
    <t>Compras en mercados, tienditas
de abarrotes, u otras</t>
  </si>
  <si>
    <t>Compras en supermercados, tiendas de autoservicio, farmacias
o tiendas departamentales</t>
  </si>
  <si>
    <t>Compras por celular o Internet
como Amazon, Mercado Libre, Shein, entre otros</t>
  </si>
  <si>
    <t>Tamaño de localidad y condición de realizar transferencias o envíos por internet
o aplicación celular</t>
  </si>
  <si>
    <t>Tamaño de localidad y nivel de aceptación de pagos con transferencia o tarjeta</t>
  </si>
  <si>
    <t>En todos o casi todos</t>
  </si>
  <si>
    <t>Encuesta Nacional de Inclusión Financiera (ENIF) 2024</t>
  </si>
  <si>
    <t>Población de 18 a 70 años por tamaño de localidad y compras en comercios o pagos de servicios según sexo y medio de pago</t>
  </si>
  <si>
    <t>Población de 18 a 70 años por tamaño de localidad y condición de realizar transferencias o envíos de dinero por internet o aplicación celular según sexo</t>
  </si>
  <si>
    <t>Población de 18 a 70 años por tamaño de localidad y nivel de aceptación de pagos  con transferencia o tarjeta en los comercios frecuentados según sexo</t>
  </si>
  <si>
    <t>Población de 18 a 70 años por tamaño de localidad y condición de compra o inversión en activos virtuales según sexo</t>
  </si>
  <si>
    <r>
      <t xml:space="preserve"> Población de 18 a 70 años por tamaño de localidad y condición de compra o inversión en activos virtuales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según sexo</t>
    </r>
  </si>
  <si>
    <t>Población de 18 a 70 años por tamaño de localidad y nivel de aceptación de pagos  con transferencia
o tarjeta en los comercios frecuentados según sexo</t>
  </si>
  <si>
    <r>
      <t>Población de 18 a 70 años por tamaño de localidad y condición de realizar transferencias o envíos de dinero 
por internet o aplicación celular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según sexo</t>
    </r>
  </si>
  <si>
    <t xml:space="preserve">Sexo </t>
  </si>
  <si>
    <t xml:space="preserve">Absolutos </t>
  </si>
  <si>
    <t>Población de 18 a 70 años por tamaño de localidad, condición de conocimiento de CoDi y DiMo y de uso de plataformas digitales según sexo</t>
  </si>
  <si>
    <t>Tamaño de localidad, condición de conocimiento de CoDi y DiMo y de uso de plataformas digitales</t>
  </si>
  <si>
    <t>Límite inferior.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</si>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</sst>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##\ ###\ ##0.0"/>
    <numFmt numFmtId="169" formatCode="###,###,###,##0"/>
    <numFmt numFmtId="170" formatCode="###\ ###\ ##0.00"/>
    <numFmt numFmtId="171" formatCode="###,###,###,###,##0.0;[Red]\-###,###,###,###,##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rgb="FFFF0000"/>
      <name val="Arial"/>
      <family val="2"/>
    </font>
    <font>
      <vertAlign val="superscript"/>
      <sz val="8"/>
      <color theme="1"/>
      <name val="Arial"/>
      <family val="2"/>
    </font>
    <font>
      <sz val="9"/>
      <color rgb="FF00339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rgb="FF003399"/>
      <name val="Arial"/>
      <family val="2"/>
    </font>
    <font>
      <b/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9"/>
      <color rgb="FFFF0000"/>
      <name val="Arial"/>
      <family val="2"/>
    </font>
    <font>
      <b/>
      <strike/>
      <sz val="8"/>
      <color rgb="FFFF000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13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/>
  </cellStyleXfs>
  <cellXfs count="230">
    <xf numFmtId="0" fontId="0" fillId="0" borderId="0" xfId="0"/>
    <xf numFmtId="0" fontId="2" fillId="2" borderId="0" xfId="2" applyFont="1" applyFill="1"/>
    <xf numFmtId="0" fontId="1" fillId="0" borderId="0" xfId="2"/>
    <xf numFmtId="0" fontId="3" fillId="0" borderId="0" xfId="2" applyFont="1" applyAlignment="1">
      <alignment horizontal="center" vertical="center" wrapText="1"/>
    </xf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/>
    <xf numFmtId="0" fontId="9" fillId="2" borderId="2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9" fillId="2" borderId="0" xfId="2" applyFont="1" applyFill="1" applyAlignment="1">
      <alignment horizontal="left" wrapText="1" indent="2"/>
    </xf>
    <xf numFmtId="0" fontId="9" fillId="0" borderId="0" xfId="2" applyFont="1" applyAlignment="1">
      <alignment horizontal="left" indent="1"/>
    </xf>
    <xf numFmtId="0" fontId="9" fillId="0" borderId="3" xfId="2" applyFont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1" fillId="0" borderId="3" xfId="2" applyBorder="1"/>
    <xf numFmtId="0" fontId="13" fillId="2" borderId="0" xfId="2" applyFont="1" applyFill="1" applyAlignment="1">
      <alignment vertical="center"/>
    </xf>
    <xf numFmtId="0" fontId="12" fillId="2" borderId="0" xfId="2" applyFont="1" applyFill="1" applyAlignment="1">
      <alignment vertical="center"/>
    </xf>
    <xf numFmtId="166" fontId="12" fillId="2" borderId="0" xfId="2" applyNumberFormat="1" applyFont="1" applyFill="1" applyAlignment="1">
      <alignment vertical="center" wrapText="1"/>
    </xf>
    <xf numFmtId="0" fontId="12" fillId="2" borderId="0" xfId="2" applyFont="1" applyFill="1" applyAlignment="1">
      <alignment vertical="center" wrapText="1"/>
    </xf>
    <xf numFmtId="166" fontId="1" fillId="0" borderId="0" xfId="2" applyNumberFormat="1"/>
    <xf numFmtId="167" fontId="9" fillId="2" borderId="0" xfId="1" applyNumberFormat="1" applyFont="1" applyFill="1" applyBorder="1" applyAlignment="1">
      <alignment horizontal="left" vertical="center"/>
    </xf>
    <xf numFmtId="167" fontId="9" fillId="2" borderId="0" xfId="1" applyNumberFormat="1" applyFont="1" applyFill="1" applyAlignment="1">
      <alignment horizontal="left" wrapText="1" indent="1"/>
    </xf>
    <xf numFmtId="167" fontId="9" fillId="2" borderId="0" xfId="1" applyNumberFormat="1" applyFont="1" applyFill="1" applyBorder="1" applyAlignment="1">
      <alignment horizontal="left"/>
    </xf>
    <xf numFmtId="0" fontId="0" fillId="0" borderId="3" xfId="0" applyBorder="1"/>
    <xf numFmtId="0" fontId="5" fillId="0" borderId="0" xfId="4" applyFont="1"/>
    <xf numFmtId="0" fontId="2" fillId="2" borderId="0" xfId="4" applyFont="1" applyFill="1" applyAlignment="1">
      <alignment horizontal="right"/>
    </xf>
    <xf numFmtId="0" fontId="1" fillId="0" borderId="0" xfId="4"/>
    <xf numFmtId="0" fontId="2" fillId="2" borderId="0" xfId="4" applyFont="1" applyFill="1"/>
    <xf numFmtId="0" fontId="6" fillId="2" borderId="3" xfId="4" applyFont="1" applyFill="1" applyBorder="1"/>
    <xf numFmtId="0" fontId="8" fillId="2" borderId="0" xfId="4" applyFont="1" applyFill="1"/>
    <xf numFmtId="165" fontId="3" fillId="2" borderId="0" xfId="4" applyNumberFormat="1" applyFont="1" applyFill="1" applyAlignment="1">
      <alignment horizontal="right"/>
    </xf>
    <xf numFmtId="0" fontId="3" fillId="2" borderId="0" xfId="4" applyFont="1" applyFill="1" applyAlignment="1">
      <alignment horizontal="left"/>
    </xf>
    <xf numFmtId="0" fontId="4" fillId="2" borderId="0" xfId="4" applyFont="1" applyFill="1" applyAlignment="1">
      <alignment horizontal="left" wrapText="1" indent="2"/>
    </xf>
    <xf numFmtId="0" fontId="3" fillId="2" borderId="3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right"/>
    </xf>
    <xf numFmtId="165" fontId="3" fillId="2" borderId="3" xfId="4" applyNumberFormat="1" applyFont="1" applyFill="1" applyBorder="1" applyAlignment="1">
      <alignment horizontal="right"/>
    </xf>
    <xf numFmtId="0" fontId="4" fillId="2" borderId="0" xfId="2" applyFont="1" applyFill="1" applyAlignment="1">
      <alignment horizontal="left" indent="2"/>
    </xf>
    <xf numFmtId="0" fontId="3" fillId="2" borderId="0" xfId="4" applyFont="1" applyFill="1" applyAlignment="1">
      <alignment horizontal="right"/>
    </xf>
    <xf numFmtId="0" fontId="2" fillId="0" borderId="0" xfId="4" applyFont="1"/>
    <xf numFmtId="0" fontId="9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8" fillId="2" borderId="0" xfId="2" applyFont="1" applyFill="1" applyAlignment="1">
      <alignment horizontal="left" vertical="center"/>
    </xf>
    <xf numFmtId="0" fontId="19" fillId="2" borderId="0" xfId="2" applyFont="1" applyFill="1" applyAlignment="1">
      <alignment horizontal="right"/>
    </xf>
    <xf numFmtId="0" fontId="9" fillId="3" borderId="3" xfId="7" applyFont="1" applyFill="1" applyBorder="1" applyAlignment="1">
      <alignment horizontal="right" vertical="center"/>
    </xf>
    <xf numFmtId="0" fontId="15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3" borderId="0" xfId="7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0" fontId="4" fillId="2" borderId="0" xfId="2" applyFont="1" applyFill="1" applyAlignment="1">
      <alignment horizontal="left" vertical="center" wrapText="1" indent="2"/>
    </xf>
    <xf numFmtId="168" fontId="21" fillId="2" borderId="0" xfId="8" applyNumberFormat="1" applyFont="1" applyFill="1" applyAlignment="1" applyProtection="1">
      <alignment horizontal="right"/>
    </xf>
    <xf numFmtId="168" fontId="3" fillId="0" borderId="0" xfId="0" applyNumberFormat="1" applyFont="1" applyAlignment="1">
      <alignment horizontal="right" vertical="center" wrapText="1"/>
    </xf>
    <xf numFmtId="0" fontId="19" fillId="2" borderId="0" xfId="4" applyFont="1" applyFill="1" applyAlignment="1">
      <alignment horizontal="right"/>
    </xf>
    <xf numFmtId="0" fontId="18" fillId="0" borderId="0" xfId="4" applyFont="1"/>
    <xf numFmtId="0" fontId="7" fillId="2" borderId="0" xfId="4" applyFont="1" applyFill="1" applyAlignment="1">
      <alignment horizontal="right"/>
    </xf>
    <xf numFmtId="0" fontId="3" fillId="2" borderId="0" xfId="4" applyFont="1" applyFill="1" applyAlignment="1">
      <alignment horizontal="left" vertical="center"/>
    </xf>
    <xf numFmtId="0" fontId="3" fillId="0" borderId="0" xfId="4" applyFont="1" applyAlignment="1">
      <alignment horizontal="left" vertical="center" indent="1"/>
    </xf>
    <xf numFmtId="0" fontId="4" fillId="2" borderId="0" xfId="4" applyFont="1" applyFill="1" applyAlignment="1">
      <alignment horizontal="left" vertical="center" wrapText="1" indent="2"/>
    </xf>
    <xf numFmtId="0" fontId="3" fillId="2" borderId="0" xfId="4" applyFont="1" applyFill="1" applyAlignment="1">
      <alignment horizontal="left" vertical="center" indent="1"/>
    </xf>
    <xf numFmtId="0" fontId="9" fillId="2" borderId="0" xfId="4" applyFont="1" applyFill="1" applyAlignment="1">
      <alignment horizontal="left" vertical="center" indent="1"/>
    </xf>
    <xf numFmtId="0" fontId="9" fillId="0" borderId="0" xfId="4" applyFont="1" applyAlignment="1">
      <alignment horizontal="left" vertical="center" wrapText="1" indent="1"/>
    </xf>
    <xf numFmtId="0" fontId="10" fillId="2" borderId="0" xfId="4" applyFont="1" applyFill="1" applyAlignment="1">
      <alignment horizontal="left" vertical="center" wrapText="1" indent="2"/>
    </xf>
    <xf numFmtId="0" fontId="9" fillId="2" borderId="0" xfId="4" applyFont="1" applyFill="1" applyAlignment="1">
      <alignment horizontal="left" vertical="center" wrapText="1" indent="1"/>
    </xf>
    <xf numFmtId="0" fontId="3" fillId="2" borderId="0" xfId="2" applyFont="1" applyFill="1" applyAlignment="1">
      <alignment horizontal="center" vertical="center" wrapText="1"/>
    </xf>
    <xf numFmtId="165" fontId="3" fillId="2" borderId="3" xfId="2" applyNumberFormat="1" applyFont="1" applyFill="1" applyBorder="1" applyAlignment="1">
      <alignment horizontal="right"/>
    </xf>
    <xf numFmtId="0" fontId="23" fillId="0" borderId="0" xfId="0" applyFont="1"/>
    <xf numFmtId="0" fontId="22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 indent="2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0" fontId="24" fillId="0" borderId="0" xfId="10" applyFont="1"/>
    <xf numFmtId="0" fontId="28" fillId="0" borderId="0" xfId="10" applyFont="1" applyAlignment="1">
      <alignment horizontal="center" vertical="center"/>
    </xf>
    <xf numFmtId="0" fontId="28" fillId="0" borderId="0" xfId="10" applyFont="1" applyAlignment="1">
      <alignment vertical="center"/>
    </xf>
    <xf numFmtId="0" fontId="29" fillId="0" borderId="0" xfId="10" applyFont="1" applyAlignment="1">
      <alignment vertical="center"/>
    </xf>
    <xf numFmtId="0" fontId="19" fillId="0" borderId="0" xfId="10" applyFont="1"/>
    <xf numFmtId="0" fontId="8" fillId="0" borderId="0" xfId="10" applyFont="1"/>
    <xf numFmtId="17" fontId="31" fillId="0" borderId="0" xfId="10" quotePrefix="1" applyNumberFormat="1" applyFont="1"/>
    <xf numFmtId="17" fontId="25" fillId="0" borderId="0" xfId="10" quotePrefix="1" applyNumberFormat="1" applyFont="1"/>
    <xf numFmtId="0" fontId="29" fillId="5" borderId="5" xfId="10" applyFont="1" applyFill="1" applyBorder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34" fillId="0" borderId="9" xfId="9" applyFont="1" applyBorder="1" applyAlignment="1" applyProtection="1">
      <alignment horizontal="center" vertical="center"/>
    </xf>
    <xf numFmtId="0" fontId="34" fillId="0" borderId="14" xfId="9" applyFont="1" applyBorder="1" applyAlignment="1" applyProtection="1">
      <alignment horizontal="center" vertical="center"/>
    </xf>
    <xf numFmtId="0" fontId="34" fillId="0" borderId="15" xfId="9" applyFont="1" applyBorder="1" applyAlignment="1" applyProtection="1">
      <alignment horizontal="center" vertical="center"/>
    </xf>
    <xf numFmtId="0" fontId="34" fillId="0" borderId="17" xfId="9" applyFont="1" applyBorder="1" applyAlignment="1" applyProtection="1">
      <alignment horizontal="center" vertical="center"/>
    </xf>
    <xf numFmtId="0" fontId="35" fillId="0" borderId="0" xfId="10" applyFont="1"/>
    <xf numFmtId="0" fontId="35" fillId="0" borderId="0" xfId="10" applyFont="1" applyAlignment="1">
      <alignment horizontal="left" vertical="center"/>
    </xf>
    <xf numFmtId="0" fontId="12" fillId="0" borderId="0" xfId="6" applyFont="1" applyAlignment="1">
      <alignment horizontal="left" vertical="center"/>
    </xf>
    <xf numFmtId="0" fontId="37" fillId="0" borderId="0" xfId="2" applyFont="1" applyAlignment="1">
      <alignment horizontal="left" vertical="center"/>
    </xf>
    <xf numFmtId="0" fontId="9" fillId="2" borderId="1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right" vertical="center" wrapText="1"/>
    </xf>
    <xf numFmtId="0" fontId="9" fillId="2" borderId="0" xfId="2" applyFont="1" applyFill="1" applyAlignment="1">
      <alignment horizontal="right" vertical="center" wrapText="1"/>
    </xf>
    <xf numFmtId="0" fontId="9" fillId="2" borderId="3" xfId="2" applyFont="1" applyFill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3" fillId="2" borderId="3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167" fontId="9" fillId="2" borderId="0" xfId="14" applyNumberFormat="1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center" vertical="center" wrapText="1"/>
    </xf>
    <xf numFmtId="167" fontId="9" fillId="2" borderId="0" xfId="15" applyNumberFormat="1" applyFont="1" applyFill="1" applyBorder="1" applyAlignment="1">
      <alignment horizontal="left" vertical="center"/>
    </xf>
    <xf numFmtId="167" fontId="9" fillId="2" borderId="0" xfId="15" applyNumberFormat="1" applyFont="1" applyFill="1" applyBorder="1" applyAlignment="1">
      <alignment horizontal="left"/>
    </xf>
    <xf numFmtId="167" fontId="9" fillId="2" borderId="0" xfId="16" applyNumberFormat="1" applyFont="1" applyFill="1" applyBorder="1" applyAlignment="1">
      <alignment horizontal="left" vertical="center"/>
    </xf>
    <xf numFmtId="167" fontId="9" fillId="2" borderId="0" xfId="16" applyNumberFormat="1" applyFont="1" applyFill="1" applyBorder="1" applyAlignment="1">
      <alignment horizontal="left"/>
    </xf>
    <xf numFmtId="0" fontId="39" fillId="0" borderId="0" xfId="2" applyFont="1"/>
    <xf numFmtId="0" fontId="39" fillId="0" borderId="0" xfId="0" applyFont="1"/>
    <xf numFmtId="0" fontId="4" fillId="0" borderId="0" xfId="2" applyFont="1"/>
    <xf numFmtId="169" fontId="0" fillId="0" borderId="0" xfId="0" applyNumberFormat="1"/>
    <xf numFmtId="169" fontId="2" fillId="2" borderId="0" xfId="2" applyNumberFormat="1" applyFont="1" applyFill="1"/>
    <xf numFmtId="169" fontId="7" fillId="2" borderId="0" xfId="2" applyNumberFormat="1" applyFont="1" applyFill="1"/>
    <xf numFmtId="169" fontId="9" fillId="3" borderId="3" xfId="7" applyNumberFormat="1" applyFont="1" applyFill="1" applyBorder="1" applyAlignment="1">
      <alignment horizontal="right" vertical="center"/>
    </xf>
    <xf numFmtId="169" fontId="9" fillId="2" borderId="0" xfId="2" applyNumberFormat="1" applyFont="1" applyFill="1" applyAlignment="1">
      <alignment horizontal="right" vertical="center" wrapText="1"/>
    </xf>
    <xf numFmtId="169" fontId="3" fillId="0" borderId="0" xfId="0" applyNumberFormat="1" applyFont="1" applyAlignment="1">
      <alignment horizontal="right" vertical="center" wrapText="1"/>
    </xf>
    <xf numFmtId="169" fontId="3" fillId="2" borderId="3" xfId="2" applyNumberFormat="1" applyFont="1" applyFill="1" applyBorder="1" applyAlignment="1">
      <alignment horizontal="left"/>
    </xf>
    <xf numFmtId="169" fontId="3" fillId="2" borderId="0" xfId="2" applyNumberFormat="1" applyFont="1" applyFill="1" applyAlignment="1">
      <alignment horizontal="left"/>
    </xf>
    <xf numFmtId="169" fontId="1" fillId="0" borderId="0" xfId="2" applyNumberFormat="1"/>
    <xf numFmtId="169" fontId="9" fillId="3" borderId="0" xfId="7" applyNumberFormat="1" applyFont="1" applyFill="1" applyAlignment="1">
      <alignment horizontal="right" vertical="center"/>
    </xf>
    <xf numFmtId="169" fontId="8" fillId="2" borderId="0" xfId="2" applyNumberFormat="1" applyFont="1" applyFill="1"/>
    <xf numFmtId="169" fontId="3" fillId="0" borderId="0" xfId="2" applyNumberFormat="1" applyFont="1" applyAlignment="1">
      <alignment horizontal="center" vertical="center" wrapText="1"/>
    </xf>
    <xf numFmtId="169" fontId="39" fillId="0" borderId="0" xfId="2" applyNumberFormat="1" applyFont="1"/>
    <xf numFmtId="169" fontId="39" fillId="0" borderId="0" xfId="0" applyNumberFormat="1" applyFont="1"/>
    <xf numFmtId="169" fontId="3" fillId="0" borderId="3" xfId="0" applyNumberFormat="1" applyFont="1" applyBorder="1" applyAlignment="1">
      <alignment horizontal="right" vertical="center" wrapText="1"/>
    </xf>
    <xf numFmtId="169" fontId="0" fillId="0" borderId="3" xfId="0" applyNumberFormat="1" applyBorder="1"/>
    <xf numFmtId="169" fontId="9" fillId="2" borderId="0" xfId="2" applyNumberFormat="1" applyFont="1" applyFill="1" applyAlignment="1">
      <alignment horizontal="center" vertical="center" wrapText="1"/>
    </xf>
    <xf numFmtId="169" fontId="2" fillId="2" borderId="0" xfId="4" applyNumberFormat="1" applyFont="1" applyFill="1" applyAlignment="1">
      <alignment horizontal="right"/>
    </xf>
    <xf numFmtId="169" fontId="7" fillId="2" borderId="0" xfId="4" applyNumberFormat="1" applyFont="1" applyFill="1" applyAlignment="1">
      <alignment horizontal="right"/>
    </xf>
    <xf numFmtId="169" fontId="3" fillId="2" borderId="3" xfId="4" applyNumberFormat="1" applyFont="1" applyFill="1" applyBorder="1" applyAlignment="1">
      <alignment horizontal="right"/>
    </xf>
    <xf numFmtId="169" fontId="3" fillId="2" borderId="0" xfId="4" applyNumberFormat="1" applyFont="1" applyFill="1" applyAlignment="1">
      <alignment horizontal="right"/>
    </xf>
    <xf numFmtId="169" fontId="1" fillId="0" borderId="0" xfId="4" applyNumberFormat="1"/>
    <xf numFmtId="169" fontId="2" fillId="2" borderId="0" xfId="4" applyNumberFormat="1" applyFont="1" applyFill="1"/>
    <xf numFmtId="169" fontId="8" fillId="2" borderId="0" xfId="4" applyNumberFormat="1" applyFont="1" applyFill="1"/>
    <xf numFmtId="169" fontId="3" fillId="2" borderId="0" xfId="4" applyNumberFormat="1" applyFont="1" applyFill="1" applyAlignment="1">
      <alignment horizontal="left"/>
    </xf>
    <xf numFmtId="169" fontId="3" fillId="2" borderId="3" xfId="4" applyNumberFormat="1" applyFont="1" applyFill="1" applyBorder="1" applyAlignment="1">
      <alignment horizontal="left"/>
    </xf>
    <xf numFmtId="169" fontId="23" fillId="0" borderId="0" xfId="0" applyNumberFormat="1" applyFont="1"/>
    <xf numFmtId="169" fontId="3" fillId="2" borderId="0" xfId="2" applyNumberFormat="1" applyFont="1" applyFill="1" applyAlignment="1">
      <alignment horizontal="right" vertical="center" wrapText="1"/>
    </xf>
    <xf numFmtId="169" fontId="13" fillId="2" borderId="0" xfId="2" applyNumberFormat="1" applyFont="1" applyFill="1" applyAlignment="1">
      <alignment vertical="center"/>
    </xf>
    <xf numFmtId="169" fontId="12" fillId="2" borderId="0" xfId="2" applyNumberFormat="1" applyFont="1" applyFill="1" applyAlignment="1">
      <alignment vertical="center" wrapText="1"/>
    </xf>
    <xf numFmtId="169" fontId="12" fillId="2" borderId="0" xfId="2" applyNumberFormat="1" applyFont="1" applyFill="1" applyAlignment="1">
      <alignment vertical="center"/>
    </xf>
    <xf numFmtId="169" fontId="0" fillId="0" borderId="0" xfId="0" applyNumberFormat="1" applyAlignment="1">
      <alignment horizontal="right" vertical="center"/>
    </xf>
    <xf numFmtId="0" fontId="42" fillId="2" borderId="0" xfId="4" applyFont="1" applyFill="1" applyAlignment="1">
      <alignment horizontal="left" vertical="center" indent="1"/>
    </xf>
    <xf numFmtId="0" fontId="3" fillId="0" borderId="0" xfId="4" applyFont="1" applyAlignment="1">
      <alignment horizontal="left" vertical="center" indent="2"/>
    </xf>
    <xf numFmtId="0" fontId="9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vertical="center" wrapText="1" indent="3"/>
    </xf>
    <xf numFmtId="0" fontId="4" fillId="2" borderId="0" xfId="4" applyFont="1" applyFill="1" applyAlignment="1">
      <alignment horizontal="left" vertical="center" wrapText="1" indent="1"/>
    </xf>
    <xf numFmtId="167" fontId="9" fillId="2" borderId="0" xfId="1" applyNumberFormat="1" applyFont="1" applyFill="1" applyBorder="1" applyAlignment="1">
      <alignment horizontal="left" vertical="center" indent="1"/>
    </xf>
    <xf numFmtId="0" fontId="9" fillId="0" borderId="0" xfId="2" applyFont="1" applyAlignment="1">
      <alignment horizontal="left" indent="2"/>
    </xf>
    <xf numFmtId="167" fontId="9" fillId="2" borderId="0" xfId="1" applyNumberFormat="1" applyFont="1" applyFill="1" applyAlignment="1">
      <alignment horizontal="left" wrapText="1" indent="2"/>
    </xf>
    <xf numFmtId="167" fontId="9" fillId="2" borderId="0" xfId="1" applyNumberFormat="1" applyFont="1" applyFill="1" applyBorder="1" applyAlignment="1">
      <alignment horizontal="left" indent="1"/>
    </xf>
    <xf numFmtId="167" fontId="9" fillId="2" borderId="0" xfId="16" applyNumberFormat="1" applyFont="1" applyFill="1" applyBorder="1" applyAlignment="1">
      <alignment horizontal="left" vertical="center" indent="1"/>
    </xf>
    <xf numFmtId="167" fontId="9" fillId="2" borderId="0" xfId="16" applyNumberFormat="1" applyFont="1" applyFill="1" applyBorder="1" applyAlignment="1">
      <alignment horizontal="left" indent="1"/>
    </xf>
    <xf numFmtId="0" fontId="4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wrapText="1" indent="3"/>
    </xf>
    <xf numFmtId="167" fontId="9" fillId="2" borderId="0" xfId="14" applyNumberFormat="1" applyFont="1" applyFill="1" applyBorder="1" applyAlignment="1">
      <alignment horizontal="left" vertical="center" indent="1"/>
    </xf>
    <xf numFmtId="0" fontId="42" fillId="2" borderId="0" xfId="4" applyFont="1" applyFill="1" applyAlignment="1">
      <alignment horizontal="left" vertical="center" indent="2"/>
    </xf>
    <xf numFmtId="0" fontId="4" fillId="0" borderId="0" xfId="4" applyFont="1" applyAlignment="1">
      <alignment horizontal="left" vertical="center" wrapText="1" indent="2"/>
    </xf>
    <xf numFmtId="0" fontId="27" fillId="0" borderId="0" xfId="10" applyFont="1" applyAlignment="1">
      <alignment horizontal="center" vertical="center"/>
    </xf>
    <xf numFmtId="0" fontId="24" fillId="0" borderId="0" xfId="6" applyFont="1"/>
    <xf numFmtId="0" fontId="31" fillId="0" borderId="0" xfId="6" applyFont="1"/>
    <xf numFmtId="0" fontId="1" fillId="0" borderId="0" xfId="6"/>
    <xf numFmtId="0" fontId="3" fillId="0" borderId="2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170" fontId="3" fillId="0" borderId="2" xfId="0" applyNumberFormat="1" applyFont="1" applyBorder="1" applyAlignment="1">
      <alignment horizontal="right" vertical="center" wrapText="1"/>
    </xf>
    <xf numFmtId="0" fontId="45" fillId="0" borderId="3" xfId="0" applyFont="1" applyBorder="1" applyAlignment="1">
      <alignment horizontal="right"/>
    </xf>
    <xf numFmtId="170" fontId="3" fillId="0" borderId="0" xfId="0" applyNumberFormat="1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3" fillId="2" borderId="2" xfId="4" applyFont="1" applyFill="1" applyBorder="1" applyAlignment="1">
      <alignment horizontal="left"/>
    </xf>
    <xf numFmtId="0" fontId="9" fillId="2" borderId="21" xfId="2" applyFont="1" applyFill="1" applyBorder="1" applyAlignment="1">
      <alignment horizontal="left" vertical="center" wrapText="1"/>
    </xf>
    <xf numFmtId="0" fontId="3" fillId="2" borderId="21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right" vertical="center" wrapText="1"/>
    </xf>
    <xf numFmtId="0" fontId="3" fillId="2" borderId="21" xfId="2" applyFont="1" applyFill="1" applyBorder="1" applyAlignment="1">
      <alignment horizontal="center" vertical="center" wrapText="1"/>
    </xf>
    <xf numFmtId="171" fontId="3" fillId="2" borderId="0" xfId="0" applyNumberFormat="1" applyFont="1" applyFill="1" applyAlignment="1">
      <alignment horizontal="right" vertical="center" wrapText="1"/>
    </xf>
    <xf numFmtId="171" fontId="9" fillId="2" borderId="0" xfId="0" applyNumberFormat="1" applyFont="1" applyFill="1" applyAlignment="1">
      <alignment horizontal="right" vertical="center" wrapText="1"/>
    </xf>
    <xf numFmtId="171" fontId="4" fillId="2" borderId="0" xfId="0" applyNumberFormat="1" applyFont="1" applyFill="1" applyAlignment="1">
      <alignment horizontal="right" vertical="center" wrapText="1"/>
    </xf>
    <xf numFmtId="171" fontId="10" fillId="2" borderId="0" xfId="0" applyNumberFormat="1" applyFont="1" applyFill="1" applyAlignment="1">
      <alignment horizontal="right" vertical="center" wrapText="1"/>
    </xf>
    <xf numFmtId="171" fontId="12" fillId="2" borderId="0" xfId="0" applyNumberFormat="1" applyFont="1" applyFill="1" applyAlignment="1" applyProtection="1">
      <alignment horizontal="right" vertical="center" wrapText="1" readingOrder="1"/>
      <protection locked="0"/>
    </xf>
    <xf numFmtId="171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71" fontId="3" fillId="2" borderId="3" xfId="4" applyNumberFormat="1" applyFont="1" applyFill="1" applyBorder="1" applyAlignment="1">
      <alignment horizontal="right"/>
    </xf>
    <xf numFmtId="171" fontId="3" fillId="2" borderId="3" xfId="4" applyNumberFormat="1" applyFont="1" applyFill="1" applyBorder="1" applyAlignment="1">
      <alignment horizontal="left"/>
    </xf>
    <xf numFmtId="171" fontId="0" fillId="2" borderId="0" xfId="0" applyNumberFormat="1" applyFill="1"/>
    <xf numFmtId="171" fontId="3" fillId="2" borderId="0" xfId="2" applyNumberFormat="1" applyFont="1" applyFill="1" applyAlignment="1">
      <alignment horizontal="right" vertical="center"/>
    </xf>
    <xf numFmtId="171" fontId="0" fillId="2" borderId="0" xfId="0" applyNumberFormat="1" applyFill="1" applyAlignment="1">
      <alignment horizontal="right" vertical="center"/>
    </xf>
    <xf numFmtId="171" fontId="12" fillId="2" borderId="4" xfId="2" applyNumberFormat="1" applyFont="1" applyFill="1" applyBorder="1" applyAlignment="1" applyProtection="1">
      <alignment horizontal="right" vertical="center" wrapText="1"/>
      <protection locked="0"/>
    </xf>
    <xf numFmtId="171" fontId="12" fillId="2" borderId="0" xfId="2" applyNumberFormat="1" applyFont="1" applyFill="1" applyAlignment="1" applyProtection="1">
      <alignment horizontal="right" vertical="center" wrapText="1"/>
      <protection locked="0"/>
    </xf>
    <xf numFmtId="171" fontId="12" fillId="2" borderId="4" xfId="2" applyNumberFormat="1" applyFont="1" applyFill="1" applyBorder="1" applyAlignment="1" applyProtection="1">
      <alignment horizontal="right" vertical="center" wrapText="1" readingOrder="1"/>
      <protection locked="0"/>
    </xf>
    <xf numFmtId="0" fontId="26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31" fillId="0" borderId="0" xfId="10" applyFont="1" applyAlignment="1">
      <alignment horizontal="right"/>
    </xf>
    <xf numFmtId="0" fontId="31" fillId="0" borderId="0" xfId="11" applyFont="1" applyAlignment="1">
      <alignment horizontal="center" vertical="center"/>
    </xf>
    <xf numFmtId="0" fontId="44" fillId="4" borderId="0" xfId="130" applyFont="1" applyFill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29" fillId="5" borderId="7" xfId="10" applyFont="1" applyFill="1" applyBorder="1" applyAlignment="1">
      <alignment horizontal="center" vertical="center"/>
    </xf>
    <xf numFmtId="0" fontId="32" fillId="0" borderId="8" xfId="8" applyFont="1" applyFill="1" applyBorder="1" applyAlignment="1">
      <alignment horizontal="center" vertical="center" wrapText="1"/>
    </xf>
    <xf numFmtId="0" fontId="32" fillId="0" borderId="13" xfId="8" applyFont="1" applyFill="1" applyBorder="1" applyAlignment="1">
      <alignment horizontal="center" vertical="center" wrapText="1"/>
    </xf>
    <xf numFmtId="0" fontId="32" fillId="0" borderId="16" xfId="8" applyFont="1" applyFill="1" applyBorder="1" applyAlignment="1">
      <alignment horizontal="left" vertical="center" wrapText="1" readingOrder="1"/>
    </xf>
    <xf numFmtId="0" fontId="24" fillId="0" borderId="10" xfId="10" applyFont="1" applyBorder="1" applyAlignment="1">
      <alignment horizontal="left" vertical="center" wrapText="1" indent="1"/>
    </xf>
    <xf numFmtId="0" fontId="24" fillId="0" borderId="11" xfId="10" applyFont="1" applyBorder="1" applyAlignment="1">
      <alignment horizontal="left" vertical="center" wrapText="1" indent="1"/>
    </xf>
    <xf numFmtId="0" fontId="24" fillId="0" borderId="12" xfId="10" applyFont="1" applyBorder="1" applyAlignment="1">
      <alignment horizontal="left" vertical="center" wrapText="1" indent="1"/>
    </xf>
    <xf numFmtId="0" fontId="38" fillId="0" borderId="10" xfId="10" applyFont="1" applyBorder="1" applyAlignment="1">
      <alignment horizontal="left" vertical="center" wrapText="1" indent="1"/>
    </xf>
    <xf numFmtId="0" fontId="38" fillId="0" borderId="11" xfId="10" applyFont="1" applyBorder="1" applyAlignment="1">
      <alignment horizontal="left" vertical="center" wrapText="1" indent="1"/>
    </xf>
    <xf numFmtId="0" fontId="38" fillId="0" borderId="12" xfId="10" applyFont="1" applyBorder="1" applyAlignment="1">
      <alignment horizontal="left" vertical="center" wrapText="1" indent="1"/>
    </xf>
    <xf numFmtId="0" fontId="38" fillId="0" borderId="18" xfId="10" applyFont="1" applyBorder="1" applyAlignment="1">
      <alignment horizontal="left" vertical="center" wrapText="1" indent="1"/>
    </xf>
    <xf numFmtId="0" fontId="38" fillId="0" borderId="19" xfId="10" applyFont="1" applyBorder="1" applyAlignment="1">
      <alignment horizontal="left" vertical="center" wrapText="1" indent="1"/>
    </xf>
    <xf numFmtId="0" fontId="38" fillId="0" borderId="20" xfId="10" applyFont="1" applyBorder="1" applyAlignment="1">
      <alignment horizontal="left" vertical="center" wrapText="1" inden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/>
    </xf>
    <xf numFmtId="0" fontId="1" fillId="0" borderId="3" xfId="2" applyBorder="1"/>
    <xf numFmtId="0" fontId="12" fillId="0" borderId="0" xfId="0" applyFont="1" applyAlignment="1">
      <alignment horizontal="left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9" fillId="2" borderId="3" xfId="4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8" fillId="0" borderId="0" xfId="4" applyFont="1" applyAlignment="1">
      <alignment horizontal="left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9" fillId="2" borderId="21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/>
    </xf>
    <xf numFmtId="0" fontId="9" fillId="2" borderId="21" xfId="2" applyFont="1" applyFill="1" applyBorder="1" applyAlignment="1">
      <alignment horizontal="center" vertical="center" wrapText="1"/>
    </xf>
    <xf numFmtId="0" fontId="1" fillId="0" borderId="2" xfId="2" applyBorder="1"/>
    <xf numFmtId="0" fontId="1" fillId="0" borderId="21" xfId="2" applyBorder="1"/>
    <xf numFmtId="0" fontId="46" fillId="6" borderId="0" xfId="0" applyFont="1" applyFill="1" applyAlignment="1">
      <alignment vertical="center"/>
    </xf>
  </cellXfs>
  <cellStyles count="131">
    <cellStyle name="Hipervínculo" xfId="9" builtinId="8"/>
    <cellStyle name="Hipervínculo 2" xfId="8" xr:uid="{00000000-0005-0000-0000-000001000000}"/>
    <cellStyle name="Millares" xfId="1" builtinId="3"/>
    <cellStyle name="Millares 10" xfId="27" xr:uid="{74B9CAB1-477D-4FAF-8B4D-FFDA826F9164}"/>
    <cellStyle name="Millares 10 2" xfId="121" xr:uid="{BDD42D7C-7EA5-4269-9233-DC0BFA22AD3F}"/>
    <cellStyle name="Millares 10 3" xfId="102" xr:uid="{30C082B7-DD97-42AC-83AE-3127BB04C7DA}"/>
    <cellStyle name="Millares 10 4" xfId="87" xr:uid="{F4B375E3-AC83-4E40-94A2-302FA85069EF}"/>
    <cellStyle name="Millares 10 5" xfId="72" xr:uid="{B5745F9C-51EC-4771-9895-812DADF7CE12}"/>
    <cellStyle name="Millares 10 6" xfId="57" xr:uid="{0BF00626-2A1B-4A18-8D6F-142CA89D43F1}"/>
    <cellStyle name="Millares 10 7" xfId="42" xr:uid="{C2F53193-5BE3-4928-BCC9-363D611592FC}"/>
    <cellStyle name="Millares 11" xfId="28" xr:uid="{BF7A9939-F9A6-4C1F-84B7-0062C0DFCB4E}"/>
    <cellStyle name="Millares 11 2" xfId="122" xr:uid="{85200013-8E76-4A0E-AAD8-B3E368A8BFB9}"/>
    <cellStyle name="Millares 11 3" xfId="103" xr:uid="{87024B6A-96BB-46CA-8347-93B09F029BCA}"/>
    <cellStyle name="Millares 11 4" xfId="88" xr:uid="{C10D6B0D-AC4B-4BEB-8DC6-27882982964B}"/>
    <cellStyle name="Millares 11 5" xfId="73" xr:uid="{A9C49192-2CB0-440F-B646-CF93BB46FE0B}"/>
    <cellStyle name="Millares 11 6" xfId="58" xr:uid="{A150A09C-17B6-4DB6-9886-31A16AE585AB}"/>
    <cellStyle name="Millares 11 7" xfId="43" xr:uid="{CF8EA9B8-9E89-402D-9881-180F4B78EF71}"/>
    <cellStyle name="Millares 12" xfId="29" xr:uid="{94C15F61-C950-49F8-9844-68820E87DE3A}"/>
    <cellStyle name="Millares 12 2" xfId="123" xr:uid="{EA53E91E-864A-426D-9E16-2ACE003B83CD}"/>
    <cellStyle name="Millares 12 3" xfId="104" xr:uid="{CEEC1FCD-E499-4509-BB21-9BBA4678FB69}"/>
    <cellStyle name="Millares 12 4" xfId="89" xr:uid="{A5DDD980-F958-490C-8392-C17798FE337A}"/>
    <cellStyle name="Millares 12 5" xfId="74" xr:uid="{E82CF286-E6FD-47A5-80C2-C7603171E909}"/>
    <cellStyle name="Millares 12 6" xfId="59" xr:uid="{A45D5203-534D-4E8A-9344-4EF705DC1BFE}"/>
    <cellStyle name="Millares 12 7" xfId="44" xr:uid="{38C44B5D-4008-423D-9210-6F30C36F30A4}"/>
    <cellStyle name="Millares 13" xfId="30" xr:uid="{D721D439-F7E6-44F0-858A-B3A16B233E20}"/>
    <cellStyle name="Millares 13 2" xfId="124" xr:uid="{6605ED8C-9E15-4C15-B181-CD454F6AF22F}"/>
    <cellStyle name="Millares 13 3" xfId="105" xr:uid="{49FD4A9E-D0A4-4819-834A-E154A7CFC154}"/>
    <cellStyle name="Millares 13 4" xfId="90" xr:uid="{7D424A36-855D-4793-953C-4F848BC5DAD5}"/>
    <cellStyle name="Millares 13 5" xfId="75" xr:uid="{DAA619E8-ECCF-4F52-A115-6A19958BC8EB}"/>
    <cellStyle name="Millares 13 6" xfId="60" xr:uid="{838875B5-5DBF-4D61-835F-6BDF947BB924}"/>
    <cellStyle name="Millares 13 7" xfId="45" xr:uid="{D703E5FF-FD68-4E49-B672-BBD4769F839C}"/>
    <cellStyle name="Millares 14" xfId="31" xr:uid="{ACB0F3A2-D722-45E1-9653-A673FDEB4048}"/>
    <cellStyle name="Millares 14 2" xfId="125" xr:uid="{2CD02600-F4DA-46B6-AB46-64D836E20BBD}"/>
    <cellStyle name="Millares 14 3" xfId="106" xr:uid="{F35065A6-B044-44AF-BC76-93EDECD09466}"/>
    <cellStyle name="Millares 14 4" xfId="91" xr:uid="{8DC4BEB2-2901-45C8-9F86-854A024407D2}"/>
    <cellStyle name="Millares 14 5" xfId="76" xr:uid="{857C3DE6-4950-4384-A289-91E9BB93E624}"/>
    <cellStyle name="Millares 14 6" xfId="61" xr:uid="{8430554D-0EE9-40E0-9180-B8B628ABA10A}"/>
    <cellStyle name="Millares 14 7" xfId="46" xr:uid="{A9E0ED6D-14D1-46DD-9A58-E75BA5FAA4C7}"/>
    <cellStyle name="Millares 15" xfId="32" xr:uid="{08113555-83CA-4C4C-AD46-F32E666814BD}"/>
    <cellStyle name="Millares 15 2" xfId="126" xr:uid="{C5BC2147-B525-49D2-9937-42F0B60855D9}"/>
    <cellStyle name="Millares 15 3" xfId="107" xr:uid="{EE414736-59E9-4B45-A27F-88B99FF3C905}"/>
    <cellStyle name="Millares 15 4" xfId="92" xr:uid="{21E65C69-9F4B-40B0-81C4-AB8320FE9004}"/>
    <cellStyle name="Millares 15 5" xfId="77" xr:uid="{C024114E-CF92-45AA-84B9-C5001BA52DB0}"/>
    <cellStyle name="Millares 15 6" xfId="62" xr:uid="{C647424D-96DA-4909-B6FD-07A18D2A94BE}"/>
    <cellStyle name="Millares 15 7" xfId="47" xr:uid="{3FC16299-A0D6-43F7-AA73-98708BE999BA}"/>
    <cellStyle name="Millares 16" xfId="127" xr:uid="{55E08483-C5B6-43FA-BF85-D3E74DF495B3}"/>
    <cellStyle name="Millares 17" xfId="128" xr:uid="{8D58C056-F61B-47B8-9943-6D2DD0AE569A}"/>
    <cellStyle name="Millares 18" xfId="129" xr:uid="{7CBB301F-4DD5-41FE-8A17-433126E3928D}"/>
    <cellStyle name="Millares 19" xfId="109" xr:uid="{00000000-0005-0000-0000-000049000000}"/>
    <cellStyle name="Millares 2" xfId="14" xr:uid="{09C5EDA7-6B24-48E9-A0F5-65844F7551C5}"/>
    <cellStyle name="Millares 2 2" xfId="113" xr:uid="{D75BA76C-65ED-49EC-865F-46102B65DB68}"/>
    <cellStyle name="Millares 2 3" xfId="94" xr:uid="{658A6B07-071B-490F-97D4-F7E82F09E929}"/>
    <cellStyle name="Millares 2 4" xfId="79" xr:uid="{D85F9167-39A0-4E03-A825-C0FC826F7E29}"/>
    <cellStyle name="Millares 2 5" xfId="64" xr:uid="{32A79C80-5B3A-4A3A-98E3-6D7C71B50943}"/>
    <cellStyle name="Millares 2 6" xfId="49" xr:uid="{2AC3BC99-14D7-415B-BA6C-C38C15596E9B}"/>
    <cellStyle name="Millares 2 7" xfId="34" xr:uid="{9EB0EE84-7816-4B22-9494-5433CD01ECFD}"/>
    <cellStyle name="Millares 2 8" xfId="19" xr:uid="{EC86FCC8-8ED5-4435-95DD-F113A5245718}"/>
    <cellStyle name="Millares 20" xfId="108" xr:uid="{00000000-0005-0000-0000-000049000000}"/>
    <cellStyle name="Millares 21" xfId="93" xr:uid="{00000000-0005-0000-0000-000049000000}"/>
    <cellStyle name="Millares 22" xfId="78" xr:uid="{00000000-0005-0000-0000-000049000000}"/>
    <cellStyle name="Millares 23" xfId="63" xr:uid="{00000000-0005-0000-0000-000049000000}"/>
    <cellStyle name="Millares 24" xfId="48" xr:uid="{00000000-0005-0000-0000-000049000000}"/>
    <cellStyle name="Millares 25" xfId="33" xr:uid="{00000000-0005-0000-0000-00003F000000}"/>
    <cellStyle name="Millares 3" xfId="15" xr:uid="{F801C441-29AA-48BF-A3EB-0F677143F209}"/>
    <cellStyle name="Millares 3 2" xfId="114" xr:uid="{91DC82B8-276B-4C2D-826B-66127FC3BD10}"/>
    <cellStyle name="Millares 3 3" xfId="95" xr:uid="{3D0C72A3-C50E-4A4D-986D-11CD4288FB1F}"/>
    <cellStyle name="Millares 3 4" xfId="80" xr:uid="{4BA7FDC5-10C0-4897-B83C-58D9DF748793}"/>
    <cellStyle name="Millares 3 5" xfId="65" xr:uid="{C346F12A-FD1A-4186-A168-054115D45617}"/>
    <cellStyle name="Millares 3 6" xfId="50" xr:uid="{8C6DC4C7-69FF-4325-BAFB-862C189F2D52}"/>
    <cellStyle name="Millares 3 7" xfId="35" xr:uid="{AF7526FE-AFB2-4B85-91F7-100002DC1E52}"/>
    <cellStyle name="Millares 3 8" xfId="20" xr:uid="{14868C0D-EE20-4CCC-94E5-06D402A5A17D}"/>
    <cellStyle name="Millares 4" xfId="16" xr:uid="{78D4CD26-C512-44E9-AD6E-8725F8847ACD}"/>
    <cellStyle name="Millares 4 2" xfId="115" xr:uid="{8AA23C57-8DAC-4261-9D91-E67B7B84F9F3}"/>
    <cellStyle name="Millares 4 3" xfId="96" xr:uid="{783660D4-9043-4900-8196-357C72D0EECE}"/>
    <cellStyle name="Millares 4 4" xfId="81" xr:uid="{F261ED20-D824-4D40-8B2D-0B259D6EED27}"/>
    <cellStyle name="Millares 4 5" xfId="66" xr:uid="{CA0458ED-FF99-4430-A9BC-8E9CC9EFB5A9}"/>
    <cellStyle name="Millares 4 6" xfId="51" xr:uid="{23B11DD1-1AFD-4E32-B82B-6BA57F9BF824}"/>
    <cellStyle name="Millares 4 7" xfId="36" xr:uid="{8BFA1209-081E-4F03-826D-40079F508B8D}"/>
    <cellStyle name="Millares 4 8" xfId="21" xr:uid="{C4875820-E50C-4ADD-A542-55800B236F73}"/>
    <cellStyle name="Millares 5" xfId="22" xr:uid="{03A3B6EF-2B17-45B3-B3CB-FBCD872038F3}"/>
    <cellStyle name="Millares 5 2" xfId="116" xr:uid="{1C4CCF02-C474-4B34-A5FE-45EA9F227AFA}"/>
    <cellStyle name="Millares 5 3" xfId="97" xr:uid="{B57D5CC6-3E09-430F-A228-16DCADFFCC15}"/>
    <cellStyle name="Millares 5 4" xfId="82" xr:uid="{0579B8FE-4ACD-426A-B388-11BF52700084}"/>
    <cellStyle name="Millares 5 5" xfId="67" xr:uid="{CC6682D3-D359-48D5-A04C-DB668F9B55CF}"/>
    <cellStyle name="Millares 5 6" xfId="52" xr:uid="{CC409022-CA14-4F2D-A317-176EB2CD11E2}"/>
    <cellStyle name="Millares 5 7" xfId="37" xr:uid="{F84D456C-4035-46BF-9DAA-5CD44C452F92}"/>
    <cellStyle name="Millares 6" xfId="23" xr:uid="{4D61E2F9-8F70-4563-A3F1-2F77F2685F4A}"/>
    <cellStyle name="Millares 6 2" xfId="117" xr:uid="{6A594710-EC3E-4A46-9BD3-44BD39E3566E}"/>
    <cellStyle name="Millares 6 3" xfId="98" xr:uid="{A45D0FD3-703F-4989-B64E-47E0756210C5}"/>
    <cellStyle name="Millares 6 4" xfId="83" xr:uid="{66CA6320-92ED-41C4-999F-5866C9BA77E8}"/>
    <cellStyle name="Millares 6 5" xfId="68" xr:uid="{C02A234A-881F-45AC-8BEF-5D4F56069841}"/>
    <cellStyle name="Millares 6 6" xfId="53" xr:uid="{57A09402-4D62-43DA-B653-4E026F311A6F}"/>
    <cellStyle name="Millares 6 7" xfId="38" xr:uid="{CBB08D34-1E99-410B-A5B2-852DB9748AD1}"/>
    <cellStyle name="Millares 7" xfId="24" xr:uid="{C7BB51F4-4AED-44A1-A7D0-66E46EB8E699}"/>
    <cellStyle name="Millares 7 2" xfId="118" xr:uid="{8BE98190-932E-4A71-9F27-D89A5B5FA111}"/>
    <cellStyle name="Millares 7 3" xfId="99" xr:uid="{2CA3CCA7-2ACE-4C7B-B71C-AD3C0D227AEB}"/>
    <cellStyle name="Millares 7 4" xfId="84" xr:uid="{141367DB-751A-432D-9A48-3097FF9AB4FA}"/>
    <cellStyle name="Millares 7 5" xfId="69" xr:uid="{EF9DB0D8-A0D6-495E-AEE9-25BF5DAE48EA}"/>
    <cellStyle name="Millares 7 6" xfId="54" xr:uid="{C280D99C-A488-4C6A-A42C-33A09395E613}"/>
    <cellStyle name="Millares 7 7" xfId="39" xr:uid="{F3066A6A-83AF-48B7-BEA4-D1B714B10032}"/>
    <cellStyle name="Millares 8" xfId="25" xr:uid="{C0FA2246-9286-4285-BC5E-130DE76BDD74}"/>
    <cellStyle name="Millares 8 2" xfId="119" xr:uid="{C1D7ABC8-C95D-4FF1-80C0-39A34ABCA6D0}"/>
    <cellStyle name="Millares 8 3" xfId="100" xr:uid="{94DAA2C0-6A35-4BAC-9F9E-7D698DD79A3F}"/>
    <cellStyle name="Millares 8 4" xfId="85" xr:uid="{069A2A5A-501C-442E-A0D5-2CB7327EC6AC}"/>
    <cellStyle name="Millares 8 5" xfId="70" xr:uid="{639D2D56-DD07-4E22-A8CA-F75B50DF7AA5}"/>
    <cellStyle name="Millares 8 6" xfId="55" xr:uid="{4FE4FCBD-6377-4E66-A801-EEC63CDF5C2D}"/>
    <cellStyle name="Millares 8 7" xfId="40" xr:uid="{15C23E11-0634-46D1-BD68-065891C630C0}"/>
    <cellStyle name="Millares 9" xfId="26" xr:uid="{CD2909FA-6D69-4CA3-A179-56F735BA51CB}"/>
    <cellStyle name="Millares 9 2" xfId="120" xr:uid="{4F7698AD-390F-4379-A991-F842C867C3C4}"/>
    <cellStyle name="Millares 9 3" xfId="101" xr:uid="{5CAE7653-68EB-4E84-A455-991A59C2DEB9}"/>
    <cellStyle name="Millares 9 4" xfId="86" xr:uid="{8461F872-226B-4202-846E-A63AE1D0CFB0}"/>
    <cellStyle name="Millares 9 5" xfId="71" xr:uid="{A35A5D9A-0340-4816-B119-6162877A7D03}"/>
    <cellStyle name="Millares 9 6" xfId="56" xr:uid="{AACE7563-89C2-477A-83E4-BF83F3265687}"/>
    <cellStyle name="Millares 9 7" xfId="41" xr:uid="{50D7B862-F18A-4BA0-ADE5-7660184DB088}"/>
    <cellStyle name="Normal" xfId="0" builtinId="0"/>
    <cellStyle name="Normal 10 2" xfId="2" xr:uid="{00000000-0005-0000-0000-000004000000}"/>
    <cellStyle name="Normal 10 3 3" xfId="13" xr:uid="{00000000-0005-0000-0000-000005000000}"/>
    <cellStyle name="Normal 11" xfId="7" xr:uid="{00000000-0005-0000-0000-000006000000}"/>
    <cellStyle name="Normal 2 2 2" xfId="12" xr:uid="{00000000-0005-0000-0000-000007000000}"/>
    <cellStyle name="Normal 3 2 5" xfId="112" xr:uid="{00000000-0005-0000-0000-000005000000}"/>
    <cellStyle name="Normal 4 2" xfId="111" xr:uid="{00000000-0005-0000-0000-000006000000}"/>
    <cellStyle name="Normal 4 2 2" xfId="5" xr:uid="{00000000-0005-0000-0000-000008000000}"/>
    <cellStyle name="Normal 4 3 2" xfId="3" xr:uid="{00000000-0005-0000-0000-000009000000}"/>
    <cellStyle name="Normal 5 2" xfId="4" xr:uid="{00000000-0005-0000-0000-00000A000000}"/>
    <cellStyle name="Normal 6" xfId="11" xr:uid="{00000000-0005-0000-0000-00000B000000}"/>
    <cellStyle name="Normal 6 2" xfId="130" xr:uid="{EAF473B8-5B06-4994-A32B-76BC42D3C555}"/>
    <cellStyle name="Normal 6 2 2" xfId="6" xr:uid="{00000000-0005-0000-0000-00000C000000}"/>
    <cellStyle name="Normal 7 2 2" xfId="10" xr:uid="{00000000-0005-0000-0000-00000D000000}"/>
    <cellStyle name="Normal 8" xfId="18" xr:uid="{00000000-0005-0000-0000-00000B000000}"/>
    <cellStyle name="Normal 9" xfId="110" xr:uid="{00000000-0005-0000-0000-00000C000000}"/>
    <cellStyle name="Normal 9 2" xfId="1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34" name="Imagen 33">
          <a:extLst>
            <a:ext uri="{FF2B5EF4-FFF2-40B4-BE49-F238E27FC236}">
              <a16:creationId xmlns:a16="http://schemas.microsoft.com/office/drawing/2014/main" id="{86B3017B-F321-461E-9D85-1EDBBE96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abSelected="1" workbookViewId="0"/>
  </sheetViews>
  <sheetFormatPr baseColWidth="10" defaultColWidth="11.42578125" defaultRowHeight="14.25" x14ac:dyDescent="0.2"/>
  <cols>
    <col min="1" max="1" width="1.7109375" style="72" customWidth="1"/>
    <col min="2" max="2" width="20.28515625" style="72" customWidth="1"/>
    <col min="3" max="3" width="17.42578125" style="72" customWidth="1"/>
    <col min="4" max="14" width="11.42578125" style="72"/>
    <col min="15" max="15" width="1.5703125" style="72" customWidth="1"/>
    <col min="16" max="16384" width="11.42578125" style="72"/>
  </cols>
  <sheetData>
    <row r="1" spans="1:20" s="158" customFormat="1" ht="20.100000000000001" customHeight="1" x14ac:dyDescent="0.25">
      <c r="A1" s="156"/>
      <c r="B1" s="157"/>
      <c r="C1" s="157"/>
    </row>
    <row r="2" spans="1:20" s="158" customFormat="1" ht="20.100000000000001" customHeight="1" x14ac:dyDescent="0.25">
      <c r="B2" s="187" t="s">
        <v>75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20" s="158" customFormat="1" ht="20.100000000000001" customHeight="1" x14ac:dyDescent="0.25">
      <c r="B3" s="188" t="s">
        <v>28</v>
      </c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</row>
    <row r="4" spans="1:20" ht="6.95" customHeight="1" x14ac:dyDescent="0.2"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</row>
    <row r="5" spans="1:20" ht="20.100000000000001" customHeight="1" x14ac:dyDescent="0.2">
      <c r="A5" s="191" t="s">
        <v>87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74"/>
    </row>
    <row r="6" spans="1:20" ht="6.95" customHeight="1" x14ac:dyDescent="0.2">
      <c r="A6" s="73"/>
      <c r="B6" s="74" t="s">
        <v>29</v>
      </c>
      <c r="C6" s="75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3"/>
      <c r="T6" s="76"/>
    </row>
    <row r="7" spans="1:20" ht="20.100000000000001" customHeight="1" x14ac:dyDescent="0.2">
      <c r="A7" s="73"/>
      <c r="B7" s="190" t="s">
        <v>29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73"/>
    </row>
    <row r="8" spans="1:20" ht="20.100000000000001" customHeight="1" x14ac:dyDescent="0.2">
      <c r="A8" s="77"/>
      <c r="B8" s="78" t="s">
        <v>88</v>
      </c>
      <c r="C8" s="79"/>
      <c r="D8" s="77"/>
      <c r="E8" s="77"/>
      <c r="F8" s="77"/>
      <c r="G8" s="77"/>
      <c r="H8" s="77"/>
      <c r="I8" s="77"/>
      <c r="J8" s="77"/>
      <c r="K8" s="77"/>
      <c r="L8" s="77"/>
      <c r="M8" s="189" t="str">
        <f>CONCATENATE("Total de tabulados: ", COUNTIF(C11:C17,"&lt;&gt;"))</f>
        <v>Total de tabulados: 7</v>
      </c>
      <c r="N8" s="189"/>
      <c r="O8" s="77"/>
    </row>
    <row r="9" spans="1:20" ht="6.95" customHeight="1" thickBot="1" x14ac:dyDescent="0.25"/>
    <row r="10" spans="1:20" ht="15.75" thickBot="1" x14ac:dyDescent="0.25">
      <c r="B10" s="80" t="s">
        <v>30</v>
      </c>
      <c r="C10" s="81" t="s">
        <v>31</v>
      </c>
      <c r="D10" s="192" t="s">
        <v>32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3"/>
    </row>
    <row r="11" spans="1:20" ht="39.950000000000003" customHeight="1" x14ac:dyDescent="0.2">
      <c r="B11" s="194" t="s">
        <v>33</v>
      </c>
      <c r="C11" s="82" t="s">
        <v>12</v>
      </c>
      <c r="D11" s="197" t="s">
        <v>24</v>
      </c>
      <c r="E11" s="198"/>
      <c r="F11" s="198"/>
      <c r="G11" s="198"/>
      <c r="H11" s="198"/>
      <c r="I11" s="198"/>
      <c r="J11" s="198"/>
      <c r="K11" s="198"/>
      <c r="L11" s="198"/>
      <c r="M11" s="198"/>
      <c r="N11" s="199"/>
      <c r="O11" s="51"/>
      <c r="P11" s="51"/>
      <c r="Q11" s="51"/>
      <c r="R11" s="51"/>
      <c r="S11" s="51"/>
      <c r="T11" s="51"/>
    </row>
    <row r="12" spans="1:20" ht="39.950000000000003" customHeight="1" x14ac:dyDescent="0.2">
      <c r="B12" s="195"/>
      <c r="C12" s="83" t="s">
        <v>13</v>
      </c>
      <c r="D12" s="197" t="s">
        <v>85</v>
      </c>
      <c r="E12" s="198"/>
      <c r="F12" s="198"/>
      <c r="G12" s="198"/>
      <c r="H12" s="198"/>
      <c r="I12" s="198"/>
      <c r="J12" s="198"/>
      <c r="K12" s="198"/>
      <c r="L12" s="198"/>
      <c r="M12" s="198"/>
      <c r="N12" s="199"/>
      <c r="O12" s="51"/>
      <c r="P12" s="51"/>
      <c r="Q12" s="51"/>
      <c r="R12" s="51"/>
      <c r="S12" s="51"/>
      <c r="T12" s="51"/>
    </row>
    <row r="13" spans="1:20" ht="39.950000000000003" customHeight="1" x14ac:dyDescent="0.2">
      <c r="B13" s="195"/>
      <c r="C13" s="84" t="s">
        <v>14</v>
      </c>
      <c r="D13" s="200" t="s">
        <v>38</v>
      </c>
      <c r="E13" s="201"/>
      <c r="F13" s="201"/>
      <c r="G13" s="201"/>
      <c r="H13" s="201"/>
      <c r="I13" s="201"/>
      <c r="J13" s="201"/>
      <c r="K13" s="201"/>
      <c r="L13" s="201"/>
      <c r="M13" s="201"/>
      <c r="N13" s="202"/>
      <c r="O13" s="51"/>
      <c r="P13" s="51"/>
      <c r="Q13" s="51"/>
      <c r="R13" s="51"/>
      <c r="S13" s="51"/>
      <c r="T13" s="51"/>
    </row>
    <row r="14" spans="1:20" ht="39.950000000000003" customHeight="1" x14ac:dyDescent="0.2">
      <c r="B14" s="195"/>
      <c r="C14" s="84" t="s">
        <v>15</v>
      </c>
      <c r="D14" s="200" t="s">
        <v>76</v>
      </c>
      <c r="E14" s="201"/>
      <c r="F14" s="201"/>
      <c r="G14" s="201"/>
      <c r="H14" s="201"/>
      <c r="I14" s="201"/>
      <c r="J14" s="201"/>
      <c r="K14" s="201"/>
      <c r="L14" s="201"/>
      <c r="M14" s="201"/>
      <c r="N14" s="202"/>
      <c r="O14" s="51"/>
      <c r="P14" s="51"/>
      <c r="Q14" s="51"/>
      <c r="R14" s="51"/>
      <c r="S14" s="51"/>
      <c r="T14" s="51"/>
    </row>
    <row r="15" spans="1:20" ht="39.950000000000003" customHeight="1" x14ac:dyDescent="0.2">
      <c r="B15" s="195"/>
      <c r="C15" s="84" t="s">
        <v>46</v>
      </c>
      <c r="D15" s="200" t="s">
        <v>77</v>
      </c>
      <c r="E15" s="201"/>
      <c r="F15" s="201"/>
      <c r="G15" s="201"/>
      <c r="H15" s="201"/>
      <c r="I15" s="201"/>
      <c r="J15" s="201"/>
      <c r="K15" s="201"/>
      <c r="L15" s="201"/>
      <c r="M15" s="201"/>
      <c r="N15" s="202"/>
      <c r="O15" s="51"/>
      <c r="P15" s="51"/>
      <c r="Q15" s="51"/>
      <c r="R15" s="51"/>
      <c r="S15" s="51"/>
      <c r="T15" s="51"/>
    </row>
    <row r="16" spans="1:20" ht="39.950000000000003" customHeight="1" x14ac:dyDescent="0.2">
      <c r="B16" s="195"/>
      <c r="C16" s="83" t="s">
        <v>49</v>
      </c>
      <c r="D16" s="200" t="s">
        <v>78</v>
      </c>
      <c r="E16" s="201"/>
      <c r="F16" s="201"/>
      <c r="G16" s="201"/>
      <c r="H16" s="201"/>
      <c r="I16" s="201"/>
      <c r="J16" s="201"/>
      <c r="K16" s="201"/>
      <c r="L16" s="201"/>
      <c r="M16" s="201"/>
      <c r="N16" s="202"/>
      <c r="O16" s="51"/>
      <c r="P16" s="51"/>
      <c r="Q16" s="51"/>
      <c r="R16" s="51"/>
      <c r="S16" s="51"/>
      <c r="T16" s="51"/>
    </row>
    <row r="17" spans="2:14" ht="39.950000000000003" customHeight="1" thickBot="1" x14ac:dyDescent="0.25">
      <c r="B17" s="196"/>
      <c r="C17" s="85" t="s">
        <v>50</v>
      </c>
      <c r="D17" s="203" t="s">
        <v>79</v>
      </c>
      <c r="E17" s="204"/>
      <c r="F17" s="204"/>
      <c r="G17" s="204"/>
      <c r="H17" s="204"/>
      <c r="I17" s="204"/>
      <c r="J17" s="204"/>
      <c r="K17" s="204"/>
      <c r="L17" s="204"/>
      <c r="M17" s="204"/>
      <c r="N17" s="205"/>
    </row>
    <row r="19" spans="2:14" x14ac:dyDescent="0.2">
      <c r="B19" s="86"/>
    </row>
    <row r="20" spans="2:14" x14ac:dyDescent="0.2">
      <c r="B20" s="86"/>
    </row>
    <row r="21" spans="2:14" x14ac:dyDescent="0.2">
      <c r="B21" s="87"/>
    </row>
  </sheetData>
  <mergeCells count="14">
    <mergeCell ref="D10:N10"/>
    <mergeCell ref="B11:B17"/>
    <mergeCell ref="D11:N11"/>
    <mergeCell ref="D12:N12"/>
    <mergeCell ref="D15:N15"/>
    <mergeCell ref="D17:N17"/>
    <mergeCell ref="D13:N13"/>
    <mergeCell ref="D14:N14"/>
    <mergeCell ref="D16:N16"/>
    <mergeCell ref="B2:N2"/>
    <mergeCell ref="B3:N3"/>
    <mergeCell ref="M8:N8"/>
    <mergeCell ref="B7:N7"/>
    <mergeCell ref="A5:N5"/>
  </mergeCells>
  <hyperlinks>
    <hyperlink ref="C11" location="'Cuadro 7.1'!A1" tooltip="Ir a Cuadro 7.1" display="Cuadro 7.1" xr:uid="{00000000-0004-0000-0000-000000000000}"/>
    <hyperlink ref="C17" location="'Cuadro 7.7'!A1" tooltip="Ir a Cuadro 7.7" display="Cuadro 7.7" xr:uid="{00000000-0004-0000-0000-000001000000}"/>
    <hyperlink ref="C12" location="'Cuadro 7.2'!A1" tooltip="Ir a Cuadro 7.2" display="Cuadro 7.2" xr:uid="{00000000-0004-0000-0000-000002000000}"/>
    <hyperlink ref="C15" location="'Cuadro 7.5'!A1" tooltip="Ir a Cuadro 7.5" display="Cuadro 7.5" xr:uid="{00000000-0004-0000-0000-000003000000}"/>
    <hyperlink ref="C13:C14" location="'Cuadro 7.3'!A1" tooltip="Ir a Cuadro 7.3" display="Cuadro 7.3" xr:uid="{00177073-7A72-4EB7-A1E8-931FBB25DA5B}"/>
    <hyperlink ref="C14" location="'Cuadro 7.4'!A1" tooltip="Ir a Cuadro 7.4" display="Cuadro 7.4" xr:uid="{C2B3ADCA-D667-41C1-8A7B-8C843AA34FE5}"/>
    <hyperlink ref="C16" location="'Cuadro 7.6'!A1" tooltip="Ir a Cuadro 7.6" display="Cuadro 7.6" xr:uid="{4E664BEC-44B9-4FBA-AF01-4532DF4D2E5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29"/>
  <sheetViews>
    <sheetView showGridLines="0" workbookViewId="0">
      <selection activeCell="B1" sqref="B1"/>
    </sheetView>
  </sheetViews>
  <sheetFormatPr baseColWidth="10" defaultColWidth="11.42578125" defaultRowHeight="15" x14ac:dyDescent="0.25"/>
  <cols>
    <col min="1" max="1" width="1.7109375" customWidth="1"/>
    <col min="2" max="2" width="3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  <col min="12" max="12" width="1.7109375" customWidth="1"/>
    <col min="13" max="13" width="15.7109375" style="107" customWidth="1"/>
    <col min="14" max="14" width="15.7109375" customWidth="1"/>
    <col min="15" max="15" width="1.7109375" customWidth="1"/>
    <col min="16" max="16" width="15.7109375" style="107" customWidth="1"/>
    <col min="17" max="17" width="15.7109375" customWidth="1"/>
    <col min="18" max="18" width="1.7109375" customWidth="1"/>
    <col min="19" max="19" width="15.7109375" style="107" customWidth="1"/>
    <col min="20" max="20" width="15.7109375" customWidth="1"/>
    <col min="21" max="21" width="1.7109375" customWidth="1"/>
    <col min="22" max="22" width="15.7109375" style="107" customWidth="1"/>
    <col min="23" max="23" width="15.7109375" customWidth="1"/>
    <col min="24" max="24" width="1.7109375" customWidth="1"/>
    <col min="25" max="25" width="15.7109375" style="107" customWidth="1"/>
    <col min="26" max="26" width="15.7109375" customWidth="1"/>
    <col min="27" max="27" width="1.7109375" customWidth="1"/>
    <col min="28" max="28" width="15.7109375" style="107" customWidth="1"/>
    <col min="29" max="29" width="15.7109375" customWidth="1"/>
    <col min="30" max="30" width="1.7109375" customWidth="1"/>
    <col min="31" max="31" width="15.7109375" style="107" customWidth="1"/>
    <col min="32" max="32" width="15.7109375" customWidth="1"/>
    <col min="33" max="33" width="1.7109375" customWidth="1"/>
    <col min="34" max="34" width="15.7109375" style="107" customWidth="1"/>
    <col min="35" max="35" width="15.7109375" customWidth="1"/>
    <col min="36" max="36" width="1.7109375" customWidth="1"/>
    <col min="37" max="37" width="15.7109375" style="107" customWidth="1"/>
    <col min="38" max="38" width="15.7109375" customWidth="1"/>
  </cols>
  <sheetData>
    <row r="1" spans="2:38" x14ac:dyDescent="0.25">
      <c r="B1" s="229" t="s">
        <v>89</v>
      </c>
      <c r="C1" s="41"/>
      <c r="AL1" s="50" t="s">
        <v>27</v>
      </c>
    </row>
    <row r="2" spans="2:38" ht="6.95" customHeight="1" x14ac:dyDescent="0.25"/>
    <row r="3" spans="2:38" x14ac:dyDescent="0.25">
      <c r="B3" s="41" t="s">
        <v>87</v>
      </c>
    </row>
    <row r="4" spans="2:38" ht="6.95" customHeight="1" x14ac:dyDescent="0.25">
      <c r="B4" s="1"/>
      <c r="C4" s="1"/>
      <c r="D4" s="108"/>
      <c r="E4" s="1"/>
      <c r="F4" s="1"/>
      <c r="G4" s="108"/>
      <c r="H4" s="1"/>
      <c r="I4" s="1"/>
      <c r="J4" s="115"/>
      <c r="K4" s="2"/>
      <c r="L4" s="2"/>
      <c r="M4" s="118"/>
      <c r="N4" s="3"/>
    </row>
    <row r="5" spans="2:38" x14ac:dyDescent="0.25">
      <c r="B5" s="42" t="s">
        <v>24</v>
      </c>
      <c r="C5" s="42"/>
      <c r="D5" s="108"/>
      <c r="E5" s="1"/>
      <c r="F5" s="1"/>
      <c r="G5" s="108"/>
      <c r="H5" s="1"/>
      <c r="I5" s="1"/>
      <c r="J5" s="108"/>
      <c r="K5" s="1"/>
      <c r="L5" s="1"/>
      <c r="M5" s="118"/>
      <c r="N5" s="3"/>
      <c r="O5" s="2"/>
      <c r="AL5" s="43" t="s">
        <v>12</v>
      </c>
    </row>
    <row r="6" spans="2:38" ht="6.95" customHeight="1" x14ac:dyDescent="0.25">
      <c r="B6" s="4"/>
      <c r="C6" s="4"/>
      <c r="D6" s="109"/>
      <c r="E6" s="5"/>
      <c r="F6" s="5"/>
      <c r="G6" s="109"/>
      <c r="H6" s="5"/>
      <c r="I6" s="5"/>
      <c r="J6" s="117"/>
      <c r="K6" s="6"/>
      <c r="L6" s="6"/>
      <c r="M6" s="118"/>
      <c r="N6" s="3"/>
      <c r="O6" s="2"/>
    </row>
    <row r="7" spans="2:38" ht="15" customHeight="1" x14ac:dyDescent="0.25">
      <c r="B7" s="211" t="s">
        <v>64</v>
      </c>
      <c r="C7" s="90"/>
      <c r="D7" s="208" t="s">
        <v>21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45"/>
      <c r="P7" s="208" t="s">
        <v>4</v>
      </c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46"/>
      <c r="AB7" s="208" t="s">
        <v>5</v>
      </c>
      <c r="AC7" s="208"/>
      <c r="AD7" s="208"/>
      <c r="AE7" s="208"/>
      <c r="AF7" s="208"/>
      <c r="AG7" s="208"/>
      <c r="AH7" s="208"/>
      <c r="AI7" s="208"/>
      <c r="AJ7" s="208"/>
      <c r="AK7" s="208"/>
      <c r="AL7" s="208"/>
    </row>
    <row r="8" spans="2:38" ht="15" customHeight="1" x14ac:dyDescent="0.25">
      <c r="B8" s="212"/>
      <c r="C8" s="39"/>
      <c r="D8" s="206" t="s">
        <v>39</v>
      </c>
      <c r="E8" s="206"/>
      <c r="F8" s="92"/>
      <c r="G8" s="214" t="s">
        <v>22</v>
      </c>
      <c r="H8" s="214"/>
      <c r="I8" s="214"/>
      <c r="J8" s="214"/>
      <c r="K8" s="214"/>
      <c r="L8" s="214"/>
      <c r="M8" s="214"/>
      <c r="N8" s="214"/>
      <c r="O8" s="40"/>
      <c r="P8" s="206" t="s">
        <v>39</v>
      </c>
      <c r="Q8" s="206"/>
      <c r="R8" s="92"/>
      <c r="S8" s="214" t="s">
        <v>22</v>
      </c>
      <c r="T8" s="214"/>
      <c r="U8" s="206"/>
      <c r="V8" s="214"/>
      <c r="W8" s="214"/>
      <c r="X8" s="214"/>
      <c r="Y8" s="214"/>
      <c r="Z8" s="214"/>
      <c r="AA8" s="40"/>
      <c r="AB8" s="206" t="s">
        <v>39</v>
      </c>
      <c r="AC8" s="206"/>
      <c r="AD8" s="93"/>
      <c r="AE8" s="207" t="s">
        <v>22</v>
      </c>
      <c r="AF8" s="207"/>
      <c r="AG8" s="207"/>
      <c r="AH8" s="209"/>
      <c r="AI8" s="209"/>
      <c r="AJ8" s="209"/>
      <c r="AK8" s="209"/>
      <c r="AL8" s="209"/>
    </row>
    <row r="9" spans="2:38" ht="30" customHeight="1" x14ac:dyDescent="0.25">
      <c r="B9" s="212"/>
      <c r="C9" s="39"/>
      <c r="D9" s="207"/>
      <c r="E9" s="207"/>
      <c r="F9" s="93"/>
      <c r="G9" s="207" t="s">
        <v>0</v>
      </c>
      <c r="H9" s="207"/>
      <c r="I9" s="40"/>
      <c r="J9" s="207" t="s">
        <v>42</v>
      </c>
      <c r="K9" s="207"/>
      <c r="L9" s="40"/>
      <c r="M9" s="207" t="s">
        <v>43</v>
      </c>
      <c r="N9" s="207"/>
      <c r="O9" s="3"/>
      <c r="P9" s="207"/>
      <c r="Q9" s="207"/>
      <c r="R9" s="93"/>
      <c r="S9" s="207" t="s">
        <v>0</v>
      </c>
      <c r="T9" s="207"/>
      <c r="U9" s="92"/>
      <c r="V9" s="207" t="s">
        <v>42</v>
      </c>
      <c r="W9" s="207"/>
      <c r="X9" s="40"/>
      <c r="Y9" s="207" t="s">
        <v>43</v>
      </c>
      <c r="Z9" s="207"/>
      <c r="AA9" s="3"/>
      <c r="AB9" s="207"/>
      <c r="AC9" s="207"/>
      <c r="AD9" s="93"/>
      <c r="AE9" s="207" t="s">
        <v>0</v>
      </c>
      <c r="AF9" s="207"/>
      <c r="AG9" s="7"/>
      <c r="AH9" s="207" t="s">
        <v>42</v>
      </c>
      <c r="AI9" s="207"/>
      <c r="AJ9" s="40"/>
      <c r="AK9" s="207" t="s">
        <v>43</v>
      </c>
      <c r="AL9" s="207"/>
    </row>
    <row r="10" spans="2:38" x14ac:dyDescent="0.25">
      <c r="B10" s="213"/>
      <c r="C10" s="91"/>
      <c r="D10" s="110" t="s">
        <v>25</v>
      </c>
      <c r="E10" s="44" t="s">
        <v>26</v>
      </c>
      <c r="F10" s="94"/>
      <c r="G10" s="110" t="s">
        <v>25</v>
      </c>
      <c r="H10" s="44" t="s">
        <v>26</v>
      </c>
      <c r="I10" s="44"/>
      <c r="J10" s="110" t="s">
        <v>25</v>
      </c>
      <c r="K10" s="44" t="s">
        <v>26</v>
      </c>
      <c r="L10" s="44"/>
      <c r="M10" s="110" t="s">
        <v>25</v>
      </c>
      <c r="N10" s="44" t="s">
        <v>26</v>
      </c>
      <c r="O10" s="44"/>
      <c r="P10" s="110" t="s">
        <v>25</v>
      </c>
      <c r="Q10" s="44" t="s">
        <v>26</v>
      </c>
      <c r="R10" s="94"/>
      <c r="S10" s="110" t="s">
        <v>25</v>
      </c>
      <c r="T10" s="44" t="s">
        <v>26</v>
      </c>
      <c r="U10" s="44"/>
      <c r="V10" s="110" t="s">
        <v>25</v>
      </c>
      <c r="W10" s="44" t="s">
        <v>26</v>
      </c>
      <c r="X10" s="44"/>
      <c r="Y10" s="110" t="s">
        <v>25</v>
      </c>
      <c r="Z10" s="44" t="s">
        <v>26</v>
      </c>
      <c r="AA10" s="44"/>
      <c r="AB10" s="110" t="s">
        <v>25</v>
      </c>
      <c r="AC10" s="44" t="s">
        <v>26</v>
      </c>
      <c r="AD10" s="94"/>
      <c r="AE10" s="110" t="s">
        <v>25</v>
      </c>
      <c r="AF10" s="44" t="s">
        <v>26</v>
      </c>
      <c r="AG10" s="44"/>
      <c r="AH10" s="110" t="s">
        <v>25</v>
      </c>
      <c r="AI10" s="44" t="s">
        <v>26</v>
      </c>
      <c r="AJ10" s="44"/>
      <c r="AK10" s="110" t="s">
        <v>25</v>
      </c>
      <c r="AL10" s="44" t="s">
        <v>26</v>
      </c>
    </row>
    <row r="11" spans="2:38" ht="6.95" customHeight="1" x14ac:dyDescent="0.25">
      <c r="B11" s="39"/>
      <c r="C11" s="39"/>
      <c r="D11" s="111"/>
      <c r="E11" s="93"/>
      <c r="F11" s="93"/>
      <c r="G11" s="116"/>
      <c r="H11" s="47"/>
      <c r="I11" s="47"/>
      <c r="J11" s="116"/>
      <c r="K11" s="47"/>
      <c r="L11" s="47"/>
      <c r="M11" s="116"/>
      <c r="N11" s="47"/>
      <c r="O11" s="47"/>
      <c r="P11" s="111"/>
      <c r="Q11" s="93"/>
      <c r="R11" s="93"/>
      <c r="S11" s="116"/>
      <c r="T11" s="47"/>
      <c r="U11" s="47"/>
      <c r="V11" s="112"/>
      <c r="W11" s="47"/>
      <c r="X11" s="47"/>
      <c r="Y11" s="116"/>
      <c r="Z11" s="47"/>
      <c r="AA11" s="47"/>
      <c r="AB11" s="123"/>
      <c r="AC11" s="40"/>
      <c r="AD11" s="40"/>
      <c r="AE11" s="116"/>
      <c r="AF11" s="47"/>
      <c r="AG11" s="47"/>
      <c r="AH11" s="116"/>
      <c r="AI11" s="47"/>
      <c r="AJ11" s="47"/>
      <c r="AK11" s="116"/>
      <c r="AL11" s="47"/>
    </row>
    <row r="12" spans="2:38" ht="15" customHeight="1" x14ac:dyDescent="0.25">
      <c r="B12" s="48" t="s">
        <v>1</v>
      </c>
      <c r="C12" s="48"/>
      <c r="D12" s="173">
        <v>85074250.450445905</v>
      </c>
      <c r="E12" s="174">
        <v>100</v>
      </c>
      <c r="F12" s="173"/>
      <c r="G12" s="173">
        <v>73533525.366541997</v>
      </c>
      <c r="H12" s="174">
        <v>85.978892176058295</v>
      </c>
      <c r="I12" s="173"/>
      <c r="J12" s="173">
        <v>17583080.7143781</v>
      </c>
      <c r="K12" s="174">
        <v>20.345059682192201</v>
      </c>
      <c r="L12" s="173"/>
      <c r="M12" s="173">
        <v>7329285.1632802999</v>
      </c>
      <c r="N12" s="174">
        <v>8.4645723942245894</v>
      </c>
      <c r="O12" s="173"/>
      <c r="P12" s="173">
        <v>45189093.536525302</v>
      </c>
      <c r="Q12" s="174">
        <v>100</v>
      </c>
      <c r="R12" s="173"/>
      <c r="S12" s="173">
        <v>39614081.472617596</v>
      </c>
      <c r="T12" s="174">
        <v>87.058783551508597</v>
      </c>
      <c r="U12" s="173"/>
      <c r="V12" s="173">
        <v>8273136.6233464899</v>
      </c>
      <c r="W12" s="174">
        <v>17.8459319103575</v>
      </c>
      <c r="X12" s="173"/>
      <c r="Y12" s="173">
        <v>3776773.4871040899</v>
      </c>
      <c r="Z12" s="174">
        <v>8.1628041438669605</v>
      </c>
      <c r="AA12" s="173"/>
      <c r="AB12" s="173">
        <v>38949471.211108603</v>
      </c>
      <c r="AC12" s="174">
        <v>100</v>
      </c>
      <c r="AD12" s="173"/>
      <c r="AE12" s="173">
        <v>33075143.068071499</v>
      </c>
      <c r="AF12" s="174">
        <v>84.127161071534999</v>
      </c>
      <c r="AG12" s="173"/>
      <c r="AH12" s="173">
        <v>8969895.4388689809</v>
      </c>
      <c r="AI12" s="174">
        <v>22.499895645270101</v>
      </c>
      <c r="AJ12" s="173"/>
      <c r="AK12" s="173">
        <v>3327346.57599515</v>
      </c>
      <c r="AL12" s="174">
        <v>8.3151600937082097</v>
      </c>
    </row>
    <row r="13" spans="2:38" ht="6.95" customHeight="1" x14ac:dyDescent="0.25">
      <c r="B13" s="10"/>
      <c r="C13" s="10"/>
      <c r="D13" s="173"/>
      <c r="E13" s="175"/>
      <c r="F13" s="173"/>
      <c r="G13" s="173"/>
      <c r="H13" s="175"/>
      <c r="I13" s="173"/>
      <c r="J13" s="173"/>
      <c r="K13" s="175"/>
      <c r="L13" s="173"/>
      <c r="M13" s="173"/>
      <c r="N13" s="175"/>
      <c r="O13" s="173"/>
      <c r="P13" s="173"/>
      <c r="Q13" s="175"/>
      <c r="R13" s="173"/>
      <c r="S13" s="173"/>
      <c r="T13" s="175"/>
      <c r="U13" s="173"/>
      <c r="V13" s="173"/>
      <c r="W13" s="175"/>
      <c r="X13" s="173"/>
      <c r="Y13" s="173"/>
      <c r="Z13" s="175"/>
      <c r="AA13" s="173"/>
      <c r="AB13" s="173"/>
      <c r="AC13" s="175"/>
      <c r="AD13" s="173"/>
      <c r="AE13" s="173"/>
      <c r="AF13" s="175"/>
      <c r="AG13" s="173"/>
      <c r="AH13" s="173"/>
      <c r="AI13" s="175"/>
      <c r="AJ13" s="173"/>
      <c r="AK13" s="173"/>
      <c r="AL13" s="175"/>
    </row>
    <row r="14" spans="2:38" ht="15" customHeight="1" x14ac:dyDescent="0.25">
      <c r="B14" s="49" t="s">
        <v>2</v>
      </c>
      <c r="C14" s="49"/>
      <c r="D14" s="176">
        <v>85074250.450445905</v>
      </c>
      <c r="E14" s="175">
        <v>100</v>
      </c>
      <c r="F14" s="176"/>
      <c r="G14" s="176">
        <v>72258355.2151272</v>
      </c>
      <c r="H14" s="175">
        <v>84.4634189219408</v>
      </c>
      <c r="I14" s="176"/>
      <c r="J14" s="176">
        <v>8449016.1952899806</v>
      </c>
      <c r="K14" s="175">
        <v>9.75354981464932</v>
      </c>
      <c r="L14" s="176"/>
      <c r="M14" s="176">
        <v>3405322.8526015398</v>
      </c>
      <c r="N14" s="175">
        <v>3.93177327672415</v>
      </c>
      <c r="O14" s="176"/>
      <c r="P14" s="176">
        <v>45189093.536525302</v>
      </c>
      <c r="Q14" s="175">
        <v>100</v>
      </c>
      <c r="R14" s="176"/>
      <c r="S14" s="176">
        <v>38879029.620267898</v>
      </c>
      <c r="T14" s="175">
        <v>85.391840640589905</v>
      </c>
      <c r="U14" s="176"/>
      <c r="V14" s="176">
        <v>3860158.5036611198</v>
      </c>
      <c r="W14" s="175">
        <v>8.3019671816579592</v>
      </c>
      <c r="X14" s="176"/>
      <c r="Y14" s="176">
        <v>1838813.9425939899</v>
      </c>
      <c r="Z14" s="175">
        <v>3.9657507426426499</v>
      </c>
      <c r="AA14" s="176"/>
      <c r="AB14" s="176">
        <v>38949471.211108603</v>
      </c>
      <c r="AC14" s="175">
        <v>100</v>
      </c>
      <c r="AD14" s="176"/>
      <c r="AE14" s="176">
        <v>32547208.970908601</v>
      </c>
      <c r="AF14" s="175">
        <v>82.782433630142805</v>
      </c>
      <c r="AG14" s="176"/>
      <c r="AH14" s="176">
        <v>4375016.9656367302</v>
      </c>
      <c r="AI14" s="175">
        <v>10.929593987079199</v>
      </c>
      <c r="AJ14" s="176"/>
      <c r="AK14" s="176">
        <v>1410990.20229222</v>
      </c>
      <c r="AL14" s="175">
        <v>3.52273898013103</v>
      </c>
    </row>
    <row r="15" spans="2:38" ht="15" customHeight="1" x14ac:dyDescent="0.25">
      <c r="B15" s="49" t="s">
        <v>3</v>
      </c>
      <c r="C15" s="49"/>
      <c r="D15" s="176">
        <v>85074250.450445905</v>
      </c>
      <c r="E15" s="175">
        <v>100</v>
      </c>
      <c r="F15" s="176"/>
      <c r="G15" s="176">
        <v>62154414.888232604</v>
      </c>
      <c r="H15" s="175">
        <v>72.522062033940998</v>
      </c>
      <c r="I15" s="176"/>
      <c r="J15" s="176">
        <v>15693935.117773</v>
      </c>
      <c r="K15" s="175">
        <v>18.159669169031599</v>
      </c>
      <c r="L15" s="176"/>
      <c r="M15" s="176">
        <v>6021440.0048206598</v>
      </c>
      <c r="N15" s="175">
        <v>6.9529391166901098</v>
      </c>
      <c r="O15" s="176"/>
      <c r="P15" s="176">
        <v>45189093.536525302</v>
      </c>
      <c r="Q15" s="175">
        <v>100</v>
      </c>
      <c r="R15" s="176"/>
      <c r="S15" s="176">
        <v>34100496.324949503</v>
      </c>
      <c r="T15" s="175">
        <v>74.663234852579805</v>
      </c>
      <c r="U15" s="176"/>
      <c r="V15" s="176">
        <v>7301666.9379861597</v>
      </c>
      <c r="W15" s="175">
        <v>15.7550459332007</v>
      </c>
      <c r="X15" s="176"/>
      <c r="Y15" s="176">
        <v>3010094.6272246498</v>
      </c>
      <c r="Z15" s="175">
        <v>6.5018184730015003</v>
      </c>
      <c r="AA15" s="176"/>
      <c r="AB15" s="176">
        <v>38949471.211108603</v>
      </c>
      <c r="AC15" s="175">
        <v>100</v>
      </c>
      <c r="AD15" s="176"/>
      <c r="AE15" s="176">
        <v>27312104.103401698</v>
      </c>
      <c r="AF15" s="175">
        <v>69.243240996290993</v>
      </c>
      <c r="AG15" s="176"/>
      <c r="AH15" s="176">
        <v>8064331.8711225605</v>
      </c>
      <c r="AI15" s="175">
        <v>20.219356253064099</v>
      </c>
      <c r="AJ15" s="176"/>
      <c r="AK15" s="176">
        <v>2798769.1037665801</v>
      </c>
      <c r="AL15" s="175">
        <v>6.9929927200427304</v>
      </c>
    </row>
    <row r="16" spans="2:38" ht="6.95" customHeight="1" x14ac:dyDescent="0.25">
      <c r="B16" s="145"/>
      <c r="C16" s="11"/>
      <c r="D16" s="173"/>
      <c r="E16" s="175"/>
      <c r="F16" s="173"/>
      <c r="G16" s="173"/>
      <c r="H16" s="175"/>
      <c r="I16" s="173"/>
      <c r="J16" s="173"/>
      <c r="K16" s="175"/>
      <c r="L16" s="173"/>
      <c r="M16" s="173"/>
      <c r="N16" s="175"/>
      <c r="O16" s="173"/>
      <c r="P16" s="173"/>
      <c r="Q16" s="175"/>
      <c r="R16" s="173"/>
      <c r="S16" s="173"/>
      <c r="T16" s="175"/>
      <c r="U16" s="173"/>
      <c r="V16" s="173"/>
      <c r="W16" s="175"/>
      <c r="X16" s="173"/>
      <c r="Y16" s="173"/>
      <c r="Z16" s="175"/>
      <c r="AA16" s="173"/>
      <c r="AB16" s="173"/>
      <c r="AC16" s="175"/>
      <c r="AD16" s="173"/>
      <c r="AE16" s="173"/>
      <c r="AF16" s="175"/>
      <c r="AG16" s="173"/>
      <c r="AH16" s="173"/>
      <c r="AI16" s="175"/>
      <c r="AJ16" s="173"/>
      <c r="AK16" s="173"/>
      <c r="AL16" s="175"/>
    </row>
    <row r="17" spans="2:38" ht="15" customHeight="1" x14ac:dyDescent="0.25">
      <c r="B17" s="144" t="s">
        <v>6</v>
      </c>
      <c r="C17" s="20"/>
      <c r="D17" s="173">
        <v>27919808.370060898</v>
      </c>
      <c r="E17" s="174">
        <v>100</v>
      </c>
      <c r="F17" s="173"/>
      <c r="G17" s="173">
        <v>26591393.735050201</v>
      </c>
      <c r="H17" s="174">
        <v>94.254964724963102</v>
      </c>
      <c r="I17" s="173"/>
      <c r="J17" s="173">
        <v>2248313.66001932</v>
      </c>
      <c r="K17" s="174">
        <v>7.7639036903790402</v>
      </c>
      <c r="L17" s="173"/>
      <c r="M17" s="173">
        <v>1137493.8460782899</v>
      </c>
      <c r="N17" s="174">
        <v>3.8994692539717</v>
      </c>
      <c r="O17" s="173"/>
      <c r="P17" s="173">
        <v>15147712.0036007</v>
      </c>
      <c r="Q17" s="174">
        <v>100</v>
      </c>
      <c r="R17" s="173"/>
      <c r="S17" s="173">
        <v>14446239.196616501</v>
      </c>
      <c r="T17" s="174">
        <v>94.347989186699706</v>
      </c>
      <c r="U17" s="173"/>
      <c r="V17" s="173">
        <v>1030037.2386365799</v>
      </c>
      <c r="W17" s="174">
        <v>6.4626401609441597</v>
      </c>
      <c r="X17" s="173"/>
      <c r="Y17" s="173">
        <v>587230.38524772297</v>
      </c>
      <c r="Z17" s="174">
        <v>3.71064747643068</v>
      </c>
      <c r="AA17" s="173"/>
      <c r="AB17" s="173">
        <v>12466861.324348001</v>
      </c>
      <c r="AC17" s="174">
        <v>100</v>
      </c>
      <c r="AD17" s="173"/>
      <c r="AE17" s="173">
        <v>11832215.0407598</v>
      </c>
      <c r="AF17" s="174">
        <v>93.447772661799902</v>
      </c>
      <c r="AG17" s="173"/>
      <c r="AH17" s="173">
        <v>1065667.03527821</v>
      </c>
      <c r="AI17" s="174">
        <v>8.1440119266322899</v>
      </c>
      <c r="AJ17" s="173"/>
      <c r="AK17" s="173">
        <v>454069.61493949202</v>
      </c>
      <c r="AL17" s="174">
        <v>3.4400667889997201</v>
      </c>
    </row>
    <row r="18" spans="2:38" ht="6.95" customHeight="1" x14ac:dyDescent="0.25">
      <c r="B18" s="146"/>
      <c r="C18" s="21"/>
      <c r="D18" s="173"/>
      <c r="E18" s="175"/>
      <c r="F18" s="173"/>
      <c r="G18" s="173"/>
      <c r="H18" s="175"/>
      <c r="I18" s="173"/>
      <c r="J18" s="173"/>
      <c r="K18" s="175"/>
      <c r="L18" s="173"/>
      <c r="M18" s="173"/>
      <c r="N18" s="175"/>
      <c r="O18" s="173"/>
      <c r="P18" s="173"/>
      <c r="Q18" s="175"/>
      <c r="R18" s="173"/>
      <c r="S18" s="173"/>
      <c r="T18" s="175"/>
      <c r="U18" s="173"/>
      <c r="V18" s="173"/>
      <c r="W18" s="175"/>
      <c r="X18" s="173"/>
      <c r="Y18" s="173"/>
      <c r="Z18" s="175"/>
      <c r="AA18" s="173"/>
      <c r="AB18" s="173"/>
      <c r="AC18" s="175"/>
      <c r="AD18" s="173"/>
      <c r="AE18" s="173"/>
      <c r="AF18" s="175"/>
      <c r="AG18" s="173"/>
      <c r="AH18" s="173"/>
      <c r="AI18" s="175"/>
      <c r="AJ18" s="173"/>
      <c r="AK18" s="173"/>
      <c r="AL18" s="175"/>
    </row>
    <row r="19" spans="2:38" ht="15" customHeight="1" x14ac:dyDescent="0.25">
      <c r="B19" s="49" t="s">
        <v>2</v>
      </c>
      <c r="C19" s="49"/>
      <c r="D19" s="176">
        <v>27919808.370060898</v>
      </c>
      <c r="E19" s="175">
        <v>100</v>
      </c>
      <c r="F19" s="176"/>
      <c r="G19" s="176">
        <v>26278595.761125099</v>
      </c>
      <c r="H19" s="175">
        <v>93.022530511061206</v>
      </c>
      <c r="I19" s="176"/>
      <c r="J19" s="176">
        <v>905809.71046662796</v>
      </c>
      <c r="K19" s="175">
        <v>3.1086873551397001</v>
      </c>
      <c r="L19" s="176"/>
      <c r="M19" s="176">
        <v>437636.98597006098</v>
      </c>
      <c r="N19" s="175">
        <v>1.48411858714145</v>
      </c>
      <c r="O19" s="176"/>
      <c r="P19" s="176">
        <v>15147712.0036007</v>
      </c>
      <c r="Q19" s="175">
        <v>100</v>
      </c>
      <c r="R19" s="176"/>
      <c r="S19" s="176">
        <v>14258236.6779618</v>
      </c>
      <c r="T19" s="175">
        <v>93.000037370039095</v>
      </c>
      <c r="U19" s="176"/>
      <c r="V19" s="176">
        <v>440657.71431852499</v>
      </c>
      <c r="W19" s="175">
        <v>2.7495956449700398</v>
      </c>
      <c r="X19" s="176"/>
      <c r="Y19" s="176">
        <v>231267.24637465901</v>
      </c>
      <c r="Z19" s="175">
        <v>1.41864845064622</v>
      </c>
      <c r="AA19" s="176"/>
      <c r="AB19" s="176">
        <v>12466861.324348001</v>
      </c>
      <c r="AC19" s="175">
        <v>100</v>
      </c>
      <c r="AD19" s="176"/>
      <c r="AE19" s="176">
        <v>11703079.9890265</v>
      </c>
      <c r="AF19" s="175">
        <v>92.298522864880596</v>
      </c>
      <c r="AG19" s="176"/>
      <c r="AH19" s="176">
        <v>379567.79002047202</v>
      </c>
      <c r="AI19" s="175">
        <v>2.8774588925662101</v>
      </c>
      <c r="AJ19" s="176"/>
      <c r="AK19" s="176">
        <v>156590.080641971</v>
      </c>
      <c r="AL19" s="175">
        <v>1.1835097147304301</v>
      </c>
    </row>
    <row r="20" spans="2:38" ht="15" customHeight="1" x14ac:dyDescent="0.25">
      <c r="B20" s="49" t="s">
        <v>3</v>
      </c>
      <c r="C20" s="49"/>
      <c r="D20" s="176">
        <v>27919808.370060898</v>
      </c>
      <c r="E20" s="175">
        <v>100</v>
      </c>
      <c r="F20" s="176"/>
      <c r="G20" s="176">
        <v>24698740.080377199</v>
      </c>
      <c r="H20" s="175">
        <v>86.899218559359397</v>
      </c>
      <c r="I20" s="176"/>
      <c r="J20" s="176">
        <v>1917670.5087919601</v>
      </c>
      <c r="K20" s="175">
        <v>6.5934785049355797</v>
      </c>
      <c r="L20" s="176"/>
      <c r="M20" s="176">
        <v>904367.268855548</v>
      </c>
      <c r="N20" s="175">
        <v>3.0965761016793198</v>
      </c>
      <c r="O20" s="176"/>
      <c r="P20" s="176">
        <v>15147712.0036007</v>
      </c>
      <c r="Q20" s="175">
        <v>100</v>
      </c>
      <c r="R20" s="176"/>
      <c r="S20" s="176">
        <v>13547496.589937</v>
      </c>
      <c r="T20" s="175">
        <v>87.350080803157297</v>
      </c>
      <c r="U20" s="176"/>
      <c r="V20" s="176">
        <v>810503.04030556604</v>
      </c>
      <c r="W20" s="175">
        <v>5.0538787598247401</v>
      </c>
      <c r="X20" s="176"/>
      <c r="Y20" s="176">
        <v>444488.33769431099</v>
      </c>
      <c r="Z20" s="175">
        <v>2.8180049377470402</v>
      </c>
      <c r="AA20" s="176"/>
      <c r="AB20" s="176">
        <v>12466861.324348001</v>
      </c>
      <c r="AC20" s="175">
        <v>100</v>
      </c>
      <c r="AD20" s="176"/>
      <c r="AE20" s="176">
        <v>10863755.637463</v>
      </c>
      <c r="AF20" s="175">
        <v>85.0998357363422</v>
      </c>
      <c r="AG20" s="176"/>
      <c r="AH20" s="176">
        <v>954677.68650583597</v>
      </c>
      <c r="AI20" s="175">
        <v>7.2944729018104599</v>
      </c>
      <c r="AJ20" s="176"/>
      <c r="AK20" s="176">
        <v>371964.47991760803</v>
      </c>
      <c r="AL20" s="175">
        <v>2.8046962277440399</v>
      </c>
    </row>
    <row r="21" spans="2:38" ht="6.95" customHeight="1" x14ac:dyDescent="0.25">
      <c r="B21" s="147"/>
      <c r="C21" s="22"/>
      <c r="D21" s="173"/>
      <c r="E21" s="186"/>
      <c r="F21" s="173"/>
      <c r="G21" s="173"/>
      <c r="H21" s="186"/>
      <c r="I21" s="173"/>
      <c r="J21" s="173"/>
      <c r="K21" s="186"/>
      <c r="L21" s="173"/>
      <c r="M21" s="173"/>
      <c r="N21" s="186"/>
      <c r="O21" s="173"/>
      <c r="P21" s="173"/>
      <c r="Q21" s="186"/>
      <c r="R21" s="173"/>
      <c r="S21" s="173"/>
      <c r="T21" s="186"/>
      <c r="U21" s="173"/>
      <c r="V21" s="173"/>
      <c r="W21" s="186"/>
      <c r="X21" s="173"/>
      <c r="Y21" s="173"/>
      <c r="Z21" s="186"/>
      <c r="AA21" s="173"/>
      <c r="AB21" s="173"/>
      <c r="AC21" s="186"/>
      <c r="AD21" s="173"/>
      <c r="AE21" s="173"/>
      <c r="AF21" s="186"/>
      <c r="AG21" s="173"/>
      <c r="AH21" s="173"/>
      <c r="AI21" s="186"/>
      <c r="AJ21" s="173"/>
      <c r="AK21" s="173"/>
      <c r="AL21" s="186"/>
    </row>
    <row r="22" spans="2:38" ht="15" customHeight="1" x14ac:dyDescent="0.25">
      <c r="B22" s="144" t="s">
        <v>7</v>
      </c>
      <c r="C22" s="20"/>
      <c r="D22" s="173">
        <v>54724471.783623897</v>
      </c>
      <c r="E22" s="174">
        <v>100</v>
      </c>
      <c r="F22" s="173"/>
      <c r="G22" s="173">
        <v>44737175.374253899</v>
      </c>
      <c r="H22" s="174">
        <v>81.195601634620402</v>
      </c>
      <c r="I22" s="173"/>
      <c r="J22" s="173">
        <v>14943119.215648601</v>
      </c>
      <c r="K22" s="174">
        <v>26.399208209731299</v>
      </c>
      <c r="L22" s="173"/>
      <c r="M22" s="173">
        <v>5937023.3003227096</v>
      </c>
      <c r="N22" s="174">
        <v>10.504432233877001</v>
      </c>
      <c r="O22" s="173"/>
      <c r="P22" s="173">
        <v>28733115.775626201</v>
      </c>
      <c r="Q22" s="174">
        <v>100</v>
      </c>
      <c r="R22" s="173"/>
      <c r="S22" s="173">
        <v>23942150.764635999</v>
      </c>
      <c r="T22" s="174">
        <v>82.605076998443195</v>
      </c>
      <c r="U22" s="173"/>
      <c r="V22" s="173">
        <v>7014378.92616551</v>
      </c>
      <c r="W22" s="174">
        <v>23.290325010389399</v>
      </c>
      <c r="X22" s="173"/>
      <c r="Y22" s="173">
        <v>3007989.65068299</v>
      </c>
      <c r="Z22" s="174">
        <v>10.078095026300099</v>
      </c>
      <c r="AA22" s="173"/>
      <c r="AB22" s="173">
        <v>25428611.494824</v>
      </c>
      <c r="AC22" s="174">
        <v>100</v>
      </c>
      <c r="AD22" s="173"/>
      <c r="AE22" s="173">
        <v>20294665.1369447</v>
      </c>
      <c r="AF22" s="174">
        <v>78.835424419997906</v>
      </c>
      <c r="AG22" s="173"/>
      <c r="AH22" s="173">
        <v>7649763.2142542498</v>
      </c>
      <c r="AI22" s="174">
        <v>29.075629874697501</v>
      </c>
      <c r="AJ22" s="173"/>
      <c r="AK22" s="173">
        <v>2731584.1747777802</v>
      </c>
      <c r="AL22" s="174">
        <v>10.316052006550899</v>
      </c>
    </row>
    <row r="23" spans="2:38" ht="6.95" customHeight="1" x14ac:dyDescent="0.25">
      <c r="B23" s="144"/>
      <c r="C23" s="20"/>
      <c r="D23" s="173"/>
      <c r="E23" s="175"/>
      <c r="F23" s="173"/>
      <c r="G23" s="173"/>
      <c r="H23" s="175"/>
      <c r="I23" s="173"/>
      <c r="J23" s="173"/>
      <c r="K23" s="175"/>
      <c r="L23" s="173"/>
      <c r="M23" s="173"/>
      <c r="N23" s="175"/>
      <c r="O23" s="173"/>
      <c r="P23" s="173"/>
      <c r="Q23" s="175"/>
      <c r="R23" s="173"/>
      <c r="S23" s="173"/>
      <c r="T23" s="175"/>
      <c r="U23" s="173"/>
      <c r="V23" s="173"/>
      <c r="W23" s="175"/>
      <c r="X23" s="173"/>
      <c r="Y23" s="173"/>
      <c r="Z23" s="175"/>
      <c r="AA23" s="173"/>
      <c r="AB23" s="173"/>
      <c r="AC23" s="175"/>
      <c r="AD23" s="173"/>
      <c r="AE23" s="173"/>
      <c r="AF23" s="175"/>
      <c r="AG23" s="173"/>
      <c r="AH23" s="173"/>
      <c r="AI23" s="175"/>
      <c r="AJ23" s="173"/>
      <c r="AK23" s="173"/>
      <c r="AL23" s="175"/>
    </row>
    <row r="24" spans="2:38" ht="15" customHeight="1" x14ac:dyDescent="0.25">
      <c r="B24" s="49" t="s">
        <v>2</v>
      </c>
      <c r="C24" s="49"/>
      <c r="D24" s="176">
        <v>54724471.783623897</v>
      </c>
      <c r="E24" s="175">
        <v>100</v>
      </c>
      <c r="F24" s="176"/>
      <c r="G24" s="176">
        <v>43820988.117674701</v>
      </c>
      <c r="H24" s="175">
        <v>79.494109948533193</v>
      </c>
      <c r="I24" s="176"/>
      <c r="J24" s="176">
        <v>7311344.1509402804</v>
      </c>
      <c r="K24" s="175">
        <v>12.878435432194999</v>
      </c>
      <c r="L24" s="176"/>
      <c r="M24" s="176">
        <v>2842183.0642138799</v>
      </c>
      <c r="N24" s="175">
        <v>5.0192729018387503</v>
      </c>
      <c r="O24" s="176"/>
      <c r="P24" s="176">
        <v>28733115.775626201</v>
      </c>
      <c r="Q24" s="175">
        <v>100</v>
      </c>
      <c r="R24" s="176"/>
      <c r="S24" s="176">
        <v>23414770.140570499</v>
      </c>
      <c r="T24" s="175">
        <v>80.715858483617595</v>
      </c>
      <c r="U24" s="176"/>
      <c r="V24" s="176">
        <v>3280102.70170466</v>
      </c>
      <c r="W24" s="175">
        <v>10.8523506265603</v>
      </c>
      <c r="X24" s="176"/>
      <c r="Y24" s="176">
        <v>1529314.1006344501</v>
      </c>
      <c r="Z24" s="175">
        <v>5.1063487156918699</v>
      </c>
      <c r="AA24" s="176"/>
      <c r="AB24" s="176">
        <v>25428611.494824</v>
      </c>
      <c r="AC24" s="175">
        <v>100</v>
      </c>
      <c r="AD24" s="176"/>
      <c r="AE24" s="176">
        <v>19914356.561838798</v>
      </c>
      <c r="AF24" s="175">
        <v>77.348085217320602</v>
      </c>
      <c r="AG24" s="176"/>
      <c r="AH24" s="176">
        <v>3841928.4459512099</v>
      </c>
      <c r="AI24" s="175">
        <v>14.5291382704584</v>
      </c>
      <c r="AJ24" s="176"/>
      <c r="AK24" s="176">
        <v>1169135.0863228501</v>
      </c>
      <c r="AL24" s="175">
        <v>4.4102634165120103</v>
      </c>
    </row>
    <row r="25" spans="2:38" ht="15" customHeight="1" x14ac:dyDescent="0.25">
      <c r="B25" s="49" t="s">
        <v>3</v>
      </c>
      <c r="C25" s="49"/>
      <c r="D25" s="176">
        <v>54724471.783623897</v>
      </c>
      <c r="E25" s="175">
        <v>100</v>
      </c>
      <c r="F25" s="176"/>
      <c r="G25" s="176">
        <v>35490068.599540196</v>
      </c>
      <c r="H25" s="175">
        <v>64.283088184722203</v>
      </c>
      <c r="I25" s="176"/>
      <c r="J25" s="176">
        <v>13438077.378526799</v>
      </c>
      <c r="K25" s="175">
        <v>23.733617230762299</v>
      </c>
      <c r="L25" s="176"/>
      <c r="M25" s="176">
        <v>4896113.7779058004</v>
      </c>
      <c r="N25" s="175">
        <v>8.6571554947801896</v>
      </c>
      <c r="O25" s="176"/>
      <c r="P25" s="176">
        <v>28733115.775626201</v>
      </c>
      <c r="Q25" s="175">
        <v>100</v>
      </c>
      <c r="R25" s="176"/>
      <c r="S25" s="176">
        <v>19446558.1932416</v>
      </c>
      <c r="T25" s="175">
        <v>66.918333622816405</v>
      </c>
      <c r="U25" s="176"/>
      <c r="V25" s="176">
        <v>6286436.5142549099</v>
      </c>
      <c r="W25" s="175">
        <v>20.876763018249701</v>
      </c>
      <c r="X25" s="176"/>
      <c r="Y25" s="176">
        <v>2400962.4307328998</v>
      </c>
      <c r="Z25" s="175">
        <v>8.0277738041193096</v>
      </c>
      <c r="AA25" s="176"/>
      <c r="AB25" s="176">
        <v>25428611.494824</v>
      </c>
      <c r="AC25" s="175">
        <v>100</v>
      </c>
      <c r="AD25" s="176"/>
      <c r="AE25" s="176">
        <v>15606882.729521699</v>
      </c>
      <c r="AF25" s="175">
        <v>60.402911058854997</v>
      </c>
      <c r="AG25" s="176"/>
      <c r="AH25" s="176">
        <v>6876674.9612824302</v>
      </c>
      <c r="AI25" s="175">
        <v>26.1089091325045</v>
      </c>
      <c r="AJ25" s="176"/>
      <c r="AK25" s="176">
        <v>2306136.1563492599</v>
      </c>
      <c r="AL25" s="175">
        <v>8.7112735937860197</v>
      </c>
    </row>
    <row r="26" spans="2:38" ht="6.95" customHeight="1" x14ac:dyDescent="0.25">
      <c r="B26" s="12"/>
      <c r="C26" s="12"/>
      <c r="D26" s="113"/>
      <c r="E26" s="13"/>
      <c r="F26" s="13"/>
      <c r="G26" s="113"/>
      <c r="H26" s="13"/>
      <c r="I26" s="13"/>
      <c r="J26" s="113"/>
      <c r="K26" s="13"/>
      <c r="L26" s="13"/>
      <c r="M26" s="113"/>
      <c r="N26" s="13"/>
      <c r="O26" s="14"/>
      <c r="P26" s="121"/>
      <c r="Q26" s="95"/>
      <c r="R26" s="95"/>
      <c r="S26" s="122"/>
      <c r="T26" s="23"/>
      <c r="U26" s="23"/>
      <c r="V26" s="122"/>
      <c r="W26" s="23"/>
      <c r="X26" s="23"/>
      <c r="Y26" s="122"/>
      <c r="Z26" s="23"/>
      <c r="AA26" s="23"/>
      <c r="AB26" s="122"/>
      <c r="AC26" s="23"/>
      <c r="AD26" s="23"/>
      <c r="AE26" s="122"/>
      <c r="AF26" s="23"/>
      <c r="AG26" s="23"/>
      <c r="AH26" s="122"/>
      <c r="AI26" s="23"/>
      <c r="AJ26" s="23"/>
      <c r="AK26" s="122"/>
      <c r="AL26" s="23"/>
    </row>
    <row r="27" spans="2:38" ht="6.95" customHeight="1" x14ac:dyDescent="0.25">
      <c r="B27" s="9"/>
      <c r="C27" s="9"/>
      <c r="D27" s="114"/>
      <c r="E27" s="8"/>
      <c r="F27" s="8"/>
      <c r="G27" s="114"/>
      <c r="H27" s="8"/>
      <c r="I27" s="8"/>
      <c r="J27" s="114"/>
      <c r="K27" s="8"/>
      <c r="L27" s="8"/>
      <c r="M27" s="114"/>
      <c r="N27" s="8"/>
      <c r="O27" s="2"/>
    </row>
    <row r="28" spans="2:38" s="105" customFormat="1" ht="12" customHeight="1" x14ac:dyDescent="0.25">
      <c r="B28" s="106" t="s">
        <v>55</v>
      </c>
      <c r="C28" s="8"/>
      <c r="D28" s="114"/>
      <c r="E28" s="8"/>
      <c r="F28" s="8"/>
      <c r="G28" s="114"/>
      <c r="H28" s="8"/>
      <c r="I28" s="8"/>
      <c r="J28" s="114"/>
      <c r="K28" s="104"/>
      <c r="L28" s="104"/>
      <c r="M28" s="119"/>
      <c r="P28" s="120"/>
      <c r="S28" s="120"/>
      <c r="V28" s="120"/>
      <c r="Y28" s="120"/>
      <c r="AB28" s="120"/>
      <c r="AE28" s="120"/>
      <c r="AH28" s="120"/>
      <c r="AK28" s="120"/>
    </row>
    <row r="29" spans="2:38" ht="12" customHeight="1" x14ac:dyDescent="0.25">
      <c r="B29" s="210" t="s">
        <v>65</v>
      </c>
      <c r="C29" s="210"/>
      <c r="D29" s="210"/>
      <c r="E29" s="210"/>
      <c r="F29" s="210"/>
      <c r="G29" s="210"/>
    </row>
  </sheetData>
  <mergeCells count="20">
    <mergeCell ref="B29:G29"/>
    <mergeCell ref="P8:Q9"/>
    <mergeCell ref="B7:B10"/>
    <mergeCell ref="S9:T9"/>
    <mergeCell ref="V9:W9"/>
    <mergeCell ref="G9:H9"/>
    <mergeCell ref="J9:K9"/>
    <mergeCell ref="D7:N7"/>
    <mergeCell ref="P7:Z7"/>
    <mergeCell ref="D8:E9"/>
    <mergeCell ref="M9:N9"/>
    <mergeCell ref="S8:Z8"/>
    <mergeCell ref="G8:N8"/>
    <mergeCell ref="Y9:Z9"/>
    <mergeCell ref="AB8:AC9"/>
    <mergeCell ref="AH9:AI9"/>
    <mergeCell ref="AB7:AL7"/>
    <mergeCell ref="AE8:AL8"/>
    <mergeCell ref="AK9:AL9"/>
    <mergeCell ref="AE9:AF9"/>
  </mergeCells>
  <hyperlinks>
    <hyperlink ref="AL1" location="Índice!A1" tooltip="Ir a ÍNDICE" display="INDICE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8215-855D-49B0-A255-D445295EFCAF}">
  <dimension ref="B1:K60"/>
  <sheetViews>
    <sheetView showGridLines="0" zoomScaleNormal="100" workbookViewId="0">
      <selection activeCell="B1" sqref="B1"/>
    </sheetView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x14ac:dyDescent="0.25">
      <c r="B5" s="53" t="s">
        <v>85</v>
      </c>
      <c r="C5" s="53"/>
      <c r="D5" s="124"/>
      <c r="E5" s="25"/>
      <c r="F5" s="25"/>
      <c r="G5" s="124"/>
      <c r="H5" s="27"/>
      <c r="I5" s="27"/>
      <c r="J5" s="129"/>
      <c r="K5" s="52" t="s">
        <v>13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86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ht="15" customHeight="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168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85074250.450445905</v>
      </c>
      <c r="E11" s="174">
        <v>100</v>
      </c>
      <c r="F11" s="173"/>
      <c r="G11" s="173">
        <v>45189093.536525302</v>
      </c>
      <c r="H11" s="174">
        <v>100</v>
      </c>
      <c r="I11" s="173"/>
      <c r="J11" s="173">
        <v>38949471.211108603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x14ac:dyDescent="0.25">
      <c r="B13" s="141" t="s">
        <v>59</v>
      </c>
      <c r="C13" s="56"/>
      <c r="D13" s="173">
        <v>31649128.3169665</v>
      </c>
      <c r="E13" s="174">
        <v>36.715601926998303</v>
      </c>
      <c r="F13" s="173"/>
      <c r="G13" s="173">
        <v>15298423.6389853</v>
      </c>
      <c r="H13" s="174">
        <v>33.257412594705599</v>
      </c>
      <c r="I13" s="173"/>
      <c r="J13" s="173">
        <v>15849065.8939668</v>
      </c>
      <c r="K13" s="174">
        <v>39.858513357629597</v>
      </c>
    </row>
    <row r="14" spans="2:11" ht="6.95" customHeight="1" x14ac:dyDescent="0.25">
      <c r="B14" s="141"/>
      <c r="C14" s="56"/>
      <c r="D14" s="173"/>
      <c r="E14" s="174"/>
      <c r="F14" s="173"/>
      <c r="G14" s="173"/>
      <c r="H14" s="174"/>
      <c r="I14" s="173"/>
      <c r="J14" s="173"/>
      <c r="K14" s="174"/>
    </row>
    <row r="15" spans="2:11" x14ac:dyDescent="0.25">
      <c r="B15" s="142" t="s">
        <v>66</v>
      </c>
      <c r="C15" s="56"/>
      <c r="D15" s="176">
        <v>3763843.4057715102</v>
      </c>
      <c r="E15" s="175">
        <v>11.5618417219441</v>
      </c>
      <c r="F15" s="173"/>
      <c r="G15" s="176">
        <v>1494597.75991591</v>
      </c>
      <c r="H15" s="175">
        <v>9.4023065404988895</v>
      </c>
      <c r="I15" s="173"/>
      <c r="J15" s="176">
        <v>2085823.1975221201</v>
      </c>
      <c r="K15" s="175">
        <v>12.582062475662299</v>
      </c>
    </row>
    <row r="16" spans="2:11" x14ac:dyDescent="0.25">
      <c r="B16" s="142" t="s">
        <v>9</v>
      </c>
      <c r="C16" s="56"/>
      <c r="D16" s="176">
        <v>27553823.203551501</v>
      </c>
      <c r="E16" s="175">
        <v>85.997852388974096</v>
      </c>
      <c r="F16" s="173"/>
      <c r="G16" s="176">
        <v>13573488.494070699</v>
      </c>
      <c r="H16" s="175">
        <v>87.082326541966395</v>
      </c>
      <c r="I16" s="173"/>
      <c r="J16" s="176">
        <v>13494646.8874551</v>
      </c>
      <c r="K16" s="175">
        <v>83.872492992478499</v>
      </c>
    </row>
    <row r="17" spans="2:11" ht="6.95" customHeight="1" x14ac:dyDescent="0.25">
      <c r="B17" s="142"/>
      <c r="C17" s="56"/>
      <c r="D17" s="176"/>
      <c r="E17" s="175"/>
      <c r="F17" s="173"/>
      <c r="G17" s="173"/>
      <c r="H17" s="174"/>
      <c r="I17" s="173"/>
      <c r="J17" s="173"/>
      <c r="K17" s="174"/>
    </row>
    <row r="18" spans="2:11" x14ac:dyDescent="0.25">
      <c r="B18" s="141" t="s">
        <v>58</v>
      </c>
      <c r="C18" s="56"/>
      <c r="D18" s="173">
        <v>52292864.869231299</v>
      </c>
      <c r="E18" s="174">
        <v>60.780146794297799</v>
      </c>
      <c r="F18" s="173"/>
      <c r="G18" s="173">
        <v>29230369.218104001</v>
      </c>
      <c r="H18" s="174">
        <v>63.603004173613101</v>
      </c>
      <c r="I18" s="173"/>
      <c r="J18" s="173">
        <v>22440725.722651102</v>
      </c>
      <c r="K18" s="174">
        <v>56.647195882134298</v>
      </c>
    </row>
    <row r="19" spans="2:11" ht="6.95" customHeight="1" x14ac:dyDescent="0.25">
      <c r="B19" s="143"/>
      <c r="C19" s="57"/>
      <c r="D19" s="176"/>
      <c r="E19" s="175"/>
      <c r="F19" s="176"/>
      <c r="G19" s="176"/>
      <c r="H19" s="175"/>
      <c r="I19" s="176"/>
      <c r="J19" s="176"/>
      <c r="K19" s="175"/>
    </row>
    <row r="20" spans="2:11" x14ac:dyDescent="0.25">
      <c r="B20" s="140" t="s">
        <v>56</v>
      </c>
      <c r="C20" s="58"/>
      <c r="D20" s="173">
        <v>15159149.293411801</v>
      </c>
      <c r="E20" s="174">
        <v>17.5503259509637</v>
      </c>
      <c r="F20" s="173"/>
      <c r="G20" s="173">
        <v>6729247.2978959205</v>
      </c>
      <c r="H20" s="174">
        <v>14.558806452020701</v>
      </c>
      <c r="I20" s="173"/>
      <c r="J20" s="173">
        <v>8047861.2665280402</v>
      </c>
      <c r="K20" s="174">
        <v>20.2120069938086</v>
      </c>
    </row>
    <row r="21" spans="2:11" ht="6.95" customHeight="1" x14ac:dyDescent="0.25">
      <c r="B21" s="140"/>
      <c r="C21" s="58"/>
      <c r="D21" s="173"/>
      <c r="E21" s="174"/>
      <c r="F21" s="173"/>
      <c r="G21" s="173"/>
      <c r="H21" s="174"/>
      <c r="I21" s="173"/>
      <c r="J21" s="173"/>
      <c r="K21" s="174"/>
    </row>
    <row r="22" spans="2:11" ht="15" customHeight="1" x14ac:dyDescent="0.25">
      <c r="B22" s="142" t="s">
        <v>66</v>
      </c>
      <c r="C22" s="58"/>
      <c r="D22" s="176">
        <v>890885.21790452302</v>
      </c>
      <c r="E22" s="175">
        <v>5.5811589779305004</v>
      </c>
      <c r="F22" s="173"/>
      <c r="G22" s="176">
        <v>281220.75848568499</v>
      </c>
      <c r="H22" s="175">
        <v>3.8827908207644901</v>
      </c>
      <c r="I22" s="173"/>
      <c r="J22" s="176">
        <v>539369.76896349597</v>
      </c>
      <c r="K22" s="175">
        <v>6.2337792237452998</v>
      </c>
    </row>
    <row r="23" spans="2:11" x14ac:dyDescent="0.25">
      <c r="B23" s="142" t="s">
        <v>9</v>
      </c>
      <c r="C23" s="58"/>
      <c r="D23" s="176">
        <v>14087636.0266113</v>
      </c>
      <c r="E23" s="175">
        <v>92.038853344684398</v>
      </c>
      <c r="F23" s="173"/>
      <c r="G23" s="176">
        <v>6348428.9582593804</v>
      </c>
      <c r="H23" s="175">
        <v>93.172616467075599</v>
      </c>
      <c r="I23" s="173"/>
      <c r="J23" s="176">
        <v>7374609.2566836299</v>
      </c>
      <c r="K23" s="175">
        <v>90.326010085548802</v>
      </c>
    </row>
    <row r="24" spans="2:11" ht="6.95" customHeight="1" x14ac:dyDescent="0.25">
      <c r="B24" s="142"/>
      <c r="C24" s="58"/>
      <c r="D24" s="176"/>
      <c r="E24" s="175"/>
      <c r="F24" s="173"/>
      <c r="G24" s="173"/>
      <c r="H24" s="174"/>
      <c r="I24" s="173"/>
      <c r="J24" s="173"/>
      <c r="K24" s="174"/>
    </row>
    <row r="25" spans="2:11" x14ac:dyDescent="0.25">
      <c r="B25" s="140" t="s">
        <v>57</v>
      </c>
      <c r="C25" s="58"/>
      <c r="D25" s="173">
        <v>69127951.567412704</v>
      </c>
      <c r="E25" s="174">
        <v>80.632607790465499</v>
      </c>
      <c r="F25" s="173"/>
      <c r="G25" s="173">
        <v>38002979.248491198</v>
      </c>
      <c r="H25" s="174">
        <v>83.253000215790095</v>
      </c>
      <c r="I25" s="173"/>
      <c r="J25" s="173">
        <v>30340290.5843907</v>
      </c>
      <c r="K25" s="174">
        <v>76.793541343978902</v>
      </c>
    </row>
    <row r="26" spans="2:11" ht="6.95" customHeight="1" x14ac:dyDescent="0.25">
      <c r="B26" s="32"/>
      <c r="C26" s="32"/>
      <c r="D26" s="173"/>
      <c r="E26" s="177"/>
      <c r="F26" s="178"/>
      <c r="G26" s="173"/>
      <c r="H26" s="177"/>
      <c r="I26" s="177"/>
      <c r="J26" s="173"/>
      <c r="K26" s="177"/>
    </row>
    <row r="27" spans="2:11" x14ac:dyDescent="0.25">
      <c r="B27" s="98" t="s">
        <v>6</v>
      </c>
      <c r="C27" s="98"/>
      <c r="D27" s="173">
        <v>27919808.370060898</v>
      </c>
      <c r="E27" s="174">
        <v>100</v>
      </c>
      <c r="F27" s="173"/>
      <c r="G27" s="173">
        <v>15147712.0036007</v>
      </c>
      <c r="H27" s="174">
        <v>100</v>
      </c>
      <c r="I27" s="173"/>
      <c r="J27" s="173">
        <v>12466861.324348001</v>
      </c>
      <c r="K27" s="174">
        <v>100</v>
      </c>
    </row>
    <row r="28" spans="2:11" ht="7.5" customHeight="1" x14ac:dyDescent="0.25">
      <c r="B28" s="56"/>
      <c r="C28" s="56"/>
      <c r="D28" s="173"/>
      <c r="E28" s="175"/>
      <c r="F28" s="173"/>
      <c r="G28" s="173"/>
      <c r="H28" s="175"/>
      <c r="I28" s="176"/>
      <c r="J28" s="173"/>
      <c r="K28" s="175"/>
    </row>
    <row r="29" spans="2:11" x14ac:dyDescent="0.25">
      <c r="B29" s="141" t="s">
        <v>59</v>
      </c>
      <c r="C29" s="56"/>
      <c r="D29" s="173">
        <v>7806699.9086349299</v>
      </c>
      <c r="E29" s="174">
        <v>26.993105752627699</v>
      </c>
      <c r="F29" s="173"/>
      <c r="G29" s="173">
        <v>3929507.75223818</v>
      </c>
      <c r="H29" s="174">
        <v>24.953222009084001</v>
      </c>
      <c r="I29" s="173"/>
      <c r="J29" s="173">
        <v>3666629.2210471998</v>
      </c>
      <c r="K29" s="174">
        <v>28.169265700141501</v>
      </c>
    </row>
    <row r="30" spans="2:11" ht="6.95" customHeight="1" x14ac:dyDescent="0.25">
      <c r="B30" s="141"/>
      <c r="C30" s="56"/>
      <c r="D30" s="173"/>
      <c r="E30" s="174"/>
      <c r="F30" s="173"/>
      <c r="G30" s="173"/>
      <c r="H30" s="174"/>
      <c r="I30" s="173"/>
      <c r="J30" s="173"/>
      <c r="K30" s="174"/>
    </row>
    <row r="31" spans="2:11" x14ac:dyDescent="0.25">
      <c r="B31" s="142" t="s">
        <v>66</v>
      </c>
      <c r="C31" s="56"/>
      <c r="D31" s="176">
        <v>484327.82641506701</v>
      </c>
      <c r="E31" s="175">
        <v>5.9071215986514503</v>
      </c>
      <c r="F31" s="173"/>
      <c r="G31" s="176">
        <v>140270.24586214501</v>
      </c>
      <c r="H31" s="175">
        <v>3.4276568839660499</v>
      </c>
      <c r="I31" s="173"/>
      <c r="J31" s="176">
        <v>247888.37499280999</v>
      </c>
      <c r="K31" s="175">
        <v>6.3236811635415604</v>
      </c>
    </row>
    <row r="32" spans="2:11" x14ac:dyDescent="0.25">
      <c r="B32" s="142" t="s">
        <v>9</v>
      </c>
      <c r="C32" s="56"/>
      <c r="D32" s="176">
        <v>7197977.54600388</v>
      </c>
      <c r="E32" s="175">
        <v>89.529691590056601</v>
      </c>
      <c r="F32" s="173"/>
      <c r="G32" s="176">
        <v>3699891.5316275302</v>
      </c>
      <c r="H32" s="175">
        <v>90.657237763741605</v>
      </c>
      <c r="I32" s="173"/>
      <c r="J32" s="176">
        <v>3297820.6059494298</v>
      </c>
      <c r="K32" s="175">
        <v>86.052335886635305</v>
      </c>
    </row>
    <row r="33" spans="2:11" ht="6.95" customHeight="1" x14ac:dyDescent="0.25">
      <c r="B33" s="142"/>
      <c r="C33" s="56"/>
      <c r="D33" s="176"/>
      <c r="E33" s="175"/>
      <c r="F33" s="173"/>
      <c r="G33" s="173"/>
      <c r="H33" s="174"/>
      <c r="I33" s="173"/>
      <c r="J33" s="173"/>
      <c r="K33" s="174"/>
    </row>
    <row r="34" spans="2:11" x14ac:dyDescent="0.25">
      <c r="B34" s="141" t="s">
        <v>58</v>
      </c>
      <c r="C34" s="56"/>
      <c r="D34" s="173">
        <v>19655969.1327946</v>
      </c>
      <c r="E34" s="174">
        <v>68.394690630954997</v>
      </c>
      <c r="F34" s="173"/>
      <c r="G34" s="173">
        <v>10888115.0665245</v>
      </c>
      <c r="H34" s="174">
        <v>69.335186145520396</v>
      </c>
      <c r="I34" s="173"/>
      <c r="J34" s="173">
        <v>8528229.4769423194</v>
      </c>
      <c r="K34" s="174">
        <v>65.972858292772401</v>
      </c>
    </row>
    <row r="35" spans="2:11" ht="7.5" customHeight="1" x14ac:dyDescent="0.25">
      <c r="B35" s="143"/>
      <c r="C35" s="57"/>
      <c r="D35" s="176"/>
      <c r="E35" s="175"/>
      <c r="F35" s="176"/>
      <c r="G35" s="176"/>
      <c r="H35" s="175"/>
      <c r="I35" s="176"/>
      <c r="J35" s="176"/>
      <c r="K35" s="175"/>
    </row>
    <row r="36" spans="2:11" x14ac:dyDescent="0.25">
      <c r="B36" s="140" t="s">
        <v>56</v>
      </c>
      <c r="C36" s="57"/>
      <c r="D36" s="173">
        <v>3784237.2172736102</v>
      </c>
      <c r="E36" s="174">
        <v>13.050962668692</v>
      </c>
      <c r="F36" s="173"/>
      <c r="G36" s="173">
        <v>1580722.35701706</v>
      </c>
      <c r="H36" s="174">
        <v>9.8778244094837593</v>
      </c>
      <c r="I36" s="173"/>
      <c r="J36" s="173">
        <v>1974941.9605171899</v>
      </c>
      <c r="K36" s="174">
        <v>15.207956377868999</v>
      </c>
    </row>
    <row r="37" spans="2:11" ht="6.95" customHeight="1" x14ac:dyDescent="0.25">
      <c r="B37" s="140"/>
      <c r="C37" s="57"/>
      <c r="D37" s="173"/>
      <c r="E37" s="174"/>
      <c r="F37" s="173"/>
      <c r="G37" s="173"/>
      <c r="H37" s="174"/>
      <c r="I37" s="173"/>
      <c r="J37" s="173"/>
      <c r="K37" s="174"/>
    </row>
    <row r="38" spans="2:11" ht="15" customHeight="1" x14ac:dyDescent="0.25">
      <c r="B38" s="142" t="s">
        <v>66</v>
      </c>
      <c r="C38" s="58"/>
      <c r="D38" s="176">
        <v>145824.662285192</v>
      </c>
      <c r="E38" s="175">
        <v>3.4217296097895602</v>
      </c>
      <c r="F38" s="173"/>
      <c r="G38" s="176">
        <v>34765.564504376001</v>
      </c>
      <c r="H38" s="175">
        <v>1.87109276174297</v>
      </c>
      <c r="I38" s="173"/>
      <c r="J38" s="176">
        <v>78063.1557864325</v>
      </c>
      <c r="K38" s="175">
        <v>3.3106235909360699</v>
      </c>
    </row>
    <row r="39" spans="2:11" x14ac:dyDescent="0.25">
      <c r="B39" s="142" t="s">
        <v>9</v>
      </c>
      <c r="C39" s="58"/>
      <c r="D39" s="176">
        <v>3563695.0755860498</v>
      </c>
      <c r="E39" s="175">
        <v>92.557087671326698</v>
      </c>
      <c r="F39" s="173"/>
      <c r="G39" s="176">
        <v>1494006.09408343</v>
      </c>
      <c r="H39" s="175">
        <v>92.190679051519695</v>
      </c>
      <c r="I39" s="173"/>
      <c r="J39" s="176">
        <v>1846711.7592297799</v>
      </c>
      <c r="K39" s="175">
        <v>91.525473498979395</v>
      </c>
    </row>
    <row r="40" spans="2:11" ht="6.95" customHeight="1" x14ac:dyDescent="0.25">
      <c r="B40" s="142"/>
      <c r="C40" s="58"/>
      <c r="D40" s="176"/>
      <c r="E40" s="175"/>
      <c r="F40" s="173"/>
      <c r="G40" s="173"/>
      <c r="H40" s="174"/>
      <c r="I40" s="173"/>
      <c r="J40" s="173"/>
      <c r="K40" s="174"/>
    </row>
    <row r="41" spans="2:11" x14ac:dyDescent="0.25">
      <c r="B41" s="140" t="s">
        <v>57</v>
      </c>
      <c r="C41" s="59"/>
      <c r="D41" s="173">
        <v>23878714.613087598</v>
      </c>
      <c r="E41" s="174">
        <v>84.083478883452102</v>
      </c>
      <c r="F41" s="173"/>
      <c r="G41" s="173">
        <v>13360921.698617401</v>
      </c>
      <c r="H41" s="174">
        <v>86.714607463849006</v>
      </c>
      <c r="I41" s="173"/>
      <c r="J41" s="173">
        <v>10231003.4524225</v>
      </c>
      <c r="K41" s="174">
        <v>79.2334088921952</v>
      </c>
    </row>
    <row r="42" spans="2:11" ht="7.5" customHeight="1" x14ac:dyDescent="0.25">
      <c r="B42" s="139"/>
      <c r="C42" s="59"/>
      <c r="D42" s="173"/>
      <c r="E42" s="177"/>
      <c r="F42" s="178"/>
      <c r="G42" s="173"/>
      <c r="H42" s="177"/>
      <c r="I42" s="177"/>
      <c r="J42" s="173"/>
      <c r="K42" s="177"/>
    </row>
    <row r="43" spans="2:11" x14ac:dyDescent="0.25">
      <c r="B43" s="98" t="s">
        <v>7</v>
      </c>
      <c r="C43" s="98"/>
      <c r="D43" s="173">
        <v>54724471.783623897</v>
      </c>
      <c r="E43" s="174">
        <v>100</v>
      </c>
      <c r="F43" s="173"/>
      <c r="G43" s="173">
        <v>28733115.775626201</v>
      </c>
      <c r="H43" s="174">
        <v>100</v>
      </c>
      <c r="I43" s="173"/>
      <c r="J43" s="173">
        <v>25428611.494824</v>
      </c>
      <c r="K43" s="174">
        <v>100</v>
      </c>
    </row>
    <row r="44" spans="2:11" ht="6.95" customHeight="1" x14ac:dyDescent="0.25">
      <c r="B44" s="98"/>
      <c r="C44" s="98"/>
      <c r="D44" s="173"/>
      <c r="E44" s="175"/>
      <c r="F44" s="173"/>
      <c r="G44" s="173"/>
      <c r="H44" s="175"/>
      <c r="I44" s="176"/>
      <c r="J44" s="173"/>
      <c r="K44" s="175"/>
    </row>
    <row r="45" spans="2:11" x14ac:dyDescent="0.25">
      <c r="B45" s="141" t="s">
        <v>59</v>
      </c>
      <c r="C45" s="98"/>
      <c r="D45" s="173">
        <v>22986432.381088801</v>
      </c>
      <c r="E45" s="174">
        <v>41.062844733252703</v>
      </c>
      <c r="F45" s="173"/>
      <c r="G45" s="173">
        <v>10862431.9863958</v>
      </c>
      <c r="H45" s="174">
        <v>36.781308850458302</v>
      </c>
      <c r="I45" s="173"/>
      <c r="J45" s="173">
        <v>11723726.4867655</v>
      </c>
      <c r="K45" s="174">
        <v>44.792159963227903</v>
      </c>
    </row>
    <row r="46" spans="2:11" ht="6.95" customHeight="1" x14ac:dyDescent="0.25">
      <c r="B46" s="141"/>
      <c r="C46" s="98"/>
      <c r="D46" s="173"/>
      <c r="E46" s="174"/>
      <c r="F46" s="173"/>
      <c r="G46" s="173"/>
      <c r="H46" s="174"/>
      <c r="I46" s="173"/>
      <c r="J46" s="173"/>
      <c r="K46" s="174"/>
    </row>
    <row r="47" spans="2:11" x14ac:dyDescent="0.25">
      <c r="B47" s="142" t="s">
        <v>66</v>
      </c>
      <c r="C47" s="98"/>
      <c r="D47" s="176">
        <v>3090653.6107218498</v>
      </c>
      <c r="E47" s="175">
        <v>12.9974220866444</v>
      </c>
      <c r="F47" s="173"/>
      <c r="G47" s="176">
        <v>1230994.0624293899</v>
      </c>
      <c r="H47" s="175">
        <v>10.8235813541461</v>
      </c>
      <c r="I47" s="173"/>
      <c r="J47" s="176">
        <v>1699318.1296815099</v>
      </c>
      <c r="K47" s="175">
        <v>13.768569567469701</v>
      </c>
    </row>
    <row r="48" spans="2:11" x14ac:dyDescent="0.25">
      <c r="B48" s="142" t="s">
        <v>9</v>
      </c>
      <c r="C48" s="98"/>
      <c r="D48" s="176">
        <v>19623218.664248701</v>
      </c>
      <c r="E48" s="175">
        <v>84.098215601064297</v>
      </c>
      <c r="F48" s="173"/>
      <c r="G48" s="176">
        <v>9426588.0208359007</v>
      </c>
      <c r="H48" s="175">
        <v>84.773877721148907</v>
      </c>
      <c r="I48" s="173"/>
      <c r="J48" s="176">
        <v>9810634.7995507494</v>
      </c>
      <c r="K48" s="175">
        <v>82.211962227347698</v>
      </c>
    </row>
    <row r="49" spans="2:11" ht="6.95" customHeight="1" x14ac:dyDescent="0.25">
      <c r="B49" s="142"/>
      <c r="C49" s="98"/>
      <c r="D49" s="176"/>
      <c r="E49" s="175"/>
      <c r="F49" s="173"/>
      <c r="G49" s="173"/>
      <c r="H49" s="174"/>
      <c r="I49" s="173"/>
      <c r="J49" s="173"/>
      <c r="K49" s="174"/>
    </row>
    <row r="50" spans="2:11" x14ac:dyDescent="0.25">
      <c r="B50" s="141" t="s">
        <v>58</v>
      </c>
      <c r="C50" s="98"/>
      <c r="D50" s="173">
        <v>31119346.412861601</v>
      </c>
      <c r="E50" s="174">
        <v>55.989313440590202</v>
      </c>
      <c r="F50" s="173"/>
      <c r="G50" s="173">
        <v>17469395.020412698</v>
      </c>
      <c r="H50" s="174">
        <v>59.510535418285599</v>
      </c>
      <c r="I50" s="173"/>
      <c r="J50" s="173">
        <v>13228015.9158477</v>
      </c>
      <c r="K50" s="174">
        <v>50.874206484533502</v>
      </c>
    </row>
    <row r="51" spans="2:11" ht="6.95" customHeight="1" x14ac:dyDescent="0.25">
      <c r="B51" s="142"/>
      <c r="C51" s="56"/>
      <c r="D51" s="173"/>
      <c r="E51" s="174"/>
      <c r="F51" s="173"/>
      <c r="G51" s="173"/>
      <c r="H51" s="174"/>
      <c r="I51" s="173"/>
      <c r="J51" s="173"/>
      <c r="K51" s="174"/>
    </row>
    <row r="52" spans="2:11" x14ac:dyDescent="0.25">
      <c r="B52" s="140" t="s">
        <v>56</v>
      </c>
      <c r="C52" s="56"/>
      <c r="D52" s="173">
        <v>10905450.410545301</v>
      </c>
      <c r="E52" s="174">
        <v>19.3843551441933</v>
      </c>
      <c r="F52" s="173"/>
      <c r="G52" s="173">
        <v>4908510.4943719804</v>
      </c>
      <c r="H52" s="174">
        <v>16.449240491875202</v>
      </c>
      <c r="I52" s="173"/>
      <c r="J52" s="173">
        <v>5722032.3678008895</v>
      </c>
      <c r="K52" s="174">
        <v>21.789124190558699</v>
      </c>
    </row>
    <row r="53" spans="2:11" ht="6.95" customHeight="1" x14ac:dyDescent="0.25">
      <c r="B53" s="140"/>
      <c r="C53" s="56"/>
      <c r="D53" s="173"/>
      <c r="E53" s="174"/>
      <c r="F53" s="173"/>
      <c r="G53" s="173"/>
      <c r="H53" s="174"/>
      <c r="I53" s="173"/>
      <c r="J53" s="173"/>
      <c r="K53" s="174"/>
    </row>
    <row r="54" spans="2:11" x14ac:dyDescent="0.25">
      <c r="B54" s="142" t="s">
        <v>66</v>
      </c>
      <c r="C54" s="56"/>
      <c r="D54" s="176">
        <v>676122.27063864598</v>
      </c>
      <c r="E54" s="175">
        <v>5.8161879291552196</v>
      </c>
      <c r="F54" s="173"/>
      <c r="G54" s="176">
        <v>203206.068490087</v>
      </c>
      <c r="H54" s="175">
        <v>3.8069954469892999</v>
      </c>
      <c r="I54" s="173"/>
      <c r="J54" s="176">
        <v>410339.423814765</v>
      </c>
      <c r="K54" s="175">
        <v>6.5766730270326201</v>
      </c>
    </row>
    <row r="55" spans="2:11" x14ac:dyDescent="0.25">
      <c r="B55" s="142" t="s">
        <v>9</v>
      </c>
      <c r="C55" s="56"/>
      <c r="D55" s="176">
        <v>10072253.3675192</v>
      </c>
      <c r="E55" s="175">
        <v>91.279350682121802</v>
      </c>
      <c r="F55" s="173"/>
      <c r="G55" s="176">
        <v>4620427.4096373003</v>
      </c>
      <c r="H55" s="175">
        <v>92.734522514200506</v>
      </c>
      <c r="I55" s="173"/>
      <c r="J55" s="176">
        <v>5186447.5117680104</v>
      </c>
      <c r="K55" s="175">
        <v>89.068420971427898</v>
      </c>
    </row>
    <row r="56" spans="2:11" ht="6.95" customHeight="1" x14ac:dyDescent="0.25">
      <c r="B56" s="142"/>
      <c r="C56" s="56"/>
      <c r="D56" s="176"/>
      <c r="E56" s="175"/>
      <c r="F56" s="173"/>
      <c r="G56" s="173"/>
      <c r="H56" s="174"/>
      <c r="I56" s="173"/>
      <c r="J56" s="173"/>
      <c r="K56" s="174"/>
    </row>
    <row r="57" spans="2:11" x14ac:dyDescent="0.25">
      <c r="B57" s="140" t="s">
        <v>57</v>
      </c>
      <c r="C57" s="56"/>
      <c r="D57" s="173">
        <v>43297636.821004599</v>
      </c>
      <c r="E57" s="174">
        <v>78.276195757023899</v>
      </c>
      <c r="F57" s="173"/>
      <c r="G57" s="173">
        <v>23489645.851010598</v>
      </c>
      <c r="H57" s="174">
        <v>80.725132310586403</v>
      </c>
      <c r="I57" s="173"/>
      <c r="J57" s="173">
        <v>19301117.557996001</v>
      </c>
      <c r="K57" s="174">
        <v>74.578145417291793</v>
      </c>
    </row>
    <row r="58" spans="2:11" ht="6.95" customHeight="1" x14ac:dyDescent="0.25">
      <c r="B58" s="33"/>
      <c r="C58" s="33"/>
      <c r="D58" s="126"/>
      <c r="E58" s="34"/>
      <c r="F58" s="34"/>
      <c r="G58" s="126"/>
      <c r="H58" s="33"/>
      <c r="I58" s="33"/>
      <c r="J58" s="132"/>
      <c r="K58" s="35"/>
    </row>
    <row r="59" spans="2:11" ht="6.95" customHeight="1" x14ac:dyDescent="0.25">
      <c r="B59" s="31"/>
      <c r="C59" s="31"/>
      <c r="D59" s="127"/>
      <c r="E59" s="37"/>
      <c r="F59" s="37"/>
      <c r="G59" s="127"/>
      <c r="H59" s="31"/>
      <c r="I59" s="31"/>
      <c r="J59" s="131"/>
      <c r="K59" s="30"/>
    </row>
    <row r="60" spans="2:11" ht="12" customHeight="1" x14ac:dyDescent="0.25">
      <c r="B60" s="210" t="s">
        <v>65</v>
      </c>
      <c r="C60" s="210"/>
      <c r="D60" s="210"/>
      <c r="E60" s="210"/>
      <c r="F60" s="210"/>
      <c r="G60" s="210"/>
    </row>
  </sheetData>
  <mergeCells count="6">
    <mergeCell ref="B60:G60"/>
    <mergeCell ref="B7:B9"/>
    <mergeCell ref="D7:E8"/>
    <mergeCell ref="G7:K7"/>
    <mergeCell ref="G8:H8"/>
    <mergeCell ref="J8:K8"/>
  </mergeCells>
  <hyperlinks>
    <hyperlink ref="K1" location="Índice!A1" tooltip="Ir a ÍNDICE" display="INDICE" xr:uid="{BC07C6AA-F3CD-43D5-A07E-BAFFDA7C9E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3026-77B2-4474-92F7-E1326D556711}">
  <dimension ref="B1:K46"/>
  <sheetViews>
    <sheetView showGridLines="0" zoomScaleNormal="100" workbookViewId="0">
      <selection activeCell="B1" sqref="B1"/>
    </sheetView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  <c r="G3" s="133"/>
    </row>
    <row r="4" spans="2:11" ht="6.95" customHeight="1" x14ac:dyDescent="0.25">
      <c r="B4" s="38"/>
      <c r="C4" s="38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38</v>
      </c>
      <c r="C5" s="221"/>
      <c r="D5" s="221"/>
      <c r="E5" s="221"/>
      <c r="F5" s="221"/>
      <c r="G5" s="221"/>
      <c r="H5" s="27"/>
      <c r="I5" s="27"/>
      <c r="J5" s="129"/>
      <c r="K5" s="52" t="s">
        <v>14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37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31" t="s">
        <v>1</v>
      </c>
      <c r="C11" s="31"/>
      <c r="D11" s="173">
        <v>85074250.450445905</v>
      </c>
      <c r="E11" s="174">
        <v>100</v>
      </c>
      <c r="F11" s="173"/>
      <c r="G11" s="173">
        <v>45189093.536525302</v>
      </c>
      <c r="H11" s="174">
        <v>100</v>
      </c>
      <c r="I11" s="173"/>
      <c r="J11" s="173">
        <v>38949471.211108603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30" customHeight="1" x14ac:dyDescent="0.25">
      <c r="B13" s="60" t="s">
        <v>16</v>
      </c>
      <c r="C13" s="60"/>
      <c r="D13" s="173">
        <v>8328454.1109036896</v>
      </c>
      <c r="E13" s="174">
        <v>9.6348222504709504</v>
      </c>
      <c r="F13" s="173"/>
      <c r="G13" s="173">
        <v>5077265.0787301203</v>
      </c>
      <c r="H13" s="174">
        <v>10.9579798259205</v>
      </c>
      <c r="I13" s="173"/>
      <c r="J13" s="173">
        <v>3081261.6538433302</v>
      </c>
      <c r="K13" s="174">
        <v>7.7007077900271597</v>
      </c>
    </row>
    <row r="14" spans="2:11" ht="6.95" customHeight="1" x14ac:dyDescent="0.25">
      <c r="B14" s="60"/>
      <c r="C14" s="60"/>
      <c r="D14" s="173"/>
      <c r="E14" s="174"/>
      <c r="F14" s="173"/>
      <c r="G14" s="173"/>
      <c r="H14" s="174"/>
      <c r="I14" s="173"/>
      <c r="J14" s="173"/>
      <c r="K14" s="174"/>
    </row>
    <row r="15" spans="2:11" x14ac:dyDescent="0.25">
      <c r="B15" s="57" t="s">
        <v>61</v>
      </c>
      <c r="C15" s="57"/>
      <c r="D15" s="176">
        <v>2893737.6405948</v>
      </c>
      <c r="E15" s="175">
        <v>33.012385744908997</v>
      </c>
      <c r="F15" s="173"/>
      <c r="G15" s="176">
        <v>1807868.43280693</v>
      </c>
      <c r="H15" s="175">
        <v>33.434516136578701</v>
      </c>
      <c r="I15" s="176"/>
      <c r="J15" s="176">
        <v>972757.74879789201</v>
      </c>
      <c r="K15" s="175">
        <v>29.4431600908731</v>
      </c>
    </row>
    <row r="16" spans="2:11" x14ac:dyDescent="0.25">
      <c r="B16" s="57" t="s">
        <v>62</v>
      </c>
      <c r="C16" s="57"/>
      <c r="D16" s="176">
        <v>3976438.5493401</v>
      </c>
      <c r="E16" s="175">
        <v>46.129169352419801</v>
      </c>
      <c r="F16" s="173"/>
      <c r="G16" s="176">
        <v>2347538.4270258802</v>
      </c>
      <c r="H16" s="175">
        <v>44.511431360403598</v>
      </c>
      <c r="I16" s="176"/>
      <c r="J16" s="176">
        <v>1497180.90531575</v>
      </c>
      <c r="K16" s="175">
        <v>46.054056417730301</v>
      </c>
    </row>
    <row r="17" spans="2:11" x14ac:dyDescent="0.25">
      <c r="B17" s="57" t="s">
        <v>47</v>
      </c>
      <c r="C17" s="57"/>
      <c r="D17" s="176">
        <v>288993.73430345597</v>
      </c>
      <c r="E17" s="175">
        <v>3.2140433101759398</v>
      </c>
      <c r="F17" s="176"/>
      <c r="G17" s="176">
        <v>142292.99559571501</v>
      </c>
      <c r="H17" s="175">
        <v>2.5725601233712299</v>
      </c>
      <c r="I17" s="176"/>
      <c r="J17" s="176">
        <v>108877.765533442</v>
      </c>
      <c r="K17" s="175">
        <v>3.2052551208836499</v>
      </c>
    </row>
    <row r="18" spans="2:11" x14ac:dyDescent="0.25">
      <c r="B18" s="61" t="s">
        <v>63</v>
      </c>
      <c r="C18" s="61"/>
      <c r="D18" s="176">
        <v>724005.04791350395</v>
      </c>
      <c r="E18" s="175">
        <v>8.1872099424747908</v>
      </c>
      <c r="F18" s="176"/>
      <c r="G18" s="176">
        <v>447377.82223888102</v>
      </c>
      <c r="H18" s="175">
        <v>8.1634502530753004</v>
      </c>
      <c r="I18" s="176"/>
      <c r="J18" s="176">
        <v>231092.91342066901</v>
      </c>
      <c r="K18" s="175">
        <v>6.8796240865898604</v>
      </c>
    </row>
    <row r="19" spans="2:11" ht="6.95" customHeight="1" x14ac:dyDescent="0.25">
      <c r="B19" s="61"/>
      <c r="C19" s="61"/>
      <c r="D19" s="176"/>
      <c r="E19" s="175"/>
      <c r="F19" s="176"/>
      <c r="G19" s="176"/>
      <c r="H19" s="175"/>
      <c r="I19" s="176"/>
      <c r="J19" s="176"/>
      <c r="K19" s="175"/>
    </row>
    <row r="20" spans="2:11" ht="30" customHeight="1" x14ac:dyDescent="0.25">
      <c r="B20" s="62" t="s">
        <v>17</v>
      </c>
      <c r="C20" s="62"/>
      <c r="D20" s="173">
        <v>76106719.279937103</v>
      </c>
      <c r="E20" s="174">
        <v>88.900470814706196</v>
      </c>
      <c r="F20" s="173"/>
      <c r="G20" s="173">
        <v>39680258.478000604</v>
      </c>
      <c r="H20" s="174">
        <v>87.074504645350899</v>
      </c>
      <c r="I20" s="173"/>
      <c r="J20" s="173">
        <v>35552124.507863298</v>
      </c>
      <c r="K20" s="174">
        <v>90.614250076383996</v>
      </c>
    </row>
    <row r="21" spans="2:11" ht="6.95" customHeight="1" x14ac:dyDescent="0.25">
      <c r="B21" s="32"/>
      <c r="C21" s="32"/>
      <c r="D21" s="173"/>
      <c r="E21" s="177"/>
      <c r="F21" s="178"/>
      <c r="G21" s="173"/>
      <c r="H21" s="177"/>
      <c r="I21" s="177"/>
      <c r="J21" s="173"/>
      <c r="K21" s="177"/>
    </row>
    <row r="22" spans="2:11" x14ac:dyDescent="0.25">
      <c r="B22" s="100" t="s">
        <v>6</v>
      </c>
      <c r="C22" s="100"/>
      <c r="D22" s="173">
        <v>27919808.370060898</v>
      </c>
      <c r="E22" s="174">
        <v>100</v>
      </c>
      <c r="F22" s="173"/>
      <c r="G22" s="173">
        <v>15147712.0036007</v>
      </c>
      <c r="H22" s="174">
        <v>100</v>
      </c>
      <c r="I22" s="173"/>
      <c r="J22" s="173">
        <v>12466861.324348001</v>
      </c>
      <c r="K22" s="174">
        <v>100</v>
      </c>
    </row>
    <row r="23" spans="2:11" ht="6.95" customHeight="1" x14ac:dyDescent="0.25">
      <c r="B23" s="100"/>
      <c r="C23" s="100"/>
      <c r="D23" s="173"/>
      <c r="E23" s="175"/>
      <c r="F23" s="173"/>
      <c r="G23" s="173"/>
      <c r="H23" s="175"/>
      <c r="I23" s="176"/>
      <c r="J23" s="173"/>
      <c r="K23" s="175"/>
    </row>
    <row r="24" spans="2:11" ht="30" customHeight="1" x14ac:dyDescent="0.25">
      <c r="B24" s="60" t="s">
        <v>16</v>
      </c>
      <c r="C24" s="60"/>
      <c r="D24" s="173">
        <v>4038438.7302823002</v>
      </c>
      <c r="E24" s="174">
        <v>13.7384093769417</v>
      </c>
      <c r="F24" s="173"/>
      <c r="G24" s="173">
        <v>2451419.6441918998</v>
      </c>
      <c r="H24" s="174">
        <v>15.392427172286901</v>
      </c>
      <c r="I24" s="173"/>
      <c r="J24" s="173">
        <v>1479569.6332944401</v>
      </c>
      <c r="K24" s="174">
        <v>11.104835745151201</v>
      </c>
    </row>
    <row r="25" spans="2:11" ht="6.95" customHeight="1" x14ac:dyDescent="0.25">
      <c r="B25" s="60"/>
      <c r="C25" s="60"/>
      <c r="D25" s="173"/>
      <c r="E25" s="174"/>
      <c r="F25" s="173"/>
      <c r="G25" s="173"/>
      <c r="H25" s="174"/>
      <c r="I25" s="173"/>
      <c r="J25" s="173"/>
      <c r="K25" s="174"/>
    </row>
    <row r="26" spans="2:11" x14ac:dyDescent="0.25">
      <c r="B26" s="57" t="s">
        <v>61</v>
      </c>
      <c r="C26" s="57"/>
      <c r="D26" s="176">
        <v>1285344.67474465</v>
      </c>
      <c r="E26" s="175">
        <v>29.558720862927299</v>
      </c>
      <c r="F26" s="173"/>
      <c r="G26" s="176">
        <v>802237.95857014798</v>
      </c>
      <c r="H26" s="175">
        <v>29.297790793629702</v>
      </c>
      <c r="I26" s="176"/>
      <c r="J26" s="176">
        <v>413628.52902145602</v>
      </c>
      <c r="K26" s="175">
        <v>25.726879263030298</v>
      </c>
    </row>
    <row r="27" spans="2:11" x14ac:dyDescent="0.25">
      <c r="B27" s="57" t="s">
        <v>62</v>
      </c>
      <c r="C27" s="57"/>
      <c r="D27" s="176">
        <v>1989193.93838382</v>
      </c>
      <c r="E27" s="175">
        <v>46.297727399599502</v>
      </c>
      <c r="F27" s="173"/>
      <c r="G27" s="176">
        <v>1124626.6217322201</v>
      </c>
      <c r="H27" s="175">
        <v>43.579596589167998</v>
      </c>
      <c r="I27" s="176"/>
      <c r="J27" s="176">
        <v>762407.00041115598</v>
      </c>
      <c r="K27" s="175">
        <v>46.580480267145703</v>
      </c>
    </row>
    <row r="28" spans="2:11" x14ac:dyDescent="0.25">
      <c r="B28" s="57" t="s">
        <v>47</v>
      </c>
      <c r="C28" s="57"/>
      <c r="D28" s="176">
        <v>110898.529875819</v>
      </c>
      <c r="E28" s="175">
        <v>2.3983882010711399</v>
      </c>
      <c r="F28" s="176"/>
      <c r="G28" s="176">
        <v>74737.834033338906</v>
      </c>
      <c r="H28" s="175">
        <v>2.6614285987555601</v>
      </c>
      <c r="I28" s="176"/>
      <c r="J28" s="176">
        <v>11608.7045692871</v>
      </c>
      <c r="K28" s="175">
        <v>0.66112783464117897</v>
      </c>
    </row>
    <row r="29" spans="2:11" x14ac:dyDescent="0.25">
      <c r="B29" s="61" t="s">
        <v>63</v>
      </c>
      <c r="C29" s="61"/>
      <c r="D29" s="176">
        <v>328941.11350790999</v>
      </c>
      <c r="E29" s="175">
        <v>7.405866356942</v>
      </c>
      <c r="F29" s="176"/>
      <c r="G29" s="176">
        <v>206577.61142131701</v>
      </c>
      <c r="H29" s="175">
        <v>7.4914276288477399</v>
      </c>
      <c r="I29" s="176"/>
      <c r="J29" s="176">
        <v>93710.4906335095</v>
      </c>
      <c r="K29" s="175">
        <v>5.5304562887266204</v>
      </c>
    </row>
    <row r="30" spans="2:11" ht="6.95" customHeight="1" x14ac:dyDescent="0.25">
      <c r="B30" s="61"/>
      <c r="C30" s="61"/>
      <c r="D30" s="176"/>
      <c r="E30" s="175"/>
      <c r="F30" s="176"/>
      <c r="G30" s="176"/>
      <c r="H30" s="175"/>
      <c r="I30" s="176"/>
      <c r="J30" s="176"/>
      <c r="K30" s="175"/>
    </row>
    <row r="31" spans="2:11" ht="30" customHeight="1" x14ac:dyDescent="0.25">
      <c r="B31" s="62" t="s">
        <v>17</v>
      </c>
      <c r="C31" s="62"/>
      <c r="D31" s="173">
        <v>23503943.7259777</v>
      </c>
      <c r="E31" s="174">
        <v>82.851717969323005</v>
      </c>
      <c r="F31" s="173"/>
      <c r="G31" s="173">
        <v>12462550.268714599</v>
      </c>
      <c r="H31" s="174">
        <v>80.537893959383496</v>
      </c>
      <c r="I31" s="173"/>
      <c r="J31" s="173">
        <v>10782823.250831399</v>
      </c>
      <c r="K31" s="174">
        <v>85.008227400764994</v>
      </c>
    </row>
    <row r="32" spans="2:11" ht="6.95" customHeight="1" x14ac:dyDescent="0.25">
      <c r="B32" s="101"/>
      <c r="C32" s="101"/>
      <c r="D32" s="173"/>
      <c r="E32" s="177"/>
      <c r="F32" s="178"/>
      <c r="G32" s="173"/>
      <c r="H32" s="177"/>
      <c r="I32" s="177"/>
      <c r="J32" s="173"/>
      <c r="K32" s="177"/>
    </row>
    <row r="33" spans="2:11" x14ac:dyDescent="0.25">
      <c r="B33" s="100" t="s">
        <v>7</v>
      </c>
      <c r="C33" s="100"/>
      <c r="D33" s="173">
        <v>54724471.783623897</v>
      </c>
      <c r="E33" s="174">
        <v>100</v>
      </c>
      <c r="F33" s="173"/>
      <c r="G33" s="173">
        <v>28733115.775626201</v>
      </c>
      <c r="H33" s="174">
        <v>100</v>
      </c>
      <c r="I33" s="173"/>
      <c r="J33" s="173">
        <v>25428611.494824</v>
      </c>
      <c r="K33" s="174">
        <v>100</v>
      </c>
    </row>
    <row r="34" spans="2:11" ht="6.95" customHeight="1" x14ac:dyDescent="0.25">
      <c r="B34" s="100"/>
      <c r="C34" s="100"/>
      <c r="D34" s="173"/>
      <c r="E34" s="175"/>
      <c r="F34" s="173"/>
      <c r="G34" s="173"/>
      <c r="H34" s="175"/>
      <c r="I34" s="176"/>
      <c r="J34" s="173"/>
      <c r="K34" s="175"/>
    </row>
    <row r="35" spans="2:11" ht="30" customHeight="1" x14ac:dyDescent="0.25">
      <c r="B35" s="60" t="s">
        <v>16</v>
      </c>
      <c r="C35" s="60"/>
      <c r="D35" s="173">
        <v>3945233.3115430102</v>
      </c>
      <c r="E35" s="174">
        <v>7.0027973871649003</v>
      </c>
      <c r="F35" s="173"/>
      <c r="G35" s="173">
        <v>2384553.1261691898</v>
      </c>
      <c r="H35" s="174">
        <v>7.9397938400928298</v>
      </c>
      <c r="I35" s="173"/>
      <c r="J35" s="173">
        <v>1440567.5562942501</v>
      </c>
      <c r="K35" s="174">
        <v>5.4517563904484003</v>
      </c>
    </row>
    <row r="36" spans="2:11" ht="6.95" customHeight="1" x14ac:dyDescent="0.25">
      <c r="B36" s="60"/>
      <c r="C36" s="60"/>
      <c r="D36" s="173"/>
      <c r="E36" s="174"/>
      <c r="F36" s="173"/>
      <c r="G36" s="173"/>
      <c r="H36" s="174"/>
      <c r="I36" s="173"/>
      <c r="J36" s="173"/>
      <c r="K36" s="174"/>
    </row>
    <row r="37" spans="2:11" x14ac:dyDescent="0.25">
      <c r="B37" s="57" t="s">
        <v>61</v>
      </c>
      <c r="C37" s="57"/>
      <c r="D37" s="176">
        <v>1438154.00524307</v>
      </c>
      <c r="E37" s="175">
        <v>34.025235783274098</v>
      </c>
      <c r="F37" s="173"/>
      <c r="G37" s="176">
        <v>888961.17311544297</v>
      </c>
      <c r="H37" s="175">
        <v>34.692581937282803</v>
      </c>
      <c r="I37" s="176"/>
      <c r="J37" s="176">
        <v>474459.34335668298</v>
      </c>
      <c r="K37" s="175">
        <v>29.4057763680152</v>
      </c>
    </row>
    <row r="38" spans="2:11" x14ac:dyDescent="0.25">
      <c r="B38" s="57" t="s">
        <v>62</v>
      </c>
      <c r="C38" s="57"/>
      <c r="D38" s="176">
        <v>1762236.6136032201</v>
      </c>
      <c r="E38" s="175">
        <v>43.016585341908502</v>
      </c>
      <c r="F38" s="173"/>
      <c r="G38" s="176">
        <v>1057144.84023477</v>
      </c>
      <c r="H38" s="175">
        <v>41.9272083745618</v>
      </c>
      <c r="I38" s="176"/>
      <c r="J38" s="176">
        <v>623604.86265473894</v>
      </c>
      <c r="K38" s="175">
        <v>41.152110935823799</v>
      </c>
    </row>
    <row r="39" spans="2:11" x14ac:dyDescent="0.25">
      <c r="B39" s="57" t="s">
        <v>47</v>
      </c>
      <c r="C39" s="57"/>
      <c r="D39" s="176">
        <v>140107.39615841</v>
      </c>
      <c r="E39" s="175">
        <v>3.20636380888849</v>
      </c>
      <c r="F39" s="176"/>
      <c r="G39" s="176">
        <v>43601.041011093701</v>
      </c>
      <c r="H39" s="175">
        <v>1.59869709272685</v>
      </c>
      <c r="I39" s="176"/>
      <c r="J39" s="176">
        <v>73554.019405980696</v>
      </c>
      <c r="K39" s="175">
        <v>4.5476782132507596</v>
      </c>
    </row>
    <row r="40" spans="2:11" x14ac:dyDescent="0.25">
      <c r="B40" s="61" t="s">
        <v>63</v>
      </c>
      <c r="C40" s="61"/>
      <c r="D40" s="176">
        <v>325840.08416849398</v>
      </c>
      <c r="E40" s="175">
        <v>7.4972122274876103</v>
      </c>
      <c r="F40" s="176"/>
      <c r="G40" s="176">
        <v>188400.04521194601</v>
      </c>
      <c r="H40" s="175">
        <v>7.0012113661098301</v>
      </c>
      <c r="I40" s="176"/>
      <c r="J40" s="176">
        <v>98284.889184366693</v>
      </c>
      <c r="K40" s="175">
        <v>6.0509351496937898</v>
      </c>
    </row>
    <row r="41" spans="2:11" ht="6.95" customHeight="1" x14ac:dyDescent="0.25">
      <c r="B41" s="61"/>
      <c r="C41" s="61"/>
      <c r="D41" s="176"/>
      <c r="E41" s="175"/>
      <c r="F41" s="176"/>
      <c r="G41" s="176"/>
      <c r="H41" s="175"/>
      <c r="I41" s="176"/>
      <c r="J41" s="176"/>
      <c r="K41" s="175"/>
    </row>
    <row r="42" spans="2:11" ht="30" customHeight="1" x14ac:dyDescent="0.25">
      <c r="B42" s="62" t="s">
        <v>17</v>
      </c>
      <c r="C42" s="62"/>
      <c r="D42" s="173">
        <v>50468608.3088312</v>
      </c>
      <c r="E42" s="174">
        <v>91.619581774217494</v>
      </c>
      <c r="F42" s="173"/>
      <c r="G42" s="173">
        <v>26079659.0170241</v>
      </c>
      <c r="H42" s="174">
        <v>90.009393942294693</v>
      </c>
      <c r="I42" s="173"/>
      <c r="J42" s="173">
        <v>23809986.0248634</v>
      </c>
      <c r="K42" s="174">
        <v>92.955772907940499</v>
      </c>
    </row>
    <row r="43" spans="2:11" ht="6.95" customHeight="1" x14ac:dyDescent="0.25">
      <c r="B43" s="33"/>
      <c r="C43" s="33"/>
      <c r="D43" s="126"/>
      <c r="E43" s="34"/>
      <c r="F43" s="34"/>
      <c r="G43" s="126"/>
      <c r="H43" s="33"/>
      <c r="I43" s="33"/>
      <c r="J43" s="132"/>
      <c r="K43" s="35"/>
    </row>
    <row r="44" spans="2:11" ht="6.95" customHeight="1" x14ac:dyDescent="0.25">
      <c r="B44" s="31"/>
      <c r="C44" s="31"/>
      <c r="D44" s="127"/>
      <c r="E44" s="37"/>
      <c r="F44" s="37"/>
      <c r="G44" s="127"/>
      <c r="H44" s="31"/>
      <c r="I44" s="31"/>
      <c r="J44" s="131"/>
      <c r="K44" s="30"/>
    </row>
    <row r="45" spans="2:11" ht="12" customHeight="1" x14ac:dyDescent="0.25">
      <c r="B45" s="88" t="s">
        <v>34</v>
      </c>
      <c r="C45" s="88"/>
      <c r="D45" s="127"/>
      <c r="E45" s="37"/>
      <c r="F45" s="37"/>
      <c r="G45" s="127"/>
      <c r="H45" s="31"/>
      <c r="I45" s="31"/>
      <c r="J45" s="131"/>
      <c r="K45" s="30"/>
    </row>
    <row r="46" spans="2:11" ht="12" customHeight="1" x14ac:dyDescent="0.25">
      <c r="B46" s="210" t="s">
        <v>65</v>
      </c>
      <c r="C46" s="210"/>
      <c r="D46" s="210"/>
      <c r="E46" s="210"/>
      <c r="F46" s="210"/>
      <c r="G46" s="210"/>
    </row>
  </sheetData>
  <mergeCells count="7">
    <mergeCell ref="B46:G4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B4319B42-7981-45ED-8C09-3C7400E18E9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0CCC-E872-4AF3-964E-2642AF0221DC}">
  <dimension ref="B1:AL39"/>
  <sheetViews>
    <sheetView showGridLines="0" zoomScaleNormal="100" workbookViewId="0">
      <selection activeCell="B1" sqref="B1"/>
    </sheetView>
  </sheetViews>
  <sheetFormatPr baseColWidth="10" defaultColWidth="11.42578125" defaultRowHeight="15" x14ac:dyDescent="0.25"/>
  <cols>
    <col min="1" max="1" width="1.7109375" customWidth="1"/>
    <col min="2" max="2" width="28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  <col min="12" max="12" width="1.7109375" customWidth="1"/>
    <col min="13" max="13" width="15.7109375" style="107" customWidth="1"/>
    <col min="14" max="14" width="15.7109375" customWidth="1"/>
    <col min="15" max="15" width="1.7109375" customWidth="1"/>
    <col min="16" max="16" width="15.7109375" style="107" customWidth="1"/>
    <col min="17" max="17" width="15.7109375" customWidth="1"/>
    <col min="18" max="18" width="1.7109375" customWidth="1"/>
    <col min="19" max="19" width="15.7109375" style="107" customWidth="1"/>
    <col min="20" max="20" width="15.7109375" customWidth="1"/>
    <col min="21" max="21" width="1.7109375" customWidth="1"/>
    <col min="22" max="22" width="15.7109375" style="107" customWidth="1"/>
    <col min="23" max="23" width="15.7109375" customWidth="1"/>
    <col min="24" max="24" width="1.7109375" customWidth="1"/>
    <col min="25" max="25" width="15.7109375" style="107" customWidth="1"/>
    <col min="26" max="26" width="15.7109375" customWidth="1"/>
    <col min="27" max="27" width="1.7109375" customWidth="1"/>
    <col min="28" max="28" width="15.7109375" style="107" customWidth="1"/>
    <col min="29" max="29" width="15.7109375" customWidth="1"/>
    <col min="30" max="30" width="1.7109375" customWidth="1"/>
    <col min="31" max="31" width="15.7109375" style="107" customWidth="1"/>
    <col min="32" max="32" width="15.7109375" customWidth="1"/>
    <col min="33" max="33" width="1.7109375" customWidth="1"/>
    <col min="34" max="34" width="15.7109375" style="107" customWidth="1"/>
    <col min="35" max="35" width="15.7109375" customWidth="1"/>
    <col min="36" max="36" width="1.7109375" customWidth="1"/>
    <col min="37" max="37" width="15.7109375" style="107" customWidth="1"/>
    <col min="38" max="38" width="15.7109375" customWidth="1"/>
  </cols>
  <sheetData>
    <row r="1" spans="2:38" x14ac:dyDescent="0.25">
      <c r="B1" s="229" t="s">
        <v>89</v>
      </c>
      <c r="C1" s="41"/>
      <c r="AL1" s="50" t="s">
        <v>27</v>
      </c>
    </row>
    <row r="2" spans="2:38" ht="6.95" customHeight="1" x14ac:dyDescent="0.25"/>
    <row r="3" spans="2:38" x14ac:dyDescent="0.25">
      <c r="B3" s="41" t="s">
        <v>87</v>
      </c>
      <c r="K3" s="65"/>
    </row>
    <row r="4" spans="2:38" ht="6.95" customHeight="1" x14ac:dyDescent="0.25">
      <c r="B4" s="1"/>
      <c r="C4" s="1"/>
      <c r="D4" s="108"/>
      <c r="E4" s="1"/>
      <c r="F4" s="1"/>
      <c r="G4" s="108"/>
      <c r="H4" s="1"/>
      <c r="I4" s="1"/>
      <c r="J4" s="115"/>
      <c r="K4" s="2"/>
      <c r="L4" s="2"/>
      <c r="M4" s="118"/>
      <c r="N4" s="3"/>
      <c r="O4" s="3"/>
    </row>
    <row r="5" spans="2:38" x14ac:dyDescent="0.25">
      <c r="B5" s="42" t="s">
        <v>76</v>
      </c>
      <c r="C5" s="66"/>
      <c r="D5" s="108"/>
      <c r="E5" s="1"/>
      <c r="F5" s="1"/>
      <c r="G5" s="108"/>
      <c r="H5" s="1"/>
      <c r="I5" s="1"/>
      <c r="J5" s="108"/>
      <c r="K5" s="1"/>
      <c r="L5" s="1"/>
      <c r="M5" s="118"/>
      <c r="N5" s="3"/>
      <c r="O5" s="3"/>
      <c r="AL5" s="52" t="s">
        <v>15</v>
      </c>
    </row>
    <row r="6" spans="2:38" ht="6.95" customHeight="1" x14ac:dyDescent="0.25">
      <c r="B6" s="4"/>
      <c r="C6" s="4"/>
      <c r="D6" s="109"/>
      <c r="E6" s="5"/>
      <c r="F6" s="5"/>
      <c r="G6" s="109"/>
      <c r="H6" s="5"/>
      <c r="I6" s="5"/>
      <c r="J6" s="117"/>
      <c r="K6" s="6"/>
      <c r="L6" s="6"/>
      <c r="M6" s="118"/>
      <c r="N6" s="3"/>
      <c r="O6" s="3"/>
    </row>
    <row r="7" spans="2:38" ht="15" customHeight="1" x14ac:dyDescent="0.25">
      <c r="B7" s="224" t="s">
        <v>40</v>
      </c>
      <c r="C7" s="169"/>
      <c r="D7" s="225" t="s">
        <v>23</v>
      </c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170"/>
      <c r="P7" s="225" t="s">
        <v>4</v>
      </c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170"/>
      <c r="AB7" s="225" t="s">
        <v>5</v>
      </c>
      <c r="AC7" s="225"/>
      <c r="AD7" s="225"/>
      <c r="AE7" s="225"/>
      <c r="AF7" s="225"/>
      <c r="AG7" s="225"/>
      <c r="AH7" s="225"/>
      <c r="AI7" s="225"/>
      <c r="AJ7" s="225"/>
      <c r="AK7" s="225"/>
      <c r="AL7" s="225"/>
    </row>
    <row r="8" spans="2:38" ht="15" customHeight="1" x14ac:dyDescent="0.25">
      <c r="B8" s="212"/>
      <c r="C8" s="39"/>
      <c r="D8" s="226" t="s">
        <v>19</v>
      </c>
      <c r="E8" s="226"/>
      <c r="F8" s="171"/>
      <c r="G8" s="222" t="s">
        <v>20</v>
      </c>
      <c r="H8" s="222"/>
      <c r="I8" s="222"/>
      <c r="J8" s="222"/>
      <c r="K8" s="222"/>
      <c r="L8" s="222"/>
      <c r="M8" s="222"/>
      <c r="N8" s="222"/>
      <c r="O8" s="63"/>
      <c r="P8" s="226" t="s">
        <v>19</v>
      </c>
      <c r="Q8" s="226"/>
      <c r="R8" s="171"/>
      <c r="S8" s="222" t="s">
        <v>20</v>
      </c>
      <c r="T8" s="222"/>
      <c r="U8" s="222"/>
      <c r="V8" s="227"/>
      <c r="W8" s="227"/>
      <c r="X8" s="227"/>
      <c r="Y8" s="227"/>
      <c r="Z8" s="227"/>
      <c r="AA8" s="2"/>
      <c r="AB8" s="226" t="s">
        <v>19</v>
      </c>
      <c r="AC8" s="226"/>
      <c r="AD8" s="171"/>
      <c r="AE8" s="222" t="s">
        <v>20</v>
      </c>
      <c r="AF8" s="222"/>
      <c r="AG8" s="222"/>
      <c r="AH8" s="227"/>
      <c r="AI8" s="227"/>
      <c r="AJ8" s="228"/>
      <c r="AK8" s="227"/>
      <c r="AL8" s="227"/>
    </row>
    <row r="9" spans="2:38" ht="30" customHeight="1" x14ac:dyDescent="0.25">
      <c r="B9" s="212"/>
      <c r="C9" s="39"/>
      <c r="D9" s="207"/>
      <c r="E9" s="207"/>
      <c r="F9" s="97"/>
      <c r="G9" s="222" t="s">
        <v>18</v>
      </c>
      <c r="H9" s="222"/>
      <c r="I9" s="171"/>
      <c r="J9" s="207" t="s">
        <v>42</v>
      </c>
      <c r="K9" s="207"/>
      <c r="L9" s="171"/>
      <c r="M9" s="223" t="s">
        <v>10</v>
      </c>
      <c r="N9" s="223"/>
      <c r="O9" s="63"/>
      <c r="P9" s="207"/>
      <c r="Q9" s="207"/>
      <c r="R9" s="96"/>
      <c r="S9" s="222" t="s">
        <v>18</v>
      </c>
      <c r="T9" s="222"/>
      <c r="U9" s="171"/>
      <c r="V9" s="207" t="s">
        <v>42</v>
      </c>
      <c r="W9" s="207"/>
      <c r="X9" s="172"/>
      <c r="Y9" s="222" t="s">
        <v>10</v>
      </c>
      <c r="Z9" s="222"/>
      <c r="AA9" s="99"/>
      <c r="AB9" s="207"/>
      <c r="AC9" s="207"/>
      <c r="AD9" s="96"/>
      <c r="AE9" s="222" t="s">
        <v>18</v>
      </c>
      <c r="AF9" s="222"/>
      <c r="AG9" s="171"/>
      <c r="AH9" s="207" t="s">
        <v>42</v>
      </c>
      <c r="AI9" s="207"/>
      <c r="AJ9" s="171"/>
      <c r="AK9" s="222" t="s">
        <v>10</v>
      </c>
      <c r="AL9" s="222"/>
    </row>
    <row r="10" spans="2:38" x14ac:dyDescent="0.25">
      <c r="B10" s="213"/>
      <c r="C10" s="91"/>
      <c r="D10" s="110" t="s">
        <v>25</v>
      </c>
      <c r="E10" s="44" t="s">
        <v>26</v>
      </c>
      <c r="F10" s="96"/>
      <c r="G10" s="110" t="s">
        <v>25</v>
      </c>
      <c r="H10" s="44" t="s">
        <v>26</v>
      </c>
      <c r="I10" s="13"/>
      <c r="J10" s="110" t="s">
        <v>25</v>
      </c>
      <c r="K10" s="44" t="s">
        <v>26</v>
      </c>
      <c r="L10" s="64"/>
      <c r="M10" s="110" t="s">
        <v>25</v>
      </c>
      <c r="N10" s="44" t="s">
        <v>26</v>
      </c>
      <c r="O10" s="64"/>
      <c r="P10" s="110" t="s">
        <v>25</v>
      </c>
      <c r="Q10" s="44" t="s">
        <v>26</v>
      </c>
      <c r="R10" s="23"/>
      <c r="S10" s="110" t="s">
        <v>25</v>
      </c>
      <c r="T10" s="44" t="s">
        <v>26</v>
      </c>
      <c r="U10" s="23"/>
      <c r="V10" s="110" t="s">
        <v>25</v>
      </c>
      <c r="W10" s="44" t="s">
        <v>26</v>
      </c>
      <c r="X10" s="44"/>
      <c r="Y10" s="110" t="s">
        <v>25</v>
      </c>
      <c r="Z10" s="44" t="s">
        <v>26</v>
      </c>
      <c r="AA10" s="23"/>
      <c r="AB10" s="110" t="s">
        <v>25</v>
      </c>
      <c r="AC10" s="44" t="s">
        <v>26</v>
      </c>
      <c r="AD10" s="23"/>
      <c r="AE10" s="110" t="s">
        <v>25</v>
      </c>
      <c r="AF10" s="44" t="s">
        <v>26</v>
      </c>
      <c r="AG10" s="23"/>
      <c r="AH10" s="110" t="s">
        <v>25</v>
      </c>
      <c r="AI10" s="44" t="s">
        <v>26</v>
      </c>
      <c r="AJ10" s="23"/>
      <c r="AK10" s="110" t="s">
        <v>25</v>
      </c>
      <c r="AL10" s="44" t="s">
        <v>26</v>
      </c>
    </row>
    <row r="11" spans="2:38" ht="6.95" customHeight="1" x14ac:dyDescent="0.25">
      <c r="B11" s="39"/>
      <c r="C11" s="39"/>
      <c r="D11" s="134"/>
      <c r="E11" s="97"/>
      <c r="F11" s="97"/>
      <c r="G11" s="116"/>
      <c r="H11" s="47"/>
      <c r="I11" s="70"/>
      <c r="J11" s="116"/>
      <c r="K11" s="47"/>
      <c r="L11" s="71"/>
      <c r="M11" s="116"/>
      <c r="N11" s="47"/>
      <c r="O11" s="71"/>
      <c r="P11" s="138"/>
      <c r="Q11" s="69"/>
      <c r="R11" s="69"/>
      <c r="S11" s="116"/>
      <c r="T11" s="47"/>
      <c r="U11" s="69"/>
      <c r="V11" s="116"/>
      <c r="W11" s="47"/>
      <c r="X11" s="47"/>
      <c r="Y11" s="116"/>
      <c r="Z11" s="47"/>
      <c r="AA11" s="69"/>
      <c r="AB11" s="138"/>
      <c r="AC11" s="69"/>
      <c r="AD11" s="69"/>
      <c r="AE11" s="116"/>
      <c r="AF11" s="47"/>
      <c r="AG11" s="69"/>
      <c r="AH11" s="116"/>
      <c r="AI11" s="47"/>
      <c r="AJ11" s="69"/>
      <c r="AK11" s="116"/>
      <c r="AL11" s="47"/>
    </row>
    <row r="12" spans="2:38" ht="15" customHeight="1" x14ac:dyDescent="0.25">
      <c r="B12" s="9" t="s">
        <v>1</v>
      </c>
      <c r="C12" s="9"/>
      <c r="D12" s="173">
        <v>85074250.450445905</v>
      </c>
      <c r="E12" s="174">
        <v>100</v>
      </c>
      <c r="F12" s="173"/>
      <c r="G12" s="173">
        <v>19631237.348663501</v>
      </c>
      <c r="H12" s="174">
        <v>22.657848125330801</v>
      </c>
      <c r="I12" s="173"/>
      <c r="J12" s="173">
        <v>30095376.451410402</v>
      </c>
      <c r="K12" s="174">
        <v>34.8132611587329</v>
      </c>
      <c r="L12" s="173"/>
      <c r="M12" s="173">
        <v>80992084.661967903</v>
      </c>
      <c r="N12" s="174">
        <v>94.838294024092406</v>
      </c>
      <c r="O12" s="173"/>
      <c r="P12" s="173">
        <v>45189093.536525302</v>
      </c>
      <c r="Q12" s="174">
        <v>100</v>
      </c>
      <c r="R12" s="173"/>
      <c r="S12" s="173">
        <v>9666306.1935095694</v>
      </c>
      <c r="T12" s="174">
        <v>20.8507884752214</v>
      </c>
      <c r="U12" s="173"/>
      <c r="V12" s="173">
        <v>14499199.334014401</v>
      </c>
      <c r="W12" s="174">
        <v>31.325610226154701</v>
      </c>
      <c r="X12" s="173"/>
      <c r="Y12" s="173">
        <v>43273426.339677997</v>
      </c>
      <c r="Z12" s="174">
        <v>95.195797836249497</v>
      </c>
      <c r="AA12" s="173"/>
      <c r="AB12" s="173">
        <v>38949471.211108603</v>
      </c>
      <c r="AC12" s="174">
        <v>100</v>
      </c>
      <c r="AD12" s="173"/>
      <c r="AE12" s="173">
        <v>9580789.5178882293</v>
      </c>
      <c r="AF12" s="174">
        <v>24.004729887689901</v>
      </c>
      <c r="AG12" s="173"/>
      <c r="AH12" s="173">
        <v>15150386.621357899</v>
      </c>
      <c r="AI12" s="174">
        <v>38.055256537769402</v>
      </c>
      <c r="AJ12" s="173"/>
      <c r="AK12" s="173">
        <v>36838968.317114703</v>
      </c>
      <c r="AL12" s="174">
        <v>94.048674490718597</v>
      </c>
    </row>
    <row r="13" spans="2:38" ht="6.95" customHeight="1" x14ac:dyDescent="0.25">
      <c r="B13" s="10"/>
      <c r="C13" s="10"/>
      <c r="D13" s="173"/>
      <c r="E13" s="175"/>
      <c r="F13" s="173"/>
      <c r="G13" s="173"/>
      <c r="H13" s="175"/>
      <c r="I13" s="176"/>
      <c r="J13" s="173"/>
      <c r="K13" s="175"/>
      <c r="L13" s="173"/>
      <c r="M13" s="173"/>
      <c r="N13" s="175"/>
      <c r="O13" s="176"/>
      <c r="P13" s="173"/>
      <c r="Q13" s="175"/>
      <c r="R13" s="173"/>
      <c r="S13" s="173"/>
      <c r="T13" s="175"/>
      <c r="U13" s="176"/>
      <c r="V13" s="173"/>
      <c r="W13" s="175"/>
      <c r="X13" s="173"/>
      <c r="Y13" s="173"/>
      <c r="Z13" s="175"/>
      <c r="AA13" s="173"/>
      <c r="AB13" s="173"/>
      <c r="AC13" s="175"/>
      <c r="AD13" s="173"/>
      <c r="AE13" s="173"/>
      <c r="AF13" s="175"/>
      <c r="AG13" s="176"/>
      <c r="AH13" s="173"/>
      <c r="AI13" s="175"/>
      <c r="AJ13" s="173"/>
      <c r="AK13" s="173"/>
      <c r="AL13" s="175"/>
    </row>
    <row r="14" spans="2:38" ht="30" customHeight="1" x14ac:dyDescent="0.25">
      <c r="B14" s="49" t="s">
        <v>69</v>
      </c>
      <c r="C14" s="67"/>
      <c r="D14" s="176">
        <v>80076182.396351993</v>
      </c>
      <c r="E14" s="175">
        <v>93.666974126312894</v>
      </c>
      <c r="F14" s="176"/>
      <c r="G14" s="176">
        <v>2507961.0822032201</v>
      </c>
      <c r="H14" s="175">
        <v>3.07474219293226</v>
      </c>
      <c r="I14" s="176"/>
      <c r="J14" s="176">
        <v>9713335.9675695896</v>
      </c>
      <c r="K14" s="175">
        <v>11.9047117251092</v>
      </c>
      <c r="L14" s="176"/>
      <c r="M14" s="176">
        <v>76240284.35244</v>
      </c>
      <c r="N14" s="175">
        <v>94.8762638177122</v>
      </c>
      <c r="O14" s="176"/>
      <c r="P14" s="176">
        <v>43032674.078264497</v>
      </c>
      <c r="Q14" s="175">
        <v>94.679895133617194</v>
      </c>
      <c r="R14" s="176"/>
      <c r="S14" s="176">
        <v>1171665.7854458301</v>
      </c>
      <c r="T14" s="175">
        <v>2.6527055947049698</v>
      </c>
      <c r="U14" s="176"/>
      <c r="V14" s="176">
        <v>4294764.1312892903</v>
      </c>
      <c r="W14" s="175">
        <v>9.71263513093505</v>
      </c>
      <c r="X14" s="176"/>
      <c r="Y14" s="176">
        <v>41286254.972172201</v>
      </c>
      <c r="Z14" s="175">
        <v>95.466413458595497</v>
      </c>
      <c r="AA14" s="176"/>
      <c r="AB14" s="176">
        <v>36145749.391096197</v>
      </c>
      <c r="AC14" s="175">
        <v>92.067683819904602</v>
      </c>
      <c r="AD14" s="176"/>
      <c r="AE14" s="176">
        <v>1201520.0329282</v>
      </c>
      <c r="AF14" s="175">
        <v>3.2264034627051998</v>
      </c>
      <c r="AG14" s="176"/>
      <c r="AH14" s="176">
        <v>5189705.5050192997</v>
      </c>
      <c r="AI14" s="175">
        <v>13.984108254962299</v>
      </c>
      <c r="AJ14" s="176"/>
      <c r="AK14" s="176">
        <v>34089470.195170097</v>
      </c>
      <c r="AL14" s="175">
        <v>93.812638782308298</v>
      </c>
    </row>
    <row r="15" spans="2:38" ht="45" customHeight="1" x14ac:dyDescent="0.25">
      <c r="B15" s="49" t="s">
        <v>70</v>
      </c>
      <c r="C15" s="49"/>
      <c r="D15" s="176">
        <v>69549088.165404007</v>
      </c>
      <c r="E15" s="175">
        <v>80.935878338668203</v>
      </c>
      <c r="F15" s="176"/>
      <c r="G15" s="176">
        <v>1836369.56461379</v>
      </c>
      <c r="H15" s="175">
        <v>2.5867631645995202</v>
      </c>
      <c r="I15" s="176"/>
      <c r="J15" s="176">
        <v>25223329.3881776</v>
      </c>
      <c r="K15" s="175">
        <v>35.711017229983199</v>
      </c>
      <c r="L15" s="176"/>
      <c r="M15" s="176">
        <v>56453494.148262203</v>
      </c>
      <c r="N15" s="175">
        <v>80.599576710533199</v>
      </c>
      <c r="O15" s="176"/>
      <c r="P15" s="176">
        <v>37103799.392072096</v>
      </c>
      <c r="Q15" s="175">
        <v>80.982033445181003</v>
      </c>
      <c r="R15" s="176"/>
      <c r="S15" s="176">
        <v>877220.62948835804</v>
      </c>
      <c r="T15" s="175">
        <v>2.3024992119593799</v>
      </c>
      <c r="U15" s="176"/>
      <c r="V15" s="176">
        <v>12190744.875581199</v>
      </c>
      <c r="W15" s="175">
        <v>32.056192338275302</v>
      </c>
      <c r="X15" s="176"/>
      <c r="Y15" s="176">
        <v>30698002.882103901</v>
      </c>
      <c r="Z15" s="175">
        <v>81.937942766346595</v>
      </c>
      <c r="AA15" s="176"/>
      <c r="AB15" s="176">
        <v>31644789.120301101</v>
      </c>
      <c r="AC15" s="175">
        <v>80.151841090063698</v>
      </c>
      <c r="AD15" s="176"/>
      <c r="AE15" s="176">
        <v>822737.10548675898</v>
      </c>
      <c r="AF15" s="175">
        <v>2.5139044543546101</v>
      </c>
      <c r="AG15" s="176"/>
      <c r="AH15" s="176">
        <v>12620351.417660899</v>
      </c>
      <c r="AI15" s="175">
        <v>38.9389185718722</v>
      </c>
      <c r="AJ15" s="176"/>
      <c r="AK15" s="176">
        <v>25056019.0243112</v>
      </c>
      <c r="AL15" s="175">
        <v>78.387147036775602</v>
      </c>
    </row>
    <row r="16" spans="2:38" ht="45" customHeight="1" x14ac:dyDescent="0.25">
      <c r="B16" s="49" t="s">
        <v>11</v>
      </c>
      <c r="C16" s="49"/>
      <c r="D16" s="176">
        <v>60182106.082762003</v>
      </c>
      <c r="E16" s="175">
        <v>69.900534741993198</v>
      </c>
      <c r="F16" s="176"/>
      <c r="G16" s="176">
        <v>9162185.1435068604</v>
      </c>
      <c r="H16" s="175">
        <v>14.9148025633808</v>
      </c>
      <c r="I16" s="176"/>
      <c r="J16" s="176">
        <v>9216013.1766093895</v>
      </c>
      <c r="K16" s="175">
        <v>14.9895092398255</v>
      </c>
      <c r="L16" s="176"/>
      <c r="M16" s="176">
        <v>48825712.1131263</v>
      </c>
      <c r="N16" s="175">
        <v>80.561515183911496</v>
      </c>
      <c r="O16" s="176"/>
      <c r="P16" s="176">
        <v>31271215.970385</v>
      </c>
      <c r="Q16" s="175">
        <v>68.114959626731803</v>
      </c>
      <c r="R16" s="176"/>
      <c r="S16" s="176">
        <v>4304182.9499400901</v>
      </c>
      <c r="T16" s="175">
        <v>13.3773210498116</v>
      </c>
      <c r="U16" s="176"/>
      <c r="V16" s="176">
        <v>3936915.9141391399</v>
      </c>
      <c r="W16" s="175">
        <v>12.2281554353741</v>
      </c>
      <c r="X16" s="176"/>
      <c r="Y16" s="176">
        <v>25899198.264952298</v>
      </c>
      <c r="Z16" s="175">
        <v>81.943278812258498</v>
      </c>
      <c r="AA16" s="176"/>
      <c r="AB16" s="176">
        <v>28200850.386255201</v>
      </c>
      <c r="AC16" s="175">
        <v>71.159120298859804</v>
      </c>
      <c r="AD16" s="176"/>
      <c r="AE16" s="176">
        <v>4616643.4824033901</v>
      </c>
      <c r="AF16" s="175">
        <v>15.9065568883121</v>
      </c>
      <c r="AG16" s="176"/>
      <c r="AH16" s="176">
        <v>5023475.93858172</v>
      </c>
      <c r="AI16" s="175">
        <v>17.3036672498516</v>
      </c>
      <c r="AJ16" s="176"/>
      <c r="AK16" s="176">
        <v>22335187.413765099</v>
      </c>
      <c r="AL16" s="175">
        <v>78.347175741045803</v>
      </c>
    </row>
    <row r="17" spans="2:38" ht="45" customHeight="1" x14ac:dyDescent="0.25">
      <c r="B17" s="49" t="s">
        <v>41</v>
      </c>
      <c r="C17" s="49"/>
      <c r="D17" s="176">
        <v>54682640.1663839</v>
      </c>
      <c r="E17" s="175">
        <v>63.509626227631998</v>
      </c>
      <c r="F17" s="176"/>
      <c r="G17" s="176">
        <v>4831915.9927307796</v>
      </c>
      <c r="H17" s="175">
        <v>8.6476793926402404</v>
      </c>
      <c r="I17" s="176"/>
      <c r="J17" s="176">
        <v>5135328.2466092203</v>
      </c>
      <c r="K17" s="175">
        <v>9.1836523445645408</v>
      </c>
      <c r="L17" s="176"/>
      <c r="M17" s="176">
        <v>50227166.1469144</v>
      </c>
      <c r="N17" s="175">
        <v>91.298337488470096</v>
      </c>
      <c r="O17" s="176"/>
      <c r="P17" s="176">
        <v>30482596.3791475</v>
      </c>
      <c r="Q17" s="175">
        <v>66.4510152180993</v>
      </c>
      <c r="R17" s="176"/>
      <c r="S17" s="176">
        <v>2245766.9633000302</v>
      </c>
      <c r="T17" s="175">
        <v>7.1449669581368802</v>
      </c>
      <c r="U17" s="176"/>
      <c r="V17" s="176">
        <v>2342196.6358349998</v>
      </c>
      <c r="W17" s="175">
        <v>7.4540323972577696</v>
      </c>
      <c r="X17" s="176"/>
      <c r="Y17" s="176">
        <v>28494781.4783528</v>
      </c>
      <c r="Z17" s="175">
        <v>92.784704953213406</v>
      </c>
      <c r="AA17" s="176"/>
      <c r="AB17" s="176">
        <v>23556913.5189365</v>
      </c>
      <c r="AC17" s="175">
        <v>59.337840186022603</v>
      </c>
      <c r="AD17" s="176"/>
      <c r="AE17" s="176">
        <v>2417524.0291192401</v>
      </c>
      <c r="AF17" s="175">
        <v>9.9314493964568893</v>
      </c>
      <c r="AG17" s="176"/>
      <c r="AH17" s="176">
        <v>2625385.1131835198</v>
      </c>
      <c r="AI17" s="175">
        <v>10.784883694706799</v>
      </c>
      <c r="AJ17" s="176"/>
      <c r="AK17" s="176">
        <v>21124225.487990301</v>
      </c>
      <c r="AL17" s="175">
        <v>88.810329359450293</v>
      </c>
    </row>
    <row r="18" spans="2:38" ht="45" customHeight="1" x14ac:dyDescent="0.25">
      <c r="B18" s="49" t="s">
        <v>71</v>
      </c>
      <c r="C18" s="49"/>
      <c r="D18" s="176">
        <v>24194009.784220502</v>
      </c>
      <c r="E18" s="175">
        <v>27.957464103595498</v>
      </c>
      <c r="F18" s="176"/>
      <c r="G18" s="176">
        <v>13679705.430732699</v>
      </c>
      <c r="H18" s="175">
        <v>55.4327942736344</v>
      </c>
      <c r="I18" s="176"/>
      <c r="J18" s="176">
        <v>7779165.84565615</v>
      </c>
      <c r="K18" s="175">
        <v>31.226914464415799</v>
      </c>
      <c r="L18" s="176"/>
      <c r="M18" s="176">
        <v>5002892.3263768498</v>
      </c>
      <c r="N18" s="175">
        <v>20.149085843452799</v>
      </c>
      <c r="O18" s="176"/>
      <c r="P18" s="176">
        <v>11769582.147586999</v>
      </c>
      <c r="Q18" s="175">
        <v>25.4224155947642</v>
      </c>
      <c r="R18" s="176"/>
      <c r="S18" s="176">
        <v>6848926.7267735703</v>
      </c>
      <c r="T18" s="175">
        <v>56.753734038615796</v>
      </c>
      <c r="U18" s="176"/>
      <c r="V18" s="176">
        <v>3286965.6378774098</v>
      </c>
      <c r="W18" s="175">
        <v>26.9104365930128</v>
      </c>
      <c r="X18" s="176"/>
      <c r="Y18" s="176">
        <v>2460386.72179389</v>
      </c>
      <c r="Z18" s="175">
        <v>20.063538381014201</v>
      </c>
      <c r="AA18" s="176"/>
      <c r="AB18" s="176">
        <v>12031989.749422099</v>
      </c>
      <c r="AC18" s="175">
        <v>30.1733638211863</v>
      </c>
      <c r="AD18" s="176"/>
      <c r="AE18" s="176">
        <v>6512716.3302539503</v>
      </c>
      <c r="AF18" s="175">
        <v>52.492870930729701</v>
      </c>
      <c r="AG18" s="176"/>
      <c r="AH18" s="176">
        <v>4253887.4092833903</v>
      </c>
      <c r="AI18" s="175">
        <v>33.860719634097897</v>
      </c>
      <c r="AJ18" s="176"/>
      <c r="AK18" s="176">
        <v>2355902.0806749202</v>
      </c>
      <c r="AL18" s="175">
        <v>18.922074006206199</v>
      </c>
    </row>
    <row r="19" spans="2:38" ht="6.95" customHeight="1" x14ac:dyDescent="0.25">
      <c r="B19" s="145"/>
      <c r="C19" s="11"/>
      <c r="D19" s="176"/>
      <c r="E19" s="175"/>
      <c r="F19" s="173"/>
      <c r="G19" s="173"/>
      <c r="H19" s="181"/>
      <c r="I19" s="181"/>
      <c r="J19" s="173"/>
      <c r="K19" s="181"/>
      <c r="L19" s="182"/>
      <c r="M19" s="173"/>
      <c r="N19" s="181"/>
      <c r="O19" s="181"/>
      <c r="P19" s="183"/>
      <c r="Q19" s="183"/>
      <c r="R19" s="183"/>
      <c r="S19" s="173"/>
      <c r="T19" s="181"/>
      <c r="U19" s="181"/>
      <c r="V19" s="173"/>
      <c r="W19" s="181"/>
      <c r="X19" s="182"/>
      <c r="Y19" s="173"/>
      <c r="Z19" s="181"/>
      <c r="AA19" s="183"/>
      <c r="AB19" s="173"/>
      <c r="AC19" s="175"/>
      <c r="AD19" s="173"/>
      <c r="AE19" s="173"/>
      <c r="AF19" s="181"/>
      <c r="AG19" s="181"/>
      <c r="AH19" s="173"/>
      <c r="AI19" s="181"/>
      <c r="AJ19" s="182"/>
      <c r="AK19" s="173"/>
      <c r="AL19" s="181"/>
    </row>
    <row r="20" spans="2:38" x14ac:dyDescent="0.25">
      <c r="B20" s="148" t="s">
        <v>6</v>
      </c>
      <c r="C20" s="102"/>
      <c r="D20" s="173">
        <v>27919808.370060898</v>
      </c>
      <c r="E20" s="174">
        <v>100</v>
      </c>
      <c r="F20" s="173"/>
      <c r="G20" s="173">
        <v>3240964.8780184998</v>
      </c>
      <c r="H20" s="174">
        <v>11.063680137986401</v>
      </c>
      <c r="I20" s="173"/>
      <c r="J20" s="173">
        <v>4730628.39032612</v>
      </c>
      <c r="K20" s="174">
        <v>16.387074956845399</v>
      </c>
      <c r="L20" s="173"/>
      <c r="M20" s="173">
        <v>27097134.854410902</v>
      </c>
      <c r="N20" s="174">
        <v>96.504658495432906</v>
      </c>
      <c r="O20" s="173"/>
      <c r="P20" s="173">
        <v>15147712.0036007</v>
      </c>
      <c r="Q20" s="174">
        <v>100</v>
      </c>
      <c r="R20" s="173"/>
      <c r="S20" s="173">
        <v>1687657.24345581</v>
      </c>
      <c r="T20" s="174">
        <v>10.5797502042532</v>
      </c>
      <c r="U20" s="173"/>
      <c r="V20" s="173">
        <v>2346453.10873398</v>
      </c>
      <c r="W20" s="174">
        <v>14.851466839221599</v>
      </c>
      <c r="X20" s="173"/>
      <c r="Y20" s="173">
        <v>14751383.779217901</v>
      </c>
      <c r="Z20" s="174">
        <v>96.678745228841095</v>
      </c>
      <c r="AA20" s="173"/>
      <c r="AB20" s="173">
        <v>12466861.324348001</v>
      </c>
      <c r="AC20" s="174">
        <v>100</v>
      </c>
      <c r="AD20" s="173"/>
      <c r="AE20" s="173">
        <v>1379366.9477587801</v>
      </c>
      <c r="AF20" s="174">
        <v>10.428265656008801</v>
      </c>
      <c r="AG20" s="173"/>
      <c r="AH20" s="173">
        <v>2235106.8422461902</v>
      </c>
      <c r="AI20" s="174">
        <v>17.231044289910699</v>
      </c>
      <c r="AJ20" s="173"/>
      <c r="AK20" s="173">
        <v>12053771.1778627</v>
      </c>
      <c r="AL20" s="174">
        <v>95.822319065287402</v>
      </c>
    </row>
    <row r="21" spans="2:38" ht="6.95" customHeight="1" x14ac:dyDescent="0.25">
      <c r="B21" s="148"/>
      <c r="C21" s="102"/>
      <c r="D21" s="173"/>
      <c r="E21" s="175"/>
      <c r="F21" s="173"/>
      <c r="G21" s="173"/>
      <c r="H21" s="175"/>
      <c r="I21" s="176"/>
      <c r="J21" s="173"/>
      <c r="K21" s="175"/>
      <c r="L21" s="173"/>
      <c r="M21" s="173"/>
      <c r="N21" s="175"/>
      <c r="O21" s="176"/>
      <c r="P21" s="173"/>
      <c r="Q21" s="175"/>
      <c r="R21" s="173"/>
      <c r="S21" s="173"/>
      <c r="T21" s="175"/>
      <c r="U21" s="176"/>
      <c r="V21" s="173"/>
      <c r="W21" s="175"/>
      <c r="X21" s="173"/>
      <c r="Y21" s="173"/>
      <c r="Z21" s="175"/>
      <c r="AA21" s="173"/>
      <c r="AB21" s="173"/>
      <c r="AC21" s="175"/>
      <c r="AD21" s="173"/>
      <c r="AE21" s="173"/>
      <c r="AF21" s="175"/>
      <c r="AG21" s="176"/>
      <c r="AH21" s="173"/>
      <c r="AI21" s="175"/>
      <c r="AJ21" s="173"/>
      <c r="AK21" s="173"/>
      <c r="AL21" s="175"/>
    </row>
    <row r="22" spans="2:38" ht="22.5" x14ac:dyDescent="0.25">
      <c r="B22" s="49" t="s">
        <v>69</v>
      </c>
      <c r="C22" s="36"/>
      <c r="D22" s="176">
        <v>26185093.930034399</v>
      </c>
      <c r="E22" s="175">
        <v>93.047444533106699</v>
      </c>
      <c r="F22" s="176"/>
      <c r="G22" s="176">
        <v>285665.144213219</v>
      </c>
      <c r="H22" s="175">
        <v>1.0292282396638299</v>
      </c>
      <c r="I22" s="176"/>
      <c r="J22" s="176">
        <v>1446146.1672333099</v>
      </c>
      <c r="K22" s="175">
        <v>5.2629926568121803</v>
      </c>
      <c r="L22" s="176"/>
      <c r="M22" s="176">
        <v>25782518.467222199</v>
      </c>
      <c r="N22" s="175">
        <v>98.042728911945005</v>
      </c>
      <c r="O22" s="176"/>
      <c r="P22" s="176">
        <v>14471449.880058199</v>
      </c>
      <c r="Q22" s="175">
        <v>94.748039908331904</v>
      </c>
      <c r="R22" s="176"/>
      <c r="S22" s="176">
        <v>115297.628412736</v>
      </c>
      <c r="T22" s="175">
        <v>0.73809501453116999</v>
      </c>
      <c r="U22" s="176"/>
      <c r="V22" s="176">
        <v>608019.12462286802</v>
      </c>
      <c r="W22" s="175">
        <v>3.9722682910942</v>
      </c>
      <c r="X22" s="176"/>
      <c r="Y22" s="176">
        <v>14287996.7079236</v>
      </c>
      <c r="Z22" s="175">
        <v>98.1111830390508</v>
      </c>
      <c r="AA22" s="176"/>
      <c r="AB22" s="176">
        <v>11418656.4141223</v>
      </c>
      <c r="AC22" s="175">
        <v>90.369441043575307</v>
      </c>
      <c r="AD22" s="176"/>
      <c r="AE22" s="176">
        <v>129404.42159923</v>
      </c>
      <c r="AF22" s="175">
        <v>1.0606491799583699</v>
      </c>
      <c r="AG22" s="176"/>
      <c r="AH22" s="176">
        <v>731050.92972433497</v>
      </c>
      <c r="AI22" s="175">
        <v>6.0936518168465597</v>
      </c>
      <c r="AJ22" s="176"/>
      <c r="AK22" s="176">
        <v>11202127.3650812</v>
      </c>
      <c r="AL22" s="175">
        <v>97.555182764823996</v>
      </c>
    </row>
    <row r="23" spans="2:38" s="68" customFormat="1" ht="45" customHeight="1" x14ac:dyDescent="0.25">
      <c r="B23" s="49" t="s">
        <v>70</v>
      </c>
      <c r="C23" s="49"/>
      <c r="D23" s="176">
        <v>18447790.2644783</v>
      </c>
      <c r="E23" s="175">
        <v>64.727972617328007</v>
      </c>
      <c r="F23" s="176"/>
      <c r="G23" s="176">
        <v>305255.27599266003</v>
      </c>
      <c r="H23" s="175">
        <v>1.52753269776037</v>
      </c>
      <c r="I23" s="176"/>
      <c r="J23" s="176">
        <v>3765755.6131402301</v>
      </c>
      <c r="K23" s="175">
        <v>19.737418272216299</v>
      </c>
      <c r="L23" s="176"/>
      <c r="M23" s="176">
        <v>17055039.100144301</v>
      </c>
      <c r="N23" s="175">
        <v>90.673017660063906</v>
      </c>
      <c r="O23" s="176"/>
      <c r="P23" s="176">
        <v>10103436.017511901</v>
      </c>
      <c r="Q23" s="175">
        <v>64.9825478497105</v>
      </c>
      <c r="R23" s="176"/>
      <c r="S23" s="176">
        <v>150920.98427903501</v>
      </c>
      <c r="T23" s="175">
        <v>1.37607300676474</v>
      </c>
      <c r="U23" s="176"/>
      <c r="V23" s="176">
        <v>1974569.57813533</v>
      </c>
      <c r="W23" s="175">
        <v>18.701731101428901</v>
      </c>
      <c r="X23" s="176"/>
      <c r="Y23" s="176">
        <v>9368551.5818068199</v>
      </c>
      <c r="Z23" s="175">
        <v>90.751401982584397</v>
      </c>
      <c r="AA23" s="176"/>
      <c r="AB23" s="176">
        <v>8101433.7989096995</v>
      </c>
      <c r="AC23" s="175">
        <v>63.111625772877403</v>
      </c>
      <c r="AD23" s="176"/>
      <c r="AE23" s="176">
        <v>91090.641912136707</v>
      </c>
      <c r="AF23" s="175">
        <v>1.0219298184943399</v>
      </c>
      <c r="AG23" s="176"/>
      <c r="AH23" s="176">
        <v>1626882.2320410199</v>
      </c>
      <c r="AI23" s="175">
        <v>18.921861983766799</v>
      </c>
      <c r="AJ23" s="176"/>
      <c r="AK23" s="176">
        <v>7441129.8947908003</v>
      </c>
      <c r="AL23" s="175">
        <v>89.984498207279799</v>
      </c>
    </row>
    <row r="24" spans="2:38" s="68" customFormat="1" ht="45" customHeight="1" x14ac:dyDescent="0.25">
      <c r="B24" s="49" t="s">
        <v>11</v>
      </c>
      <c r="C24" s="49"/>
      <c r="D24" s="176">
        <v>18160943.169464801</v>
      </c>
      <c r="E24" s="175">
        <v>63.076899171410702</v>
      </c>
      <c r="F24" s="176"/>
      <c r="G24" s="176">
        <v>1249019.6656479</v>
      </c>
      <c r="H24" s="175">
        <v>6.5448274753230598</v>
      </c>
      <c r="I24" s="176"/>
      <c r="J24" s="176">
        <v>960573.56986809697</v>
      </c>
      <c r="K24" s="175">
        <v>4.9936936988860801</v>
      </c>
      <c r="L24" s="176"/>
      <c r="M24" s="176">
        <v>16725451.1117275</v>
      </c>
      <c r="N24" s="175">
        <v>90.720006415638295</v>
      </c>
      <c r="O24" s="176"/>
      <c r="P24" s="176">
        <v>9975496.2997846305</v>
      </c>
      <c r="Q24" s="175">
        <v>63.645205943907101</v>
      </c>
      <c r="R24" s="176"/>
      <c r="S24" s="176">
        <v>549419.04131589795</v>
      </c>
      <c r="T24" s="175">
        <v>5.1481494860219899</v>
      </c>
      <c r="U24" s="176"/>
      <c r="V24" s="176">
        <v>442407.416295712</v>
      </c>
      <c r="W24" s="175">
        <v>4.1795388243247702</v>
      </c>
      <c r="X24" s="176"/>
      <c r="Y24" s="176">
        <v>9288220.7288609501</v>
      </c>
      <c r="Z24" s="175">
        <v>91.703967646996304</v>
      </c>
      <c r="AA24" s="176"/>
      <c r="AB24" s="176">
        <v>7922799.6344454195</v>
      </c>
      <c r="AC24" s="175">
        <v>61.117858315701099</v>
      </c>
      <c r="AD24" s="176"/>
      <c r="AE24" s="176">
        <v>592324.71767785004</v>
      </c>
      <c r="AF24" s="175">
        <v>7.0890869525001596</v>
      </c>
      <c r="AG24" s="176"/>
      <c r="AH24" s="176">
        <v>416358.79481906397</v>
      </c>
      <c r="AI24" s="175">
        <v>4.8970350517493104</v>
      </c>
      <c r="AJ24" s="176"/>
      <c r="AK24" s="176">
        <v>7195351.1357308701</v>
      </c>
      <c r="AL24" s="175">
        <v>88.573615388700404</v>
      </c>
    </row>
    <row r="25" spans="2:38" s="68" customFormat="1" ht="45" customHeight="1" x14ac:dyDescent="0.25">
      <c r="B25" s="49" t="s">
        <v>41</v>
      </c>
      <c r="C25" s="49"/>
      <c r="D25" s="176">
        <v>17218706.2053155</v>
      </c>
      <c r="E25" s="175">
        <v>59.551903243482897</v>
      </c>
      <c r="F25" s="176"/>
      <c r="G25" s="176">
        <v>362073.64997947402</v>
      </c>
      <c r="H25" s="175">
        <v>2.0259790090888399</v>
      </c>
      <c r="I25" s="176"/>
      <c r="J25" s="176">
        <v>133632.738728047</v>
      </c>
      <c r="K25" s="175">
        <v>0.73756572050135505</v>
      </c>
      <c r="L25" s="176"/>
      <c r="M25" s="176">
        <v>16950216.315373</v>
      </c>
      <c r="N25" s="175">
        <v>97.780218385019296</v>
      </c>
      <c r="O25" s="176"/>
      <c r="P25" s="176">
        <v>9970427.79084225</v>
      </c>
      <c r="Q25" s="175">
        <v>63.675976257258398</v>
      </c>
      <c r="R25" s="176"/>
      <c r="S25" s="176">
        <v>184505.252936025</v>
      </c>
      <c r="T25" s="175">
        <v>1.78240519376228</v>
      </c>
      <c r="U25" s="176"/>
      <c r="V25" s="176">
        <v>43578.3913913793</v>
      </c>
      <c r="W25" s="175">
        <v>0.41523777960824199</v>
      </c>
      <c r="X25" s="176"/>
      <c r="Y25" s="176">
        <v>9792588.4058799706</v>
      </c>
      <c r="Z25" s="175">
        <v>97.266691959512997</v>
      </c>
      <c r="AA25" s="176"/>
      <c r="AB25" s="176">
        <v>7033131.8651800305</v>
      </c>
      <c r="AC25" s="175">
        <v>53.4405582562677</v>
      </c>
      <c r="AD25" s="176"/>
      <c r="AE25" s="176">
        <v>97651.057098938894</v>
      </c>
      <c r="AF25" s="175">
        <v>1.34401541658284</v>
      </c>
      <c r="AG25" s="176"/>
      <c r="AH25" s="176">
        <v>48748.902828183098</v>
      </c>
      <c r="AI25" s="175">
        <v>0.65421126981760302</v>
      </c>
      <c r="AJ25" s="176"/>
      <c r="AK25" s="176">
        <v>6946318.2024699701</v>
      </c>
      <c r="AL25" s="175">
        <v>97.936827928265501</v>
      </c>
    </row>
    <row r="26" spans="2:38" s="68" customFormat="1" ht="45" customHeight="1" x14ac:dyDescent="0.25">
      <c r="B26" s="49" t="s">
        <v>71</v>
      </c>
      <c r="C26" s="49"/>
      <c r="D26" s="176">
        <v>4373958.3029040303</v>
      </c>
      <c r="E26" s="175">
        <v>15.080062743706501</v>
      </c>
      <c r="F26" s="176"/>
      <c r="G26" s="176">
        <v>2315720.3194029001</v>
      </c>
      <c r="H26" s="175">
        <v>48.848676609639398</v>
      </c>
      <c r="I26" s="176"/>
      <c r="J26" s="176">
        <v>1002348.88575015</v>
      </c>
      <c r="K26" s="175">
        <v>21.820651725169402</v>
      </c>
      <c r="L26" s="176"/>
      <c r="M26" s="176">
        <v>1121221.30299157</v>
      </c>
      <c r="N26" s="175">
        <v>23.0735330113536</v>
      </c>
      <c r="O26" s="176"/>
      <c r="P26" s="176">
        <v>2311043.1274256301</v>
      </c>
      <c r="Q26" s="175">
        <v>14.6220851197256</v>
      </c>
      <c r="R26" s="176"/>
      <c r="S26" s="176">
        <v>1217539.6420305499</v>
      </c>
      <c r="T26" s="175">
        <v>48.643353018815702</v>
      </c>
      <c r="U26" s="176"/>
      <c r="V26" s="176">
        <v>410281.60043251998</v>
      </c>
      <c r="W26" s="175">
        <v>16.697122355845799</v>
      </c>
      <c r="X26" s="176"/>
      <c r="Y26" s="176">
        <v>611078.60770309495</v>
      </c>
      <c r="Z26" s="175">
        <v>23.389012247905001</v>
      </c>
      <c r="AA26" s="176"/>
      <c r="AB26" s="176">
        <v>1922819.41943753</v>
      </c>
      <c r="AC26" s="175">
        <v>14.6914213993148</v>
      </c>
      <c r="AD26" s="176"/>
      <c r="AE26" s="176">
        <v>961390.54327779997</v>
      </c>
      <c r="AF26" s="175">
        <v>44.532572000470502</v>
      </c>
      <c r="AG26" s="176"/>
      <c r="AH26" s="176">
        <v>479588.18393538299</v>
      </c>
      <c r="AI26" s="175">
        <v>22.577125455275699</v>
      </c>
      <c r="AJ26" s="176"/>
      <c r="AK26" s="176">
        <v>415205.03694051201</v>
      </c>
      <c r="AL26" s="175">
        <v>18.958794043662898</v>
      </c>
    </row>
    <row r="27" spans="2:38" ht="6.95" customHeight="1" x14ac:dyDescent="0.25">
      <c r="B27" s="149"/>
      <c r="C27" s="103"/>
      <c r="D27" s="173"/>
      <c r="E27" s="184"/>
      <c r="F27" s="173"/>
      <c r="G27" s="173"/>
      <c r="H27" s="184"/>
      <c r="I27" s="184"/>
      <c r="J27" s="173"/>
      <c r="K27" s="184"/>
      <c r="L27" s="184"/>
      <c r="M27" s="173"/>
      <c r="N27" s="185"/>
      <c r="O27" s="185"/>
      <c r="P27" s="183"/>
      <c r="Q27" s="183"/>
      <c r="R27" s="183"/>
      <c r="S27" s="173"/>
      <c r="T27" s="183"/>
      <c r="U27" s="183"/>
      <c r="V27" s="173"/>
      <c r="W27" s="183"/>
      <c r="X27" s="183"/>
      <c r="Y27" s="173"/>
      <c r="Z27" s="183"/>
      <c r="AA27" s="183"/>
      <c r="AB27" s="173"/>
      <c r="AC27" s="183"/>
      <c r="AD27" s="173"/>
      <c r="AE27" s="173"/>
      <c r="AF27" s="183"/>
      <c r="AG27" s="183"/>
      <c r="AH27" s="173"/>
      <c r="AI27" s="183"/>
      <c r="AJ27" s="183"/>
      <c r="AK27" s="173"/>
      <c r="AL27" s="183"/>
    </row>
    <row r="28" spans="2:38" x14ac:dyDescent="0.25">
      <c r="B28" s="148" t="s">
        <v>7</v>
      </c>
      <c r="C28" s="102"/>
      <c r="D28" s="173">
        <v>54724471.783623897</v>
      </c>
      <c r="E28" s="174">
        <v>100</v>
      </c>
      <c r="F28" s="173"/>
      <c r="G28" s="173">
        <v>15902537.453301201</v>
      </c>
      <c r="H28" s="174">
        <v>28.178719672792301</v>
      </c>
      <c r="I28" s="173"/>
      <c r="J28" s="173">
        <v>24646553.033107899</v>
      </c>
      <c r="K28" s="174">
        <v>43.661431327572402</v>
      </c>
      <c r="L28" s="173"/>
      <c r="M28" s="173">
        <v>51569736.090620399</v>
      </c>
      <c r="N28" s="174">
        <v>93.730819879651705</v>
      </c>
      <c r="O28" s="173"/>
      <c r="P28" s="173">
        <v>28733115.775626201</v>
      </c>
      <c r="Q28" s="174">
        <v>100</v>
      </c>
      <c r="R28" s="173"/>
      <c r="S28" s="173">
        <v>7669940.09342827</v>
      </c>
      <c r="T28" s="174">
        <v>25.6259801143744</v>
      </c>
      <c r="U28" s="173"/>
      <c r="V28" s="173">
        <v>11770798.9457775</v>
      </c>
      <c r="W28" s="174">
        <v>39.283366127103598</v>
      </c>
      <c r="X28" s="173"/>
      <c r="Y28" s="173">
        <v>27262641.0229696</v>
      </c>
      <c r="Z28" s="174">
        <v>94.094738266031797</v>
      </c>
      <c r="AA28" s="173"/>
      <c r="AB28" s="173">
        <v>25428611.494824</v>
      </c>
      <c r="AC28" s="174">
        <v>100</v>
      </c>
      <c r="AD28" s="173"/>
      <c r="AE28" s="173">
        <v>7923655.3047188204</v>
      </c>
      <c r="AF28" s="174">
        <v>30.136626777977298</v>
      </c>
      <c r="AG28" s="173"/>
      <c r="AH28" s="173">
        <v>12506786.1636915</v>
      </c>
      <c r="AI28" s="174">
        <v>47.648587655384503</v>
      </c>
      <c r="AJ28" s="173"/>
      <c r="AK28" s="173">
        <v>23768015.354359701</v>
      </c>
      <c r="AL28" s="174">
        <v>92.805137005246493</v>
      </c>
    </row>
    <row r="29" spans="2:38" ht="6.95" customHeight="1" x14ac:dyDescent="0.25">
      <c r="B29" s="148"/>
      <c r="C29" s="102"/>
      <c r="D29" s="173"/>
      <c r="E29" s="175"/>
      <c r="F29" s="173"/>
      <c r="G29" s="173"/>
      <c r="H29" s="175"/>
      <c r="I29" s="176"/>
      <c r="J29" s="173"/>
      <c r="K29" s="175"/>
      <c r="L29" s="173"/>
      <c r="M29" s="173"/>
      <c r="N29" s="175"/>
      <c r="O29" s="176"/>
      <c r="P29" s="173"/>
      <c r="Q29" s="175"/>
      <c r="R29" s="173"/>
      <c r="S29" s="173"/>
      <c r="T29" s="175"/>
      <c r="U29" s="176"/>
      <c r="V29" s="173"/>
      <c r="W29" s="175"/>
      <c r="X29" s="173"/>
      <c r="Y29" s="173"/>
      <c r="Z29" s="175"/>
      <c r="AA29" s="173"/>
      <c r="AB29" s="173"/>
      <c r="AC29" s="175"/>
      <c r="AD29" s="173"/>
      <c r="AE29" s="173"/>
      <c r="AF29" s="175"/>
      <c r="AG29" s="176"/>
      <c r="AH29" s="173"/>
      <c r="AI29" s="175"/>
      <c r="AJ29" s="173"/>
      <c r="AK29" s="173"/>
      <c r="AL29" s="175"/>
    </row>
    <row r="30" spans="2:38" ht="22.5" x14ac:dyDescent="0.25">
      <c r="B30" s="49" t="s">
        <v>69</v>
      </c>
      <c r="C30" s="36"/>
      <c r="D30" s="176">
        <v>51588816.085510403</v>
      </c>
      <c r="E30" s="175">
        <v>93.670330750498096</v>
      </c>
      <c r="F30" s="176"/>
      <c r="G30" s="176">
        <v>2098821.7536404599</v>
      </c>
      <c r="H30" s="175">
        <v>3.92608256502908</v>
      </c>
      <c r="I30" s="176"/>
      <c r="J30" s="176">
        <v>8019657.2057983102</v>
      </c>
      <c r="K30" s="175">
        <v>14.962578315459499</v>
      </c>
      <c r="L30" s="176"/>
      <c r="M30" s="176">
        <v>48220010.888721399</v>
      </c>
      <c r="N30" s="175">
        <v>93.023030940135996</v>
      </c>
      <c r="O30" s="176"/>
      <c r="P30" s="176">
        <v>27304095.980225399</v>
      </c>
      <c r="Q30" s="175">
        <v>94.304907620876307</v>
      </c>
      <c r="R30" s="176"/>
      <c r="S30" s="176">
        <v>996239.44352008495</v>
      </c>
      <c r="T30" s="175">
        <v>3.4966700439719198</v>
      </c>
      <c r="U30" s="176"/>
      <c r="V30" s="176">
        <v>3553132.3954568501</v>
      </c>
      <c r="W30" s="175">
        <v>12.3845736201158</v>
      </c>
      <c r="X30" s="176"/>
      <c r="Y30" s="176">
        <v>25769328.968743701</v>
      </c>
      <c r="Z30" s="175">
        <v>93.771931761642904</v>
      </c>
      <c r="AA30" s="176"/>
      <c r="AB30" s="176">
        <v>23734979.445974398</v>
      </c>
      <c r="AC30" s="175">
        <v>92.394011790526505</v>
      </c>
      <c r="AD30" s="176"/>
      <c r="AE30" s="176">
        <v>976308.07590297901</v>
      </c>
      <c r="AF30" s="175">
        <v>3.9350625132216401</v>
      </c>
      <c r="AG30" s="176"/>
      <c r="AH30" s="176">
        <v>4272154.9974911297</v>
      </c>
      <c r="AI30" s="175">
        <v>17.261023170729899</v>
      </c>
      <c r="AJ30" s="176"/>
      <c r="AK30" s="176">
        <v>21918114.604127899</v>
      </c>
      <c r="AL30" s="175">
        <v>91.663974681240006</v>
      </c>
    </row>
    <row r="31" spans="2:38" s="68" customFormat="1" ht="45" customHeight="1" x14ac:dyDescent="0.25">
      <c r="B31" s="49" t="s">
        <v>70</v>
      </c>
      <c r="C31" s="49"/>
      <c r="D31" s="176">
        <v>49257394.354575098</v>
      </c>
      <c r="E31" s="175">
        <v>88.833899106791193</v>
      </c>
      <c r="F31" s="176"/>
      <c r="G31" s="176">
        <v>1396134.67720713</v>
      </c>
      <c r="H31" s="175">
        <v>2.7510944123441501</v>
      </c>
      <c r="I31" s="176"/>
      <c r="J31" s="176">
        <v>20865811.218409799</v>
      </c>
      <c r="K31" s="175">
        <v>41.172976615039801</v>
      </c>
      <c r="L31" s="176"/>
      <c r="M31" s="176">
        <v>37821184.264854297</v>
      </c>
      <c r="N31" s="175">
        <v>76.121152027200196</v>
      </c>
      <c r="O31" s="176"/>
      <c r="P31" s="176">
        <v>25996761.989406701</v>
      </c>
      <c r="Q31" s="175">
        <v>88.842983478068305</v>
      </c>
      <c r="R31" s="176"/>
      <c r="S31" s="176">
        <v>613940.98843663605</v>
      </c>
      <c r="T31" s="175">
        <v>2.2819569231398602</v>
      </c>
      <c r="U31" s="176"/>
      <c r="V31" s="176">
        <v>9882119.0569961499</v>
      </c>
      <c r="W31" s="175">
        <v>36.513164442939498</v>
      </c>
      <c r="X31" s="176"/>
      <c r="Y31" s="176">
        <v>20445108.2767874</v>
      </c>
      <c r="Z31" s="175">
        <v>77.755054466546497</v>
      </c>
      <c r="AA31" s="176"/>
      <c r="AB31" s="176">
        <v>22717217.2361468</v>
      </c>
      <c r="AC31" s="175">
        <v>88.024628886779695</v>
      </c>
      <c r="AD31" s="176"/>
      <c r="AE31" s="176">
        <v>669160.34439847199</v>
      </c>
      <c r="AF31" s="175">
        <v>2.82410433649614</v>
      </c>
      <c r="AG31" s="176"/>
      <c r="AH31" s="176">
        <v>10646386.7060853</v>
      </c>
      <c r="AI31" s="175">
        <v>45.465689097896401</v>
      </c>
      <c r="AJ31" s="176"/>
      <c r="AK31" s="176">
        <v>16895648.003740299</v>
      </c>
      <c r="AL31" s="175">
        <v>73.412926768486699</v>
      </c>
    </row>
    <row r="32" spans="2:38" s="68" customFormat="1" ht="45" customHeight="1" x14ac:dyDescent="0.25">
      <c r="B32" s="49" t="s">
        <v>11</v>
      </c>
      <c r="C32" s="49"/>
      <c r="D32" s="176">
        <v>40414573.196162097</v>
      </c>
      <c r="E32" s="175">
        <v>72.739877350394707</v>
      </c>
      <c r="F32" s="176"/>
      <c r="G32" s="176">
        <v>7677759.6603915403</v>
      </c>
      <c r="H32" s="175">
        <v>18.385490278821798</v>
      </c>
      <c r="I32" s="176"/>
      <c r="J32" s="176">
        <v>8022887.6159836799</v>
      </c>
      <c r="K32" s="175">
        <v>19.164530086459099</v>
      </c>
      <c r="L32" s="176"/>
      <c r="M32" s="176">
        <v>30695876.6150367</v>
      </c>
      <c r="N32" s="175">
        <v>75.259074154536606</v>
      </c>
      <c r="O32" s="176"/>
      <c r="P32" s="176">
        <v>20418610.824500699</v>
      </c>
      <c r="Q32" s="175">
        <v>69.578910734758907</v>
      </c>
      <c r="R32" s="176"/>
      <c r="S32" s="176">
        <v>3611765.8660643399</v>
      </c>
      <c r="T32" s="175">
        <v>16.969596078430801</v>
      </c>
      <c r="U32" s="176"/>
      <c r="V32" s="176">
        <v>3369051.9567211899</v>
      </c>
      <c r="W32" s="175">
        <v>15.7374861306269</v>
      </c>
      <c r="X32" s="176"/>
      <c r="Y32" s="176">
        <v>15813826.947249001</v>
      </c>
      <c r="Z32" s="175">
        <v>76.405574951806699</v>
      </c>
      <c r="AA32" s="176"/>
      <c r="AB32" s="176">
        <v>19531717.085303798</v>
      </c>
      <c r="AC32" s="175">
        <v>75.278413551690605</v>
      </c>
      <c r="AD32" s="176"/>
      <c r="AE32" s="176">
        <v>3861781.2011686899</v>
      </c>
      <c r="AF32" s="175">
        <v>19.013816635139399</v>
      </c>
      <c r="AG32" s="176"/>
      <c r="AH32" s="176">
        <v>4428476.6299555004</v>
      </c>
      <c r="AI32" s="175">
        <v>21.829586306443701</v>
      </c>
      <c r="AJ32" s="176"/>
      <c r="AK32" s="176">
        <v>14489787.9717163</v>
      </c>
      <c r="AL32" s="175">
        <v>73.216411749074993</v>
      </c>
    </row>
    <row r="33" spans="2:38" s="68" customFormat="1" ht="45" customHeight="1" x14ac:dyDescent="0.25">
      <c r="B33" s="49" t="s">
        <v>41</v>
      </c>
      <c r="C33" s="49"/>
      <c r="D33" s="176">
        <v>36063260.749496497</v>
      </c>
      <c r="E33" s="175">
        <v>64.787488715509895</v>
      </c>
      <c r="F33" s="176"/>
      <c r="G33" s="176">
        <v>4260047.7196209002</v>
      </c>
      <c r="H33" s="175">
        <v>11.3722264932141</v>
      </c>
      <c r="I33" s="176"/>
      <c r="J33" s="176">
        <v>4906213.4489750797</v>
      </c>
      <c r="K33" s="175">
        <v>13.0642883943875</v>
      </c>
      <c r="L33" s="176"/>
      <c r="M33" s="176">
        <v>31915609.0701335</v>
      </c>
      <c r="N33" s="175">
        <v>87.824064504906403</v>
      </c>
      <c r="O33" s="176"/>
      <c r="P33" s="176">
        <v>19680954.831145599</v>
      </c>
      <c r="Q33" s="175">
        <v>67.037296303720893</v>
      </c>
      <c r="R33" s="176"/>
      <c r="S33" s="176">
        <v>1936500.3226751699</v>
      </c>
      <c r="T33" s="175">
        <v>9.3710571185107892</v>
      </c>
      <c r="U33" s="176"/>
      <c r="V33" s="176">
        <v>2224932.10167439</v>
      </c>
      <c r="W33" s="175">
        <v>10.751647409886299</v>
      </c>
      <c r="X33" s="176"/>
      <c r="Y33" s="176">
        <v>17892369.127740402</v>
      </c>
      <c r="Z33" s="175">
        <v>90.050192309302602</v>
      </c>
      <c r="AA33" s="176"/>
      <c r="AB33" s="176">
        <v>15898775.901175501</v>
      </c>
      <c r="AC33" s="175">
        <v>61.242527308866897</v>
      </c>
      <c r="AD33" s="176"/>
      <c r="AE33" s="176">
        <v>2178084.1148956702</v>
      </c>
      <c r="AF33" s="175">
        <v>13.0255262732541</v>
      </c>
      <c r="AG33" s="176"/>
      <c r="AH33" s="176">
        <v>2519207.38730491</v>
      </c>
      <c r="AI33" s="175">
        <v>15.080486902414799</v>
      </c>
      <c r="AJ33" s="176"/>
      <c r="AK33" s="176">
        <v>13571000.7501422</v>
      </c>
      <c r="AL33" s="175">
        <v>84.314203394924306</v>
      </c>
    </row>
    <row r="34" spans="2:38" s="68" customFormat="1" ht="45" customHeight="1" x14ac:dyDescent="0.25">
      <c r="B34" s="49" t="s">
        <v>71</v>
      </c>
      <c r="C34" s="49"/>
      <c r="D34" s="176">
        <v>19118116.330812801</v>
      </c>
      <c r="E34" s="175">
        <v>34.050631795140298</v>
      </c>
      <c r="F34" s="176"/>
      <c r="G34" s="176">
        <v>10986976.6893657</v>
      </c>
      <c r="H34" s="175">
        <v>56.068331196952002</v>
      </c>
      <c r="I34" s="176"/>
      <c r="J34" s="176">
        <v>6482066.5707564196</v>
      </c>
      <c r="K34" s="175">
        <v>32.631586745980897</v>
      </c>
      <c r="L34" s="176"/>
      <c r="M34" s="176">
        <v>3622533.3466646802</v>
      </c>
      <c r="N34" s="175">
        <v>18.416678352502402</v>
      </c>
      <c r="O34" s="176"/>
      <c r="P34" s="176">
        <v>9064930.9538092799</v>
      </c>
      <c r="Q34" s="175">
        <v>30.474460714713501</v>
      </c>
      <c r="R34" s="176"/>
      <c r="S34" s="176">
        <v>5379230.8102593496</v>
      </c>
      <c r="T34" s="175">
        <v>57.455203763514398</v>
      </c>
      <c r="U34" s="176"/>
      <c r="V34" s="176">
        <v>2695872.6573639102</v>
      </c>
      <c r="W34" s="175">
        <v>28.320984508289001</v>
      </c>
      <c r="X34" s="176"/>
      <c r="Y34" s="176">
        <v>1676113.5947030899</v>
      </c>
      <c r="Z34" s="175">
        <v>17.671522301706698</v>
      </c>
      <c r="AA34" s="176"/>
      <c r="AB34" s="176">
        <v>9738792.0778049007</v>
      </c>
      <c r="AC34" s="175">
        <v>37.1291355094747</v>
      </c>
      <c r="AD34" s="176"/>
      <c r="AE34" s="176">
        <v>5342160.1361662103</v>
      </c>
      <c r="AF34" s="175">
        <v>53.061022193574203</v>
      </c>
      <c r="AG34" s="176"/>
      <c r="AH34" s="176">
        <v>3590757.0835106</v>
      </c>
      <c r="AI34" s="175">
        <v>35.131689408996898</v>
      </c>
      <c r="AJ34" s="176"/>
      <c r="AK34" s="176">
        <v>1785672.9745393801</v>
      </c>
      <c r="AL34" s="175">
        <v>17.712016579922501</v>
      </c>
    </row>
    <row r="35" spans="2:38" ht="6.95" customHeight="1" x14ac:dyDescent="0.25">
      <c r="B35" s="12"/>
      <c r="C35" s="12"/>
      <c r="D35" s="113"/>
      <c r="E35" s="13"/>
      <c r="F35" s="13"/>
      <c r="G35" s="113"/>
      <c r="H35" s="13"/>
      <c r="I35" s="13"/>
      <c r="J35" s="113"/>
      <c r="K35" s="13"/>
      <c r="L35" s="13"/>
      <c r="M35" s="113"/>
      <c r="N35" s="13"/>
      <c r="O35" s="13"/>
      <c r="P35" s="122"/>
      <c r="Q35" s="23"/>
      <c r="R35" s="23"/>
      <c r="S35" s="122"/>
      <c r="T35" s="23"/>
      <c r="U35" s="23"/>
      <c r="V35" s="122"/>
      <c r="W35" s="23"/>
      <c r="X35" s="23"/>
      <c r="Y35" s="122"/>
      <c r="Z35" s="23"/>
      <c r="AA35" s="23"/>
      <c r="AB35" s="122"/>
      <c r="AC35" s="23"/>
      <c r="AD35" s="23"/>
      <c r="AE35" s="122"/>
      <c r="AF35" s="23"/>
      <c r="AG35" s="23"/>
      <c r="AH35" s="122"/>
      <c r="AI35" s="23"/>
      <c r="AJ35" s="23"/>
      <c r="AK35" s="122"/>
      <c r="AL35" s="23"/>
    </row>
    <row r="36" spans="2:38" ht="6.95" customHeight="1" x14ac:dyDescent="0.25">
      <c r="B36" s="9"/>
      <c r="C36" s="9"/>
      <c r="D36" s="114"/>
      <c r="E36" s="8"/>
      <c r="F36" s="8"/>
      <c r="G36" s="114"/>
      <c r="H36" s="8"/>
      <c r="I36" s="8"/>
      <c r="J36" s="114"/>
      <c r="K36" s="8"/>
      <c r="L36" s="8"/>
      <c r="M36" s="114"/>
      <c r="N36" s="8"/>
      <c r="O36" s="8"/>
    </row>
    <row r="37" spans="2:38" ht="12" customHeight="1" x14ac:dyDescent="0.25">
      <c r="B37" s="89" t="s">
        <v>35</v>
      </c>
      <c r="C37" s="89"/>
      <c r="D37" s="135"/>
      <c r="E37" s="15"/>
      <c r="F37" s="15"/>
      <c r="G37" s="135"/>
      <c r="H37" s="15"/>
      <c r="I37" s="15"/>
      <c r="J37" s="135"/>
      <c r="K37" s="15"/>
      <c r="L37" s="15"/>
      <c r="M37" s="137"/>
      <c r="N37" s="16"/>
      <c r="O37" s="16"/>
    </row>
    <row r="38" spans="2:38" ht="12" customHeight="1" x14ac:dyDescent="0.25">
      <c r="B38" s="89" t="s">
        <v>36</v>
      </c>
      <c r="C38" s="89"/>
      <c r="D38" s="136"/>
      <c r="E38" s="17"/>
      <c r="F38" s="17"/>
      <c r="G38" s="136"/>
      <c r="H38" s="17"/>
      <c r="I38" s="17"/>
      <c r="J38" s="136"/>
      <c r="K38" s="17"/>
      <c r="L38" s="17"/>
      <c r="M38" s="136"/>
      <c r="N38" s="18"/>
      <c r="O38" s="18"/>
    </row>
    <row r="39" spans="2:38" ht="12" customHeight="1" x14ac:dyDescent="0.25">
      <c r="B39" s="210" t="s">
        <v>65</v>
      </c>
      <c r="C39" s="210"/>
      <c r="D39" s="210"/>
      <c r="E39" s="210"/>
      <c r="F39" s="210"/>
      <c r="G39" s="210"/>
      <c r="H39" s="19"/>
      <c r="I39" s="19"/>
      <c r="J39" s="115"/>
      <c r="K39" s="19"/>
      <c r="L39" s="19"/>
      <c r="M39" s="115"/>
      <c r="N39" s="2"/>
      <c r="O39" s="2"/>
    </row>
  </sheetData>
  <mergeCells count="20">
    <mergeCell ref="AK9:AL9"/>
    <mergeCell ref="V9:W9"/>
    <mergeCell ref="Y9:Z9"/>
    <mergeCell ref="AB7:AL7"/>
    <mergeCell ref="AB8:AC9"/>
    <mergeCell ref="AE8:AL8"/>
    <mergeCell ref="AE9:AF9"/>
    <mergeCell ref="B39:G39"/>
    <mergeCell ref="G9:H9"/>
    <mergeCell ref="J9:K9"/>
    <mergeCell ref="M9:N9"/>
    <mergeCell ref="AH9:AI9"/>
    <mergeCell ref="S9:T9"/>
    <mergeCell ref="B7:B10"/>
    <mergeCell ref="D7:N7"/>
    <mergeCell ref="P7:Z7"/>
    <mergeCell ref="P8:Q9"/>
    <mergeCell ref="S8:Z8"/>
    <mergeCell ref="D8:E9"/>
    <mergeCell ref="G8:N8"/>
  </mergeCells>
  <hyperlinks>
    <hyperlink ref="AL1" location="Índice!A1" tooltip="Ir a ÍNDICE" display="INDICE" xr:uid="{CB45AA25-6EB0-4D8C-86BF-D9A96BE3C449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D7BA-F617-409E-903D-47A4258E952A}">
  <dimension ref="B1:K27"/>
  <sheetViews>
    <sheetView showGridLines="0" zoomScaleNormal="100" workbookViewId="0">
      <selection activeCell="B1" sqref="B1"/>
    </sheetView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82</v>
      </c>
      <c r="C5" s="221"/>
      <c r="D5" s="221"/>
      <c r="E5" s="221"/>
      <c r="F5" s="221"/>
      <c r="G5" s="221"/>
      <c r="H5" s="221"/>
      <c r="I5" s="27"/>
      <c r="J5" s="129"/>
      <c r="K5" s="52" t="s">
        <v>46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72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ht="15" customHeight="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85074250.450445905</v>
      </c>
      <c r="E11" s="174">
        <v>100</v>
      </c>
      <c r="F11" s="173"/>
      <c r="G11" s="173">
        <v>45189093.536525302</v>
      </c>
      <c r="H11" s="174">
        <v>100</v>
      </c>
      <c r="I11" s="173"/>
      <c r="J11" s="173">
        <v>38949471.211108603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30" customHeight="1" x14ac:dyDescent="0.25">
      <c r="B13" s="154" t="s">
        <v>68</v>
      </c>
      <c r="C13" s="56"/>
      <c r="D13" s="176">
        <v>31279917.184666701</v>
      </c>
      <c r="E13" s="175">
        <v>36.233023800250599</v>
      </c>
      <c r="F13" s="173"/>
      <c r="G13" s="176">
        <v>15216071.3685908</v>
      </c>
      <c r="H13" s="175">
        <v>32.954031531439199</v>
      </c>
      <c r="I13" s="173"/>
      <c r="J13" s="176">
        <v>15624045.6450465</v>
      </c>
      <c r="K13" s="175">
        <v>39.246745017015698</v>
      </c>
    </row>
    <row r="14" spans="2:11" ht="30" customHeight="1" x14ac:dyDescent="0.25">
      <c r="B14" s="154" t="s">
        <v>48</v>
      </c>
      <c r="C14" s="58"/>
      <c r="D14" s="176">
        <v>52767621.950451799</v>
      </c>
      <c r="E14" s="175">
        <v>61.443084269575799</v>
      </c>
      <c r="F14" s="173"/>
      <c r="G14" s="176">
        <v>29369127.921605699</v>
      </c>
      <c r="H14" s="175">
        <v>64.156337970513604</v>
      </c>
      <c r="I14" s="173"/>
      <c r="J14" s="176">
        <v>22737973.919358101</v>
      </c>
      <c r="K14" s="175">
        <v>57.515485225262701</v>
      </c>
    </row>
    <row r="15" spans="2:11" ht="6.95" customHeight="1" x14ac:dyDescent="0.25">
      <c r="B15" s="151"/>
      <c r="C15" s="32"/>
      <c r="D15" s="173"/>
      <c r="E15" s="177"/>
      <c r="F15" s="178"/>
      <c r="G15" s="173"/>
      <c r="H15" s="177"/>
      <c r="I15" s="177"/>
      <c r="J15" s="173"/>
      <c r="K15" s="177"/>
    </row>
    <row r="16" spans="2:11" x14ac:dyDescent="0.25">
      <c r="B16" s="152" t="s">
        <v>6</v>
      </c>
      <c r="C16" s="98"/>
      <c r="D16" s="173">
        <v>27919808.370060898</v>
      </c>
      <c r="E16" s="174">
        <v>100</v>
      </c>
      <c r="F16" s="173"/>
      <c r="G16" s="173">
        <v>15147712.0036007</v>
      </c>
      <c r="H16" s="174">
        <v>100</v>
      </c>
      <c r="I16" s="173"/>
      <c r="J16" s="173">
        <v>12466861.324348001</v>
      </c>
      <c r="K16" s="174">
        <v>100</v>
      </c>
    </row>
    <row r="17" spans="2:11" ht="6.95" customHeight="1" x14ac:dyDescent="0.25">
      <c r="B17" s="152"/>
      <c r="C17" s="98"/>
      <c r="D17" s="173"/>
      <c r="E17" s="175"/>
      <c r="F17" s="173"/>
      <c r="G17" s="173"/>
      <c r="H17" s="175"/>
      <c r="I17" s="176"/>
      <c r="J17" s="173"/>
      <c r="K17" s="175"/>
    </row>
    <row r="18" spans="2:11" ht="30" customHeight="1" x14ac:dyDescent="0.25">
      <c r="B18" s="154" t="s">
        <v>68</v>
      </c>
      <c r="C18" s="56"/>
      <c r="D18" s="176">
        <v>5821222.3559944499</v>
      </c>
      <c r="E18" s="175">
        <v>20.2462391017195</v>
      </c>
      <c r="F18" s="173"/>
      <c r="G18" s="176">
        <v>2893738.2148985402</v>
      </c>
      <c r="H18" s="175">
        <v>18.400271983925901</v>
      </c>
      <c r="I18" s="173"/>
      <c r="J18" s="176">
        <v>2776186.6698070499</v>
      </c>
      <c r="K18" s="175">
        <v>21.469815066949899</v>
      </c>
    </row>
    <row r="19" spans="2:11" ht="30" customHeight="1" x14ac:dyDescent="0.25">
      <c r="B19" s="154" t="s">
        <v>48</v>
      </c>
      <c r="C19" s="56"/>
      <c r="D19" s="176">
        <v>21639839.767007802</v>
      </c>
      <c r="E19" s="175">
        <v>74.972999372650705</v>
      </c>
      <c r="F19" s="173"/>
      <c r="G19" s="176">
        <v>11935783.070584999</v>
      </c>
      <c r="H19" s="175">
        <v>76.058371372827807</v>
      </c>
      <c r="I19" s="173"/>
      <c r="J19" s="176">
        <v>9428122.2371915802</v>
      </c>
      <c r="K19" s="175">
        <v>72.657785600124697</v>
      </c>
    </row>
    <row r="20" spans="2:11" ht="7.5" customHeight="1" x14ac:dyDescent="0.25">
      <c r="B20" s="153"/>
      <c r="C20" s="59"/>
      <c r="D20" s="173"/>
      <c r="E20" s="177"/>
      <c r="F20" s="178"/>
      <c r="G20" s="173"/>
      <c r="H20" s="177"/>
      <c r="I20" s="177"/>
      <c r="J20" s="173"/>
      <c r="K20" s="177"/>
    </row>
    <row r="21" spans="2:11" x14ac:dyDescent="0.25">
      <c r="B21" s="152" t="s">
        <v>7</v>
      </c>
      <c r="C21" s="98"/>
      <c r="D21" s="173">
        <v>54724471.783623897</v>
      </c>
      <c r="E21" s="174">
        <v>100</v>
      </c>
      <c r="F21" s="173"/>
      <c r="G21" s="173">
        <v>28733115.775626201</v>
      </c>
      <c r="H21" s="174">
        <v>100</v>
      </c>
      <c r="I21" s="173"/>
      <c r="J21" s="173">
        <v>25428611.494824</v>
      </c>
      <c r="K21" s="174">
        <v>100</v>
      </c>
    </row>
    <row r="22" spans="2:11" ht="7.5" customHeight="1" x14ac:dyDescent="0.25">
      <c r="B22" s="152"/>
      <c r="C22" s="98"/>
      <c r="D22" s="173"/>
      <c r="E22" s="175"/>
      <c r="F22" s="173"/>
      <c r="G22" s="173"/>
      <c r="H22" s="175"/>
      <c r="I22" s="176"/>
      <c r="J22" s="173"/>
      <c r="K22" s="175"/>
    </row>
    <row r="23" spans="2:11" ht="30" customHeight="1" x14ac:dyDescent="0.25">
      <c r="B23" s="154" t="s">
        <v>68</v>
      </c>
      <c r="C23" s="98"/>
      <c r="D23" s="176">
        <v>24549739.01441</v>
      </c>
      <c r="E23" s="175">
        <v>43.719217973035597</v>
      </c>
      <c r="F23" s="173"/>
      <c r="G23" s="176">
        <v>11814454.309326399</v>
      </c>
      <c r="H23" s="175">
        <v>39.767826988529002</v>
      </c>
      <c r="I23" s="173"/>
      <c r="J23" s="176">
        <v>12388984.1677773</v>
      </c>
      <c r="K23" s="175">
        <v>47.210344574288897</v>
      </c>
    </row>
    <row r="24" spans="2:11" ht="30" customHeight="1" x14ac:dyDescent="0.25">
      <c r="B24" s="154" t="s">
        <v>48</v>
      </c>
      <c r="C24" s="98"/>
      <c r="D24" s="176">
        <v>29583753.762119502</v>
      </c>
      <c r="E24" s="175">
        <v>53.371498647987202</v>
      </c>
      <c r="F24" s="173"/>
      <c r="G24" s="176">
        <v>16536098.618426999</v>
      </c>
      <c r="H24" s="175">
        <v>56.6147880605862</v>
      </c>
      <c r="I24" s="173"/>
      <c r="J24" s="176">
        <v>12617296.6575805</v>
      </c>
      <c r="K24" s="175">
        <v>48.707458568010701</v>
      </c>
    </row>
    <row r="25" spans="2:11" ht="6.95" customHeight="1" x14ac:dyDescent="0.25">
      <c r="B25" s="33"/>
      <c r="C25" s="33"/>
      <c r="D25" s="179"/>
      <c r="E25" s="179"/>
      <c r="F25" s="179"/>
      <c r="G25" s="179"/>
      <c r="H25" s="180"/>
      <c r="I25" s="180"/>
      <c r="J25" s="180"/>
      <c r="K25" s="179"/>
    </row>
    <row r="26" spans="2:11" ht="6.95" customHeight="1" x14ac:dyDescent="0.25">
      <c r="B26" s="31"/>
      <c r="C26" s="31"/>
      <c r="D26" s="127"/>
      <c r="E26" s="37"/>
      <c r="F26" s="37"/>
      <c r="G26" s="127"/>
      <c r="H26" s="31"/>
      <c r="I26" s="31"/>
      <c r="J26" s="131"/>
      <c r="K26" s="30"/>
    </row>
    <row r="27" spans="2:11" ht="12" customHeight="1" x14ac:dyDescent="0.25">
      <c r="B27" s="210" t="s">
        <v>65</v>
      </c>
      <c r="C27" s="210"/>
      <c r="D27" s="210"/>
      <c r="E27" s="210"/>
      <c r="F27" s="210"/>
      <c r="G27" s="210"/>
    </row>
  </sheetData>
  <mergeCells count="7">
    <mergeCell ref="B27:G27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15B60B65-49F8-452E-8A40-3635C0A70AF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BD8A-C208-4E17-B321-6282AD960246}">
  <dimension ref="B1:K39"/>
  <sheetViews>
    <sheetView showGridLines="0" zoomScaleNormal="100" workbookViewId="0">
      <selection activeCell="B1" sqref="B1"/>
    </sheetView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81</v>
      </c>
      <c r="C5" s="221"/>
      <c r="D5" s="221"/>
      <c r="E5" s="221"/>
      <c r="F5" s="221"/>
      <c r="G5" s="221"/>
      <c r="H5" s="221"/>
      <c r="I5" s="27"/>
      <c r="J5" s="129"/>
      <c r="K5" s="52" t="s">
        <v>49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73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85074250.450445905</v>
      </c>
      <c r="E11" s="174">
        <v>100</v>
      </c>
      <c r="F11" s="173"/>
      <c r="G11" s="173">
        <v>45189093.536525302</v>
      </c>
      <c r="H11" s="174">
        <v>100</v>
      </c>
      <c r="I11" s="173"/>
      <c r="J11" s="173">
        <v>38949471.211108603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15" customHeight="1" x14ac:dyDescent="0.25">
      <c r="B13" s="57" t="s">
        <v>74</v>
      </c>
      <c r="C13" s="31"/>
      <c r="D13" s="176">
        <v>38237761.386709101</v>
      </c>
      <c r="E13" s="175">
        <v>44.337132851755896</v>
      </c>
      <c r="F13" s="173"/>
      <c r="G13" s="176">
        <v>18897914.222686298</v>
      </c>
      <c r="H13" s="175">
        <v>41.012987746187697</v>
      </c>
      <c r="I13" s="173"/>
      <c r="J13" s="176">
        <v>18813032.443675999</v>
      </c>
      <c r="K13" s="175">
        <v>47.273607798192501</v>
      </c>
    </row>
    <row r="14" spans="2:11" ht="15" customHeight="1" x14ac:dyDescent="0.25">
      <c r="B14" s="154" t="s">
        <v>52</v>
      </c>
      <c r="C14" s="56"/>
      <c r="D14" s="176">
        <v>26067496.5962204</v>
      </c>
      <c r="E14" s="175">
        <v>30.216248802782101</v>
      </c>
      <c r="F14" s="173"/>
      <c r="G14" s="176">
        <v>14111373.7213539</v>
      </c>
      <c r="H14" s="175">
        <v>30.606486691209099</v>
      </c>
      <c r="I14" s="173"/>
      <c r="J14" s="176">
        <v>11439014.8756132</v>
      </c>
      <c r="K14" s="175">
        <v>28.797185034473301</v>
      </c>
    </row>
    <row r="15" spans="2:11" ht="15" customHeight="1" x14ac:dyDescent="0.25">
      <c r="B15" s="154" t="s">
        <v>53</v>
      </c>
      <c r="C15" s="58"/>
      <c r="D15" s="176">
        <v>7785556.1189725604</v>
      </c>
      <c r="E15" s="175">
        <v>9.0343604489042892</v>
      </c>
      <c r="F15" s="173"/>
      <c r="G15" s="176">
        <v>4341350.8673764402</v>
      </c>
      <c r="H15" s="175">
        <v>9.3988358424897402</v>
      </c>
      <c r="I15" s="173"/>
      <c r="J15" s="176">
        <v>3258042.0009635999</v>
      </c>
      <c r="K15" s="175">
        <v>8.18634205367802</v>
      </c>
    </row>
    <row r="16" spans="2:11" ht="15" customHeight="1" x14ac:dyDescent="0.25">
      <c r="B16" s="154" t="s">
        <v>54</v>
      </c>
      <c r="C16" s="58"/>
      <c r="D16" s="176">
        <v>6911674.1304686097</v>
      </c>
      <c r="E16" s="175">
        <v>8.0060838382802295</v>
      </c>
      <c r="F16" s="173"/>
      <c r="G16" s="176">
        <v>4205620.5307911104</v>
      </c>
      <c r="H16" s="175">
        <v>9.0980836577282993</v>
      </c>
      <c r="I16" s="173"/>
      <c r="J16" s="176">
        <v>2533890.3066201298</v>
      </c>
      <c r="K16" s="175">
        <v>6.3451327488312996</v>
      </c>
    </row>
    <row r="17" spans="2:11" ht="15" customHeight="1" x14ac:dyDescent="0.25">
      <c r="B17" s="154" t="s">
        <v>60</v>
      </c>
      <c r="C17" s="58"/>
      <c r="D17" s="176">
        <v>3600528.63689243</v>
      </c>
      <c r="E17" s="175">
        <v>4.1594114386233301</v>
      </c>
      <c r="F17" s="173"/>
      <c r="G17" s="176">
        <v>1977364.2366011101</v>
      </c>
      <c r="H17" s="175">
        <v>4.25822789501784</v>
      </c>
      <c r="I17" s="173"/>
      <c r="J17" s="176">
        <v>1496939.93353794</v>
      </c>
      <c r="K17" s="175">
        <v>3.7417387823589499</v>
      </c>
    </row>
    <row r="18" spans="2:11" ht="6.95" customHeight="1" x14ac:dyDescent="0.25">
      <c r="B18" s="151"/>
      <c r="C18" s="32"/>
      <c r="D18" s="173"/>
      <c r="E18" s="177"/>
      <c r="F18" s="178"/>
      <c r="G18" s="173"/>
      <c r="H18" s="177"/>
      <c r="I18" s="177"/>
      <c r="J18" s="173"/>
      <c r="K18" s="177"/>
    </row>
    <row r="19" spans="2:11" ht="15" customHeight="1" x14ac:dyDescent="0.25">
      <c r="B19" s="152" t="s">
        <v>6</v>
      </c>
      <c r="C19" s="98"/>
      <c r="D19" s="173">
        <v>27919808.370060898</v>
      </c>
      <c r="E19" s="174">
        <v>100</v>
      </c>
      <c r="F19" s="173"/>
      <c r="G19" s="173">
        <v>15147712.0036007</v>
      </c>
      <c r="H19" s="174">
        <v>100</v>
      </c>
      <c r="I19" s="173"/>
      <c r="J19" s="173">
        <v>12466861.324348001</v>
      </c>
      <c r="K19" s="174">
        <v>100</v>
      </c>
    </row>
    <row r="20" spans="2:11" ht="6.95" customHeight="1" x14ac:dyDescent="0.25">
      <c r="B20" s="152"/>
      <c r="C20" s="98"/>
      <c r="D20" s="173"/>
      <c r="E20" s="175"/>
      <c r="F20" s="173"/>
      <c r="G20" s="173"/>
      <c r="H20" s="175"/>
      <c r="I20" s="176"/>
      <c r="J20" s="173"/>
      <c r="K20" s="175"/>
    </row>
    <row r="21" spans="2:11" ht="15" customHeight="1" x14ac:dyDescent="0.25">
      <c r="B21" s="57" t="s">
        <v>74</v>
      </c>
      <c r="C21" s="98"/>
      <c r="D21" s="176">
        <v>6575304.0056717396</v>
      </c>
      <c r="E21" s="175">
        <v>22.826151526690101</v>
      </c>
      <c r="F21" s="173"/>
      <c r="G21" s="176">
        <v>3175844.2220747001</v>
      </c>
      <c r="H21" s="175">
        <v>20.1350663062024</v>
      </c>
      <c r="I21" s="173"/>
      <c r="J21" s="176">
        <v>3208716.0810454302</v>
      </c>
      <c r="K21" s="175">
        <v>24.631843895528402</v>
      </c>
    </row>
    <row r="22" spans="2:11" ht="15" customHeight="1" x14ac:dyDescent="0.25">
      <c r="B22" s="154" t="s">
        <v>52</v>
      </c>
      <c r="C22" s="98"/>
      <c r="D22" s="176">
        <v>9079748.0623950604</v>
      </c>
      <c r="E22" s="175">
        <v>31.3899380243401</v>
      </c>
      <c r="F22" s="173"/>
      <c r="G22" s="176">
        <v>4778996.5786635401</v>
      </c>
      <c r="H22" s="175">
        <v>30.2823551604078</v>
      </c>
      <c r="I22" s="173"/>
      <c r="J22" s="176">
        <v>4052086.4253811999</v>
      </c>
      <c r="K22" s="175">
        <v>30.9467614458272</v>
      </c>
    </row>
    <row r="23" spans="2:11" ht="15" customHeight="1" x14ac:dyDescent="0.25">
      <c r="B23" s="154" t="s">
        <v>53</v>
      </c>
      <c r="C23" s="98"/>
      <c r="D23" s="176">
        <v>3768600.25516144</v>
      </c>
      <c r="E23" s="175">
        <v>12.954296406555301</v>
      </c>
      <c r="F23" s="173"/>
      <c r="G23" s="176">
        <v>2003121.9583666399</v>
      </c>
      <c r="H23" s="175">
        <v>12.5358898905438</v>
      </c>
      <c r="I23" s="173"/>
      <c r="J23" s="176">
        <v>1660782.0400920101</v>
      </c>
      <c r="K23" s="175">
        <v>12.7149775267794</v>
      </c>
    </row>
    <row r="24" spans="2:11" ht="15" customHeight="1" x14ac:dyDescent="0.25">
      <c r="B24" s="154" t="s">
        <v>54</v>
      </c>
      <c r="C24" s="56"/>
      <c r="D24" s="176">
        <v>5378044.0836722003</v>
      </c>
      <c r="E24" s="175">
        <v>18.0654354544596</v>
      </c>
      <c r="F24" s="173"/>
      <c r="G24" s="176">
        <v>3282729.52166072</v>
      </c>
      <c r="H24" s="175">
        <v>20.3180981209251</v>
      </c>
      <c r="I24" s="173"/>
      <c r="J24" s="176">
        <v>1963862.30049118</v>
      </c>
      <c r="K24" s="175">
        <v>14.5915531986579</v>
      </c>
    </row>
    <row r="25" spans="2:11" ht="15" customHeight="1" x14ac:dyDescent="0.25">
      <c r="B25" s="154" t="s">
        <v>60</v>
      </c>
      <c r="C25" s="56"/>
      <c r="D25" s="176">
        <v>1735652.9108790101</v>
      </c>
      <c r="E25" s="175">
        <v>5.8381805515571301</v>
      </c>
      <c r="F25" s="173"/>
      <c r="G25" s="176">
        <v>926765.99402995198</v>
      </c>
      <c r="H25" s="175">
        <v>5.6788874371495002</v>
      </c>
      <c r="I25" s="173"/>
      <c r="J25" s="176">
        <v>735224.73384128499</v>
      </c>
      <c r="K25" s="175">
        <v>5.5053772771432898</v>
      </c>
    </row>
    <row r="26" spans="2:11" ht="6.95" customHeight="1" x14ac:dyDescent="0.25">
      <c r="B26" s="153"/>
      <c r="C26" s="59"/>
      <c r="D26" s="173"/>
      <c r="E26" s="177"/>
      <c r="F26" s="178"/>
      <c r="G26" s="173"/>
      <c r="H26" s="177"/>
      <c r="I26" s="177"/>
      <c r="J26" s="173"/>
      <c r="K26" s="177"/>
    </row>
    <row r="27" spans="2:11" x14ac:dyDescent="0.25">
      <c r="B27" s="152" t="s">
        <v>7</v>
      </c>
      <c r="C27" s="98"/>
      <c r="D27" s="173">
        <v>54724471.783623897</v>
      </c>
      <c r="E27" s="174">
        <v>100</v>
      </c>
      <c r="F27" s="173"/>
      <c r="G27" s="173">
        <v>28733115.775626201</v>
      </c>
      <c r="H27" s="174">
        <v>100</v>
      </c>
      <c r="I27" s="173"/>
      <c r="J27" s="173">
        <v>25428611.494824</v>
      </c>
      <c r="K27" s="174">
        <v>100</v>
      </c>
    </row>
    <row r="28" spans="2:11" ht="7.5" customHeight="1" x14ac:dyDescent="0.25">
      <c r="B28" s="152"/>
      <c r="C28" s="98"/>
      <c r="D28" s="173"/>
      <c r="E28" s="175"/>
      <c r="F28" s="173"/>
      <c r="G28" s="173"/>
      <c r="H28" s="175"/>
      <c r="I28" s="176"/>
      <c r="J28" s="173"/>
      <c r="K28" s="175"/>
    </row>
    <row r="29" spans="2:11" ht="15" customHeight="1" x14ac:dyDescent="0.25">
      <c r="B29" s="57" t="s">
        <v>74</v>
      </c>
      <c r="C29" s="98"/>
      <c r="D29" s="176">
        <v>30767980.1125555</v>
      </c>
      <c r="E29" s="175">
        <v>54.747938980611899</v>
      </c>
      <c r="F29" s="173"/>
      <c r="G29" s="176">
        <v>15222044.004850101</v>
      </c>
      <c r="H29" s="175">
        <v>51.1677640465224</v>
      </c>
      <c r="I29" s="173"/>
      <c r="J29" s="176">
        <v>15120157.604594599</v>
      </c>
      <c r="K29" s="175">
        <v>57.8013162435523</v>
      </c>
    </row>
    <row r="30" spans="2:11" ht="15" customHeight="1" x14ac:dyDescent="0.25">
      <c r="B30" s="154" t="s">
        <v>52</v>
      </c>
      <c r="C30" s="98"/>
      <c r="D30" s="176">
        <v>16068387.9299937</v>
      </c>
      <c r="E30" s="175">
        <v>28.868724396871599</v>
      </c>
      <c r="F30" s="173"/>
      <c r="G30" s="176">
        <v>8764562.0253302194</v>
      </c>
      <c r="H30" s="175">
        <v>29.745786830297099</v>
      </c>
      <c r="I30" s="173"/>
      <c r="J30" s="176">
        <v>6965576.9217820698</v>
      </c>
      <c r="K30" s="175">
        <v>26.773262802269599</v>
      </c>
    </row>
    <row r="31" spans="2:11" ht="15" customHeight="1" x14ac:dyDescent="0.25">
      <c r="B31" s="154" t="s">
        <v>53</v>
      </c>
      <c r="C31" s="98"/>
      <c r="D31" s="176">
        <v>3624948.1954765301</v>
      </c>
      <c r="E31" s="175">
        <v>6.4745161641784099</v>
      </c>
      <c r="F31" s="173"/>
      <c r="G31" s="176">
        <v>2086856.70437045</v>
      </c>
      <c r="H31" s="175">
        <v>7.0433302675595</v>
      </c>
      <c r="I31" s="173"/>
      <c r="J31" s="176">
        <v>1403053.36529589</v>
      </c>
      <c r="K31" s="175">
        <v>5.3294074104682299</v>
      </c>
    </row>
    <row r="32" spans="2:11" ht="15" customHeight="1" x14ac:dyDescent="0.25">
      <c r="B32" s="154" t="s">
        <v>54</v>
      </c>
      <c r="C32" s="98"/>
      <c r="D32" s="176">
        <v>1254174.8310849201</v>
      </c>
      <c r="E32" s="175">
        <v>2.2426471389867499</v>
      </c>
      <c r="F32" s="173"/>
      <c r="G32" s="176">
        <v>719020.78764477698</v>
      </c>
      <c r="H32" s="175">
        <v>2.4385470110185499</v>
      </c>
      <c r="I32" s="173"/>
      <c r="J32" s="176">
        <v>427388.897070607</v>
      </c>
      <c r="K32" s="175">
        <v>1.6216219621532999</v>
      </c>
    </row>
    <row r="33" spans="2:11" ht="15" customHeight="1" x14ac:dyDescent="0.25">
      <c r="B33" s="154" t="s">
        <v>60</v>
      </c>
      <c r="C33" s="98"/>
      <c r="D33" s="176">
        <v>1652589.82560386</v>
      </c>
      <c r="E33" s="175">
        <v>2.9226655841729898</v>
      </c>
      <c r="F33" s="173"/>
      <c r="G33" s="176">
        <v>912090.663004364</v>
      </c>
      <c r="H33" s="175">
        <v>3.0373933076617199</v>
      </c>
      <c r="I33" s="173"/>
      <c r="J33" s="176">
        <v>631599.57144979702</v>
      </c>
      <c r="K33" s="175">
        <v>2.3916967673014402</v>
      </c>
    </row>
    <row r="34" spans="2:11" ht="7.5" customHeight="1" x14ac:dyDescent="0.25">
      <c r="B34" s="33"/>
      <c r="C34" s="33"/>
      <c r="D34" s="179"/>
      <c r="E34" s="179"/>
      <c r="F34" s="179"/>
      <c r="G34" s="179"/>
      <c r="H34" s="180"/>
      <c r="I34" s="180"/>
      <c r="J34" s="180"/>
      <c r="K34" s="179"/>
    </row>
    <row r="35" spans="2:11" ht="6.95" customHeight="1" x14ac:dyDescent="0.25">
      <c r="B35" s="31"/>
      <c r="C35" s="31"/>
      <c r="D35" s="127"/>
      <c r="E35" s="37"/>
      <c r="F35" s="37"/>
      <c r="G35" s="127"/>
      <c r="H35" s="31"/>
      <c r="I35" s="31"/>
      <c r="J35" s="131"/>
      <c r="K35" s="30"/>
    </row>
    <row r="36" spans="2:11" ht="12" customHeight="1" x14ac:dyDescent="0.25">
      <c r="B36" s="210" t="s">
        <v>65</v>
      </c>
      <c r="C36" s="210"/>
      <c r="D36" s="210"/>
      <c r="E36" s="210"/>
      <c r="F36" s="210"/>
      <c r="G36" s="210"/>
    </row>
    <row r="37" spans="2:11" ht="12" customHeight="1" x14ac:dyDescent="0.25"/>
    <row r="38" spans="2:11" ht="12" customHeight="1" x14ac:dyDescent="0.25"/>
    <row r="39" spans="2:11" ht="12" customHeight="1" x14ac:dyDescent="0.25"/>
  </sheetData>
  <mergeCells count="7">
    <mergeCell ref="B36:G36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A7FE6E66-1ECF-457A-9CDC-0CBEF6868F8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E48C-3D3F-46C7-A778-9BDF8D371143}">
  <dimension ref="B1:K28"/>
  <sheetViews>
    <sheetView showGridLines="0" zoomScaleNormal="100" workbookViewId="0">
      <selection activeCell="B1" sqref="B1"/>
    </sheetView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x14ac:dyDescent="0.25">
      <c r="B5" s="53" t="s">
        <v>80</v>
      </c>
      <c r="C5" s="53"/>
      <c r="D5" s="124"/>
      <c r="E5" s="25"/>
      <c r="F5" s="25"/>
      <c r="G5" s="124"/>
      <c r="H5" s="27"/>
      <c r="I5" s="27"/>
      <c r="J5" s="129"/>
      <c r="K5" s="52" t="s">
        <v>50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67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85074250.450445905</v>
      </c>
      <c r="E11" s="174">
        <v>100</v>
      </c>
      <c r="F11" s="173"/>
      <c r="G11" s="173">
        <v>45189093.536525302</v>
      </c>
      <c r="H11" s="174">
        <v>100</v>
      </c>
      <c r="I11" s="173"/>
      <c r="J11" s="173">
        <v>38949471.211108603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x14ac:dyDescent="0.25">
      <c r="B13" s="150" t="s">
        <v>44</v>
      </c>
      <c r="C13" s="56"/>
      <c r="D13" s="176">
        <v>1546544.44589729</v>
      </c>
      <c r="E13" s="175">
        <v>1.7851611052015</v>
      </c>
      <c r="F13" s="173"/>
      <c r="G13" s="176">
        <v>331310.37000848301</v>
      </c>
      <c r="H13" s="175">
        <v>0.712422042751649</v>
      </c>
      <c r="I13" s="173"/>
      <c r="J13" s="176">
        <v>1127073.94124909</v>
      </c>
      <c r="K13" s="175">
        <v>2.8055513714361799</v>
      </c>
    </row>
    <row r="14" spans="2:11" x14ac:dyDescent="0.25">
      <c r="B14" s="150" t="s">
        <v>45</v>
      </c>
      <c r="C14" s="58"/>
      <c r="D14" s="176">
        <v>83268170.160211802</v>
      </c>
      <c r="E14" s="175">
        <v>97.629627390489105</v>
      </c>
      <c r="F14" s="173"/>
      <c r="G14" s="176">
        <v>44741516.577203698</v>
      </c>
      <c r="H14" s="175">
        <v>98.786860328986407</v>
      </c>
      <c r="I14" s="173"/>
      <c r="J14" s="176">
        <v>37589390.081591301</v>
      </c>
      <c r="K14" s="175">
        <v>96.066854363702404</v>
      </c>
    </row>
    <row r="15" spans="2:11" ht="6.95" customHeight="1" x14ac:dyDescent="0.25">
      <c r="B15" s="151"/>
      <c r="C15" s="32"/>
      <c r="D15" s="173"/>
      <c r="E15" s="177"/>
      <c r="F15" s="178"/>
      <c r="G15" s="173"/>
      <c r="H15" s="177"/>
      <c r="I15" s="177"/>
      <c r="J15" s="173"/>
      <c r="K15" s="177"/>
    </row>
    <row r="16" spans="2:11" x14ac:dyDescent="0.25">
      <c r="B16" s="152" t="s">
        <v>6</v>
      </c>
      <c r="C16" s="98"/>
      <c r="D16" s="173">
        <v>27919808.370060898</v>
      </c>
      <c r="E16" s="174">
        <v>100</v>
      </c>
      <c r="F16" s="173"/>
      <c r="G16" s="173">
        <v>15147712.0036007</v>
      </c>
      <c r="H16" s="174">
        <v>100</v>
      </c>
      <c r="I16" s="173"/>
      <c r="J16" s="173">
        <v>12466861.324348001</v>
      </c>
      <c r="K16" s="174">
        <v>100</v>
      </c>
    </row>
    <row r="17" spans="2:11" ht="6.95" customHeight="1" x14ac:dyDescent="0.25">
      <c r="B17" s="152"/>
      <c r="C17" s="98"/>
      <c r="D17" s="173"/>
      <c r="E17" s="175"/>
      <c r="F17" s="173"/>
      <c r="G17" s="173"/>
      <c r="H17" s="175"/>
      <c r="I17" s="176"/>
      <c r="J17" s="173"/>
      <c r="K17" s="175"/>
    </row>
    <row r="18" spans="2:11" x14ac:dyDescent="0.25">
      <c r="B18" s="150" t="s">
        <v>44</v>
      </c>
      <c r="C18" s="56"/>
      <c r="D18" s="176">
        <v>179001.92248718499</v>
      </c>
      <c r="E18" s="175">
        <v>0.59804745177325902</v>
      </c>
      <c r="F18" s="173"/>
      <c r="G18" s="176">
        <v>27781.7638162445</v>
      </c>
      <c r="H18" s="175">
        <v>0.17094199532715901</v>
      </c>
      <c r="I18" s="173"/>
      <c r="J18" s="176">
        <v>125911.979158334</v>
      </c>
      <c r="K18" s="175">
        <v>0.92249897613797505</v>
      </c>
    </row>
    <row r="19" spans="2:11" x14ac:dyDescent="0.25">
      <c r="B19" s="150" t="s">
        <v>45</v>
      </c>
      <c r="C19" s="56"/>
      <c r="D19" s="176">
        <v>27644462.4192141</v>
      </c>
      <c r="E19" s="175">
        <v>98.718735383849705</v>
      </c>
      <c r="F19" s="173"/>
      <c r="G19" s="176">
        <v>15085363.933215501</v>
      </c>
      <c r="H19" s="175">
        <v>99.369683719084904</v>
      </c>
      <c r="I19" s="173"/>
      <c r="J19" s="176">
        <v>12251291.498317599</v>
      </c>
      <c r="K19" s="175">
        <v>97.741731995896998</v>
      </c>
    </row>
    <row r="20" spans="2:11" ht="7.5" customHeight="1" x14ac:dyDescent="0.25">
      <c r="B20" s="153"/>
      <c r="C20" s="59"/>
      <c r="D20" s="173"/>
      <c r="E20" s="177"/>
      <c r="F20" s="178"/>
      <c r="G20" s="173"/>
      <c r="H20" s="177"/>
      <c r="I20" s="177"/>
      <c r="J20" s="173"/>
      <c r="K20" s="177"/>
    </row>
    <row r="21" spans="2:11" x14ac:dyDescent="0.25">
      <c r="B21" s="152" t="s">
        <v>7</v>
      </c>
      <c r="C21" s="98"/>
      <c r="D21" s="173">
        <v>54724471.783623897</v>
      </c>
      <c r="E21" s="174">
        <v>100</v>
      </c>
      <c r="F21" s="173"/>
      <c r="G21" s="173">
        <v>28733115.775626201</v>
      </c>
      <c r="H21" s="174">
        <v>100</v>
      </c>
      <c r="I21" s="173"/>
      <c r="J21" s="173">
        <v>25428611.494824</v>
      </c>
      <c r="K21" s="174">
        <v>100</v>
      </c>
    </row>
    <row r="22" spans="2:11" ht="7.5" customHeight="1" x14ac:dyDescent="0.25">
      <c r="B22" s="152"/>
      <c r="C22" s="98"/>
      <c r="D22" s="173"/>
      <c r="E22" s="175"/>
      <c r="F22" s="173"/>
      <c r="G22" s="173"/>
      <c r="H22" s="175"/>
      <c r="I22" s="176"/>
      <c r="J22" s="173"/>
      <c r="K22" s="175"/>
    </row>
    <row r="23" spans="2:11" x14ac:dyDescent="0.25">
      <c r="B23" s="150" t="s">
        <v>44</v>
      </c>
      <c r="C23" s="98"/>
      <c r="D23" s="176">
        <v>1286013.5462517899</v>
      </c>
      <c r="E23" s="175">
        <v>2.27341140010485</v>
      </c>
      <c r="F23" s="173"/>
      <c r="G23" s="176">
        <v>271839.44380627602</v>
      </c>
      <c r="H23" s="175">
        <v>0.90415972551721002</v>
      </c>
      <c r="I23" s="173"/>
      <c r="J23" s="176">
        <v>930114.85675711802</v>
      </c>
      <c r="K23" s="175">
        <v>3.50478824037326</v>
      </c>
    </row>
    <row r="24" spans="2:11" x14ac:dyDescent="0.25">
      <c r="B24" s="150" t="s">
        <v>45</v>
      </c>
      <c r="C24" s="98"/>
      <c r="D24" s="176">
        <v>53234332.326482601</v>
      </c>
      <c r="E24" s="175">
        <v>96.918117706060301</v>
      </c>
      <c r="F24" s="173"/>
      <c r="G24" s="176">
        <v>28359601.5320764</v>
      </c>
      <c r="H24" s="175">
        <v>98.368532602879995</v>
      </c>
      <c r="I24" s="173"/>
      <c r="J24" s="176">
        <v>24305329.917955</v>
      </c>
      <c r="K24" s="175">
        <v>94.953403878483599</v>
      </c>
    </row>
    <row r="25" spans="2:11" ht="6.95" customHeight="1" x14ac:dyDescent="0.25">
      <c r="B25" s="33"/>
      <c r="C25" s="33"/>
      <c r="D25" s="126"/>
      <c r="E25" s="34"/>
      <c r="F25" s="34"/>
      <c r="G25" s="126"/>
      <c r="H25" s="33"/>
      <c r="I25" s="33"/>
      <c r="J25" s="132"/>
      <c r="K25" s="35"/>
    </row>
    <row r="26" spans="2:11" ht="6.95" customHeight="1" x14ac:dyDescent="0.25">
      <c r="B26" s="31"/>
      <c r="C26" s="31"/>
      <c r="D26" s="127"/>
      <c r="E26" s="37"/>
      <c r="F26" s="37"/>
      <c r="G26" s="127"/>
      <c r="H26" s="31"/>
      <c r="I26" s="31"/>
      <c r="J26" s="131"/>
      <c r="K26" s="30"/>
    </row>
    <row r="27" spans="2:11" x14ac:dyDescent="0.25">
      <c r="B27" s="88" t="s">
        <v>51</v>
      </c>
      <c r="C27" s="31"/>
      <c r="D27" s="127"/>
      <c r="E27" s="37"/>
      <c r="F27" s="37"/>
      <c r="G27" s="127"/>
      <c r="H27" s="31"/>
      <c r="I27" s="31"/>
      <c r="J27" s="131"/>
      <c r="K27" s="30"/>
    </row>
    <row r="28" spans="2:11" ht="12" customHeight="1" x14ac:dyDescent="0.25">
      <c r="B28" s="210" t="s">
        <v>65</v>
      </c>
      <c r="C28" s="210"/>
      <c r="D28" s="210"/>
      <c r="E28" s="210"/>
      <c r="F28" s="210"/>
      <c r="G28" s="210"/>
    </row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INDICE" xr:uid="{A79A4B97-D250-4363-83E8-26119EB295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Cuadro 7.1</vt:lpstr>
      <vt:lpstr>Cuadro 7.2</vt:lpstr>
      <vt:lpstr>Cuadro 7.3</vt:lpstr>
      <vt:lpstr>Cuadro 7.4</vt:lpstr>
      <vt:lpstr>Cuadro 7.5</vt:lpstr>
      <vt:lpstr>Cuadro 7.6</vt:lpstr>
      <vt:lpstr>Cuadro 7.7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2021-07-28T19:11:12Z</dcterms:created>
  <dcterms:modified xsi:type="dcterms:W3CDTF">2025-03-11T17:33:08Z</dcterms:modified>
</cp:coreProperties>
</file>