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20250310-Pob1870-ENIF 2024\Tema 07\"/>
    </mc:Choice>
  </mc:AlternateContent>
  <xr:revisionPtr revIDLastSave="0" documentId="13_ncr:1_{E2778AF5-9248-4EC0-BBF3-33B123E5F1B5}" xr6:coauthVersionLast="47" xr6:coauthVersionMax="47" xr10:uidLastSave="{00000000-0000-0000-0000-000000000000}"/>
  <bookViews>
    <workbookView xWindow="-120" yWindow="-120" windowWidth="29040" windowHeight="15840" tabRatio="874" xr2:uid="{00000000-000D-0000-FFFF-FFFF00000000}"/>
  </bookViews>
  <sheets>
    <sheet name="ÍNDICE" sheetId="7" r:id="rId1"/>
    <sheet name="Cuadro 7.1" sheetId="1" r:id="rId2"/>
    <sheet name="Cuadro 7.2" sheetId="16" r:id="rId3"/>
    <sheet name="Cuadro 7.3" sheetId="17" r:id="rId4"/>
    <sheet name="Cuadro 7.4" sheetId="18" r:id="rId5"/>
    <sheet name="Cuadro 7.5" sheetId="19" r:id="rId6"/>
    <sheet name="Cuadro 7.6" sheetId="20" r:id="rId7"/>
    <sheet name="Cuadro 7.7" sheetId="2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7" l="1"/>
</calcChain>
</file>

<file path=xl/sharedStrings.xml><?xml version="1.0" encoding="utf-8"?>
<sst xmlns="http://schemas.openxmlformats.org/spreadsheetml/2006/main" count="323" uniqueCount="90">
  <si>
    <t xml:space="preserve">Efectivo </t>
  </si>
  <si>
    <t>Estados Unidos Mexicanos</t>
  </si>
  <si>
    <t xml:space="preserve">Compras de 500 pesos o menos </t>
  </si>
  <si>
    <t xml:space="preserve">Compras de 501 pesos o más </t>
  </si>
  <si>
    <t>Mujeres</t>
  </si>
  <si>
    <t>Hombres</t>
  </si>
  <si>
    <t>1 a 14 999 habitantes</t>
  </si>
  <si>
    <t xml:space="preserve">15 000 y más habitantes </t>
  </si>
  <si>
    <t xml:space="preserve">Mujeres </t>
  </si>
  <si>
    <t>No lo ha utilizado</t>
  </si>
  <si>
    <t>Efectivo</t>
  </si>
  <si>
    <t>Pagos de servicios públicos o privados como agua, luz, internet, entre otros</t>
  </si>
  <si>
    <t>Cuadro 7.1</t>
  </si>
  <si>
    <t>Cuadro 7.2</t>
  </si>
  <si>
    <t>Cuadro 7.3</t>
  </si>
  <si>
    <t>Cuadro 7.4</t>
  </si>
  <si>
    <t>Sí recibe dinero de familiares o personas conocidas que viven en otro país</t>
  </si>
  <si>
    <t>No recibe dinero de familiares o personas conocidas que viven en otro país</t>
  </si>
  <si>
    <t>Transferencia electrónica o aplicación celular</t>
  </si>
  <si>
    <t xml:space="preserve">Total </t>
  </si>
  <si>
    <r>
      <t xml:space="preserve">Medio de pago </t>
    </r>
    <r>
      <rPr>
        <b/>
        <vertAlign val="superscript"/>
        <sz val="8"/>
        <color theme="1"/>
        <rFont val="Arial"/>
        <family val="2"/>
      </rPr>
      <t xml:space="preserve">2 </t>
    </r>
  </si>
  <si>
    <t>Población de 18 a 70 años</t>
  </si>
  <si>
    <t xml:space="preserve">Medio de pago </t>
  </si>
  <si>
    <r>
      <t>Población de 18 a 70 años</t>
    </r>
    <r>
      <rPr>
        <b/>
        <vertAlign val="superscript"/>
        <sz val="8"/>
        <color theme="1"/>
        <rFont val="Arial"/>
        <family val="2"/>
      </rPr>
      <t>1</t>
    </r>
  </si>
  <si>
    <t>Población de 18 a 70 años por tamaño de localidad y tipo de pago según sexo y medio de pago</t>
  </si>
  <si>
    <t>Absolutos</t>
  </si>
  <si>
    <t>Relativos</t>
  </si>
  <si>
    <t>ÍNDICE</t>
  </si>
  <si>
    <t>TABULADOS BÁSICOS</t>
  </si>
  <si>
    <t>Nivel de confianza del 90%</t>
  </si>
  <si>
    <t>Tema</t>
  </si>
  <si>
    <t>ID Cuadro</t>
  </si>
  <si>
    <t>Título</t>
  </si>
  <si>
    <r>
      <t xml:space="preserve">Tema 7. 
</t>
    </r>
    <r>
      <rPr>
        <sz val="11"/>
        <color theme="10"/>
        <rFont val="Arial"/>
        <family val="2"/>
      </rPr>
      <t>Pagos</t>
    </r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</si>
  <si>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Incluye remesadoras.</t>
    </r>
  </si>
  <si>
    <r>
      <t xml:space="preserve">1 </t>
    </r>
    <r>
      <rPr>
        <sz val="8"/>
        <rFont val="Arial"/>
        <family val="2"/>
      </rPr>
      <t>La suma por tipo de compra o pago puede ser mayor al total porque una persona pudo haber realizado más de un tipo.</t>
    </r>
  </si>
  <si>
    <r>
      <t xml:space="preserve">2 </t>
    </r>
    <r>
      <rPr>
        <sz val="8"/>
        <rFont val="Arial"/>
        <family val="2"/>
      </rPr>
      <t>La suma de medio de pago puede ser mayor al total porque una persona pudo usar más de un tipo.</t>
    </r>
  </si>
  <si>
    <t>Tamaño de localidad y recepción de dinero de personas de otro país y medio de recepción</t>
  </si>
  <si>
    <t>Población de 18 a 70 años por tamaño de localidad y condición de recepción de dinero de personas de otro país en el último año y medio de recepción según sexo</t>
  </si>
  <si>
    <r>
      <t>Total</t>
    </r>
    <r>
      <rPr>
        <b/>
        <vertAlign val="superscript"/>
        <sz val="8"/>
        <rFont val="Arial"/>
        <family val="2"/>
      </rPr>
      <t xml:space="preserve">1 </t>
    </r>
    <r>
      <rPr>
        <b/>
        <sz val="8"/>
        <rFont val="Arial"/>
        <family val="2"/>
      </rPr>
      <t xml:space="preserve"> </t>
    </r>
  </si>
  <si>
    <t>Tamaño de localidad y compras en comercios o pagos de servicios</t>
  </si>
  <si>
    <t>Pagos de transporte público o privado como taxis, Uber, Didi, camión, metro, entre otros</t>
  </si>
  <si>
    <t>Uso físico de tarjeta de débito o crédito</t>
  </si>
  <si>
    <t>Transferencia electrónica o aplicación de celular</t>
  </si>
  <si>
    <t>Sí ha comprado o invertido en activos virtuales</t>
  </si>
  <si>
    <t>No ha comprado o invertido en activos virtuales</t>
  </si>
  <si>
    <t>Cuadro 7.5</t>
  </si>
  <si>
    <t>Al celular</t>
  </si>
  <si>
    <t>No ha realizado transferencias o envíos de dinero por internet o aplicación celular</t>
  </si>
  <si>
    <t>Cuadro 7.6</t>
  </si>
  <si>
    <t>Cuadro 7.7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</si>
  <si>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Incluye Bitcoin, ETHER, XRP, NFT, entre otros.</t>
    </r>
  </si>
  <si>
    <t>En algunos</t>
  </si>
  <si>
    <t>En pocos</t>
  </si>
  <si>
    <t>En ninguno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</si>
  <si>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puede ser mayor al total porque una persona pudo responder más de un tipo de compra.</t>
    </r>
  </si>
  <si>
    <t>Sí conoce el Dinero Móvil o DiMo</t>
  </si>
  <si>
    <t>No conoce el Dinero Móvil o DiMo</t>
  </si>
  <si>
    <t>No conoce el Cobro Digital o CoDi</t>
  </si>
  <si>
    <t>Sí conoce el Cobro Digital o CoDi</t>
  </si>
  <si>
    <t>No sabe</t>
  </si>
  <si>
    <t xml:space="preserve">En una cuenta o tarjeta </t>
  </si>
  <si>
    <t xml:space="preserve">En efectivo </t>
  </si>
  <si>
    <r>
      <t>Otra forma de recepción</t>
    </r>
    <r>
      <rPr>
        <vertAlign val="superscript"/>
        <sz val="8"/>
        <color theme="1"/>
        <rFont val="Arial"/>
        <family val="2"/>
      </rPr>
      <t>1</t>
    </r>
  </si>
  <si>
    <t xml:space="preserve">Tamaño de localidad
y tipo de pago </t>
  </si>
  <si>
    <r>
      <t xml:space="preserve">Fuente: </t>
    </r>
    <r>
      <rPr>
        <b/>
        <sz val="8"/>
        <rFont val="Arial"/>
        <family val="2"/>
      </rPr>
      <t>INEGI</t>
    </r>
    <r>
      <rPr>
        <sz val="8"/>
        <color indexed="8"/>
        <rFont val="Arial"/>
        <family val="2"/>
      </rPr>
      <t xml:space="preserve"> Encuesta Nacional de Inclusión Financiera (ENIF) 2024.</t>
    </r>
  </si>
  <si>
    <t>Sí lo ha utilizado</t>
  </si>
  <si>
    <t>Tamaño de localidad y condición de compra
o inversión en activos virtuales</t>
  </si>
  <si>
    <t>Sí ha realizado transferencias o envíos de dinero
por internet o aplicación celular</t>
  </si>
  <si>
    <t>Compras en mercados, tienditas
de abarrotes, u otras</t>
  </si>
  <si>
    <t>Compras en supermercados, tiendas de autoservicio, farmacias
o tiendas departamentales</t>
  </si>
  <si>
    <t>Compras por celular o Internet
como Amazon, Mercado Libre, Shein, entre otros</t>
  </si>
  <si>
    <t>Tamaño de localidad y condición de realizar transferencias o envíos por internet
o aplicación celular</t>
  </si>
  <si>
    <t>Tamaño de localidad y nivel de aceptación de pagos con transferencia o tarjeta</t>
  </si>
  <si>
    <t>En todos o casi todos</t>
  </si>
  <si>
    <t>Encuesta Nacional de Inclusión Financiera (ENIF) 2024</t>
  </si>
  <si>
    <t>Población de 18 a 70 años por tamaño de localidad y compras en comercios o pagos de servicios según sexo y medio de pago</t>
  </si>
  <si>
    <t>Población de 18 a 70 años por tamaño de localidad y condición de realizar transferencias o envíos de dinero por internet o aplicación celular según sexo</t>
  </si>
  <si>
    <t>Población de 18 a 70 años por tamaño de localidad y nivel de aceptación de pagos  con transferencia o tarjeta en los comercios frecuentados según sexo</t>
  </si>
  <si>
    <t>Población de 18 a 70 años por tamaño de localidad y condición de compra o inversión en activos virtuales según sexo</t>
  </si>
  <si>
    <r>
      <t xml:space="preserve"> Población de 18 a 70 años por tamaño de localidad y condición de compra o inversión en activos virtuales</t>
    </r>
    <r>
      <rPr>
        <b/>
        <vertAlign val="superscript"/>
        <sz val="9"/>
        <rFont val="Arial"/>
        <family val="2"/>
      </rPr>
      <t xml:space="preserve">1 </t>
    </r>
    <r>
      <rPr>
        <b/>
        <sz val="9"/>
        <rFont val="Arial"/>
        <family val="2"/>
      </rPr>
      <t>según sexo</t>
    </r>
  </si>
  <si>
    <t>Población de 18 a 70 años por tamaño de localidad y nivel de aceptación de pagos  con transferencia
o tarjeta en los comercios frecuentados según sexo</t>
  </si>
  <si>
    <r>
      <t>Población de 18 a 70 años por tamaño de localidad y condición de realizar transferencias o envíos de dinero 
por internet o aplicación celular</t>
    </r>
    <r>
      <rPr>
        <b/>
        <sz val="9"/>
        <color rgb="FFFF0000"/>
        <rFont val="Arial"/>
        <family val="2"/>
      </rPr>
      <t xml:space="preserve"> </t>
    </r>
    <r>
      <rPr>
        <b/>
        <sz val="9"/>
        <rFont val="Arial"/>
        <family val="2"/>
      </rPr>
      <t>según sexo</t>
    </r>
  </si>
  <si>
    <t xml:space="preserve">Sexo </t>
  </si>
  <si>
    <t xml:space="preserve">Absolutos </t>
  </si>
  <si>
    <t>Población de 18 a 70 años por tamaño de localidad, condición de conocimiento de CoDi y DiMo y de uso de plataformas digitales según sexo</t>
  </si>
  <si>
    <t>Tamaño de localidad, condición de conocimiento de CoDi y DiMo y de uso de plataformas digitales</t>
  </si>
  <si>
    <t>Límite superior.</t>
  </si>
  <si>
    <t>Marzo 2025</t>
  </si>
  <si>
    <t>INEGI. Encuesta Nacional de Inclusión Financiera (ENIF) 2024. Tabulados básicos.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</si>
</sst>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###\ ###\ ##0"/>
    <numFmt numFmtId="166" formatCode="##,###,###,###,##0"/>
    <numFmt numFmtId="167" formatCode="_-* #,##0_-;\-* #,##0_-;_-* &quot;-&quot;??_-;_-@_-"/>
    <numFmt numFmtId="168" formatCode="###\ ###\ ##0.0"/>
    <numFmt numFmtId="169" formatCode="###,###,###,##0"/>
    <numFmt numFmtId="170" formatCode="###\ ###\ ##0.00"/>
    <numFmt numFmtId="171" formatCode="###,###,###,###,##0.0;[Red]\-###,###,###,###,##0.0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7"/>
      <color indexed="8"/>
      <name val="Arial"/>
      <family val="2"/>
    </font>
    <font>
      <b/>
      <vertAlign val="superscript"/>
      <sz val="8"/>
      <color theme="1"/>
      <name val="Arial"/>
      <family val="2"/>
    </font>
    <font>
      <b/>
      <sz val="8"/>
      <color rgb="FFFF0000"/>
      <name val="Arial"/>
      <family val="2"/>
    </font>
    <font>
      <vertAlign val="superscript"/>
      <sz val="8"/>
      <color theme="1"/>
      <name val="Arial"/>
      <family val="2"/>
    </font>
    <font>
      <sz val="9"/>
      <color rgb="FF00339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rgb="FF003399"/>
      <name val="Arial"/>
      <family val="2"/>
    </font>
    <font>
      <b/>
      <sz val="9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11"/>
      <color rgb="FF000080"/>
      <name val="Arial"/>
      <family val="2"/>
    </font>
    <font>
      <b/>
      <sz val="11"/>
      <color rgb="FF000080"/>
      <name val="Arial"/>
      <family val="2"/>
    </font>
    <font>
      <i/>
      <sz val="12"/>
      <color rgb="FF000080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1"/>
      <color indexed="8"/>
      <name val="Calibri"/>
      <family val="2"/>
      <scheme val="minor"/>
    </font>
    <font>
      <sz val="10"/>
      <color rgb="FF000080"/>
      <name val="Arial"/>
      <family val="2"/>
    </font>
    <font>
      <b/>
      <sz val="11"/>
      <color theme="10"/>
      <name val="Arial"/>
      <family val="2"/>
    </font>
    <font>
      <sz val="11"/>
      <color theme="10"/>
      <name val="Arial"/>
      <family val="2"/>
    </font>
    <font>
      <u/>
      <sz val="11"/>
      <color theme="10"/>
      <name val="Arial"/>
      <family val="2"/>
    </font>
    <font>
      <sz val="8"/>
      <color rgb="FF000000"/>
      <name val="Arial"/>
      <family val="2"/>
    </font>
    <font>
      <vertAlign val="superscript"/>
      <sz val="8"/>
      <color indexed="8"/>
      <name val="Arial"/>
      <family val="2"/>
    </font>
    <font>
      <vertAlign val="superscript"/>
      <sz val="8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b/>
      <vertAlign val="superscript"/>
      <sz val="8"/>
      <name val="Arial"/>
      <family val="2"/>
    </font>
    <font>
      <b/>
      <sz val="9"/>
      <color rgb="FFFF0000"/>
      <name val="Arial"/>
      <family val="2"/>
    </font>
    <font>
      <b/>
      <strike/>
      <sz val="8"/>
      <color rgb="FFFF0000"/>
      <name val="Arial"/>
      <family val="2"/>
    </font>
    <font>
      <b/>
      <vertAlign val="superscript"/>
      <sz val="9"/>
      <name val="Arial"/>
      <family val="2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indexed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  <fill>
      <patternFill patternType="solid">
        <fgColor indexed="9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/>
      <right style="thin">
        <color rgb="FF337AB7"/>
      </right>
      <top style="medium">
        <color rgb="FF0070C0"/>
      </top>
      <bottom/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337AB7"/>
      </right>
      <top/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medium">
        <color rgb="FF0070C0"/>
      </bottom>
      <diagonal/>
    </border>
    <border>
      <left style="thin">
        <color rgb="FF337AB7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/>
      <top style="thin">
        <color auto="1"/>
      </top>
      <bottom/>
      <diagonal/>
    </border>
  </borders>
  <cellStyleXfs count="131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" fillId="0" borderId="0"/>
    <xf numFmtId="0" fontId="3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0" fillId="0" borderId="0"/>
  </cellStyleXfs>
  <cellXfs count="230">
    <xf numFmtId="0" fontId="0" fillId="0" borderId="0" xfId="0"/>
    <xf numFmtId="0" fontId="2" fillId="2" borderId="0" xfId="2" applyFont="1" applyFill="1"/>
    <xf numFmtId="0" fontId="1" fillId="0" borderId="0" xfId="2"/>
    <xf numFmtId="0" fontId="3" fillId="0" borderId="0" xfId="2" applyFont="1" applyAlignment="1">
      <alignment horizontal="center" vertical="center" wrapText="1"/>
    </xf>
    <xf numFmtId="0" fontId="6" fillId="2" borderId="0" xfId="2" applyFont="1" applyFill="1"/>
    <xf numFmtId="0" fontId="7" fillId="2" borderId="0" xfId="2" applyFont="1" applyFill="1"/>
    <xf numFmtId="0" fontId="8" fillId="2" borderId="0" xfId="2" applyFont="1" applyFill="1"/>
    <xf numFmtId="0" fontId="9" fillId="2" borderId="2" xfId="2" applyFont="1" applyFill="1" applyBorder="1" applyAlignment="1">
      <alignment horizontal="right" vertical="center" wrapText="1"/>
    </xf>
    <xf numFmtId="0" fontId="3" fillId="2" borderId="0" xfId="2" applyFont="1" applyFill="1" applyAlignment="1">
      <alignment horizontal="left"/>
    </xf>
    <xf numFmtId="0" fontId="9" fillId="0" borderId="0" xfId="2" applyFont="1" applyAlignment="1">
      <alignment horizontal="left"/>
    </xf>
    <xf numFmtId="0" fontId="9" fillId="2" borderId="0" xfId="2" applyFont="1" applyFill="1" applyAlignment="1">
      <alignment horizontal="left" wrapText="1" indent="2"/>
    </xf>
    <xf numFmtId="0" fontId="9" fillId="0" borderId="0" xfId="2" applyFont="1" applyAlignment="1">
      <alignment horizontal="left" indent="1"/>
    </xf>
    <xf numFmtId="0" fontId="9" fillId="0" borderId="3" xfId="2" applyFont="1" applyBorder="1" applyAlignment="1">
      <alignment horizontal="left"/>
    </xf>
    <xf numFmtId="0" fontId="3" fillId="2" borderId="3" xfId="2" applyFont="1" applyFill="1" applyBorder="1" applyAlignment="1">
      <alignment horizontal="left"/>
    </xf>
    <xf numFmtId="0" fontId="1" fillId="0" borderId="3" xfId="2" applyBorder="1"/>
    <xf numFmtId="0" fontId="13" fillId="2" borderId="0" xfId="2" applyFont="1" applyFill="1" applyAlignment="1">
      <alignment vertical="center"/>
    </xf>
    <xf numFmtId="0" fontId="12" fillId="2" borderId="0" xfId="2" applyFont="1" applyFill="1" applyAlignment="1">
      <alignment vertical="center"/>
    </xf>
    <xf numFmtId="166" fontId="12" fillId="2" borderId="0" xfId="2" applyNumberFormat="1" applyFont="1" applyFill="1" applyAlignment="1">
      <alignment vertical="center" wrapText="1"/>
    </xf>
    <xf numFmtId="0" fontId="12" fillId="2" borderId="0" xfId="2" applyFont="1" applyFill="1" applyAlignment="1">
      <alignment vertical="center" wrapText="1"/>
    </xf>
    <xf numFmtId="166" fontId="1" fillId="0" borderId="0" xfId="2" applyNumberFormat="1"/>
    <xf numFmtId="167" fontId="9" fillId="2" borderId="0" xfId="1" applyNumberFormat="1" applyFont="1" applyFill="1" applyBorder="1" applyAlignment="1">
      <alignment horizontal="left" vertical="center"/>
    </xf>
    <xf numFmtId="167" fontId="9" fillId="2" borderId="0" xfId="1" applyNumberFormat="1" applyFont="1" applyFill="1" applyAlignment="1">
      <alignment horizontal="left" wrapText="1" indent="1"/>
    </xf>
    <xf numFmtId="167" fontId="9" fillId="2" borderId="0" xfId="1" applyNumberFormat="1" applyFont="1" applyFill="1" applyBorder="1" applyAlignment="1">
      <alignment horizontal="left"/>
    </xf>
    <xf numFmtId="0" fontId="0" fillId="0" borderId="3" xfId="0" applyBorder="1"/>
    <xf numFmtId="0" fontId="5" fillId="0" borderId="0" xfId="4" applyFont="1"/>
    <xf numFmtId="0" fontId="2" fillId="2" borderId="0" xfId="4" applyFont="1" applyFill="1" applyAlignment="1">
      <alignment horizontal="right"/>
    </xf>
    <xf numFmtId="0" fontId="1" fillId="0" borderId="0" xfId="4"/>
    <xf numFmtId="0" fontId="2" fillId="2" borderId="0" xfId="4" applyFont="1" applyFill="1"/>
    <xf numFmtId="0" fontId="6" fillId="2" borderId="3" xfId="4" applyFont="1" applyFill="1" applyBorder="1"/>
    <xf numFmtId="0" fontId="8" fillId="2" borderId="0" xfId="4" applyFont="1" applyFill="1"/>
    <xf numFmtId="165" fontId="3" fillId="2" borderId="0" xfId="4" applyNumberFormat="1" applyFont="1" applyFill="1" applyAlignment="1">
      <alignment horizontal="right"/>
    </xf>
    <xf numFmtId="0" fontId="3" fillId="2" borderId="0" xfId="4" applyFont="1" applyFill="1" applyAlignment="1">
      <alignment horizontal="left"/>
    </xf>
    <xf numFmtId="0" fontId="4" fillId="2" borderId="0" xfId="4" applyFont="1" applyFill="1" applyAlignment="1">
      <alignment horizontal="left" wrapText="1" indent="2"/>
    </xf>
    <xf numFmtId="0" fontId="3" fillId="2" borderId="3" xfId="4" applyFont="1" applyFill="1" applyBorder="1" applyAlignment="1">
      <alignment horizontal="left"/>
    </xf>
    <xf numFmtId="0" fontId="3" fillId="2" borderId="3" xfId="4" applyFont="1" applyFill="1" applyBorder="1" applyAlignment="1">
      <alignment horizontal="right"/>
    </xf>
    <xf numFmtId="165" fontId="3" fillId="2" borderId="3" xfId="4" applyNumberFormat="1" applyFont="1" applyFill="1" applyBorder="1" applyAlignment="1">
      <alignment horizontal="right"/>
    </xf>
    <xf numFmtId="0" fontId="4" fillId="2" borderId="0" xfId="2" applyFont="1" applyFill="1" applyAlignment="1">
      <alignment horizontal="left" indent="2"/>
    </xf>
    <xf numFmtId="0" fontId="3" fillId="2" borderId="0" xfId="4" applyFont="1" applyFill="1" applyAlignment="1">
      <alignment horizontal="right"/>
    </xf>
    <xf numFmtId="0" fontId="2" fillId="0" borderId="0" xfId="4" applyFont="1"/>
    <xf numFmtId="0" fontId="9" fillId="2" borderId="0" xfId="2" applyFont="1" applyFill="1" applyAlignment="1">
      <alignment horizontal="left" vertical="center" wrapText="1"/>
    </xf>
    <xf numFmtId="0" fontId="9" fillId="2" borderId="0" xfId="2" applyFont="1" applyFill="1" applyAlignment="1">
      <alignment horizontal="center" vertical="center" wrapText="1"/>
    </xf>
    <xf numFmtId="0" fontId="17" fillId="2" borderId="0" xfId="0" applyFont="1" applyFill="1" applyAlignment="1">
      <alignment horizontal="left" vertical="center"/>
    </xf>
    <xf numFmtId="0" fontId="18" fillId="2" borderId="0" xfId="2" applyFont="1" applyFill="1" applyAlignment="1">
      <alignment horizontal="left" vertical="center"/>
    </xf>
    <xf numFmtId="0" fontId="19" fillId="2" borderId="0" xfId="2" applyFont="1" applyFill="1" applyAlignment="1">
      <alignment horizontal="right"/>
    </xf>
    <xf numFmtId="0" fontId="9" fillId="3" borderId="3" xfId="7" applyFont="1" applyFill="1" applyBorder="1" applyAlignment="1">
      <alignment horizontal="right" vertical="center"/>
    </xf>
    <xf numFmtId="0" fontId="15" fillId="2" borderId="1" xfId="2" applyFont="1" applyFill="1" applyBorder="1" applyAlignment="1">
      <alignment horizontal="center"/>
    </xf>
    <xf numFmtId="0" fontId="9" fillId="2" borderId="1" xfId="2" applyFont="1" applyFill="1" applyBorder="1" applyAlignment="1">
      <alignment horizontal="center"/>
    </xf>
    <xf numFmtId="0" fontId="9" fillId="3" borderId="0" xfId="7" applyFont="1" applyFill="1" applyAlignment="1">
      <alignment horizontal="right" vertical="center"/>
    </xf>
    <xf numFmtId="0" fontId="9" fillId="0" borderId="0" xfId="2" applyFont="1" applyAlignment="1">
      <alignment horizontal="left" vertical="center"/>
    </xf>
    <xf numFmtId="0" fontId="4" fillId="2" borderId="0" xfId="2" applyFont="1" applyFill="1" applyAlignment="1">
      <alignment horizontal="left" vertical="center" wrapText="1" indent="2"/>
    </xf>
    <xf numFmtId="168" fontId="21" fillId="2" borderId="0" xfId="8" applyNumberFormat="1" applyFont="1" applyFill="1" applyAlignment="1" applyProtection="1">
      <alignment horizontal="right"/>
    </xf>
    <xf numFmtId="168" fontId="3" fillId="0" borderId="0" xfId="0" applyNumberFormat="1" applyFont="1" applyAlignment="1">
      <alignment horizontal="right" vertical="center" wrapText="1"/>
    </xf>
    <xf numFmtId="0" fontId="19" fillId="2" borderId="0" xfId="4" applyFont="1" applyFill="1" applyAlignment="1">
      <alignment horizontal="right"/>
    </xf>
    <xf numFmtId="0" fontId="18" fillId="0" borderId="0" xfId="4" applyFont="1"/>
    <xf numFmtId="0" fontId="7" fillId="2" borderId="0" xfId="4" applyFont="1" applyFill="1" applyAlignment="1">
      <alignment horizontal="right"/>
    </xf>
    <xf numFmtId="0" fontId="3" fillId="2" borderId="0" xfId="4" applyFont="1" applyFill="1" applyAlignment="1">
      <alignment horizontal="left" vertical="center"/>
    </xf>
    <xf numFmtId="0" fontId="3" fillId="0" borderId="0" xfId="4" applyFont="1" applyAlignment="1">
      <alignment horizontal="left" vertical="center" indent="1"/>
    </xf>
    <xf numFmtId="0" fontId="4" fillId="2" borderId="0" xfId="4" applyFont="1" applyFill="1" applyAlignment="1">
      <alignment horizontal="left" vertical="center" wrapText="1" indent="2"/>
    </xf>
    <xf numFmtId="0" fontId="3" fillId="2" borderId="0" xfId="4" applyFont="1" applyFill="1" applyAlignment="1">
      <alignment horizontal="left" vertical="center" indent="1"/>
    </xf>
    <xf numFmtId="0" fontId="9" fillId="2" borderId="0" xfId="4" applyFont="1" applyFill="1" applyAlignment="1">
      <alignment horizontal="left" vertical="center" indent="1"/>
    </xf>
    <xf numFmtId="0" fontId="9" fillId="0" borderId="0" xfId="4" applyFont="1" applyAlignment="1">
      <alignment horizontal="left" vertical="center" wrapText="1" indent="1"/>
    </xf>
    <xf numFmtId="0" fontId="10" fillId="2" borderId="0" xfId="4" applyFont="1" applyFill="1" applyAlignment="1">
      <alignment horizontal="left" vertical="center" wrapText="1" indent="2"/>
    </xf>
    <xf numFmtId="0" fontId="9" fillId="2" borderId="0" xfId="4" applyFont="1" applyFill="1" applyAlignment="1">
      <alignment horizontal="left" vertical="center" wrapText="1" indent="1"/>
    </xf>
    <xf numFmtId="0" fontId="3" fillId="2" borderId="0" xfId="2" applyFont="1" applyFill="1" applyAlignment="1">
      <alignment horizontal="center" vertical="center" wrapText="1"/>
    </xf>
    <xf numFmtId="165" fontId="3" fillId="2" borderId="3" xfId="2" applyNumberFormat="1" applyFont="1" applyFill="1" applyBorder="1" applyAlignment="1">
      <alignment horizontal="right"/>
    </xf>
    <xf numFmtId="0" fontId="23" fillId="0" borderId="0" xfId="0" applyFont="1"/>
    <xf numFmtId="0" fontId="22" fillId="2" borderId="0" xfId="2" applyFont="1" applyFill="1" applyAlignment="1">
      <alignment horizontal="left" vertical="center"/>
    </xf>
    <xf numFmtId="0" fontId="4" fillId="2" borderId="0" xfId="2" applyFont="1" applyFill="1" applyAlignment="1">
      <alignment horizontal="left" vertical="center" indent="2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3" fillId="2" borderId="0" xfId="2" applyFont="1" applyFill="1" applyAlignment="1">
      <alignment horizontal="right" vertical="center"/>
    </xf>
    <xf numFmtId="165" fontId="3" fillId="2" borderId="0" xfId="2" applyNumberFormat="1" applyFont="1" applyFill="1" applyAlignment="1">
      <alignment horizontal="right" vertical="center"/>
    </xf>
    <xf numFmtId="0" fontId="24" fillId="0" borderId="0" xfId="10" applyFont="1"/>
    <xf numFmtId="0" fontId="28" fillId="0" borderId="0" xfId="10" applyFont="1" applyAlignment="1">
      <alignment horizontal="center" vertical="center"/>
    </xf>
    <xf numFmtId="0" fontId="28" fillId="0" borderId="0" xfId="10" applyFont="1" applyAlignment="1">
      <alignment vertical="center"/>
    </xf>
    <xf numFmtId="0" fontId="29" fillId="0" borderId="0" xfId="10" applyFont="1" applyAlignment="1">
      <alignment vertical="center"/>
    </xf>
    <xf numFmtId="0" fontId="19" fillId="0" borderId="0" xfId="10" applyFont="1"/>
    <xf numFmtId="0" fontId="8" fillId="0" borderId="0" xfId="10" applyFont="1"/>
    <xf numFmtId="17" fontId="31" fillId="0" borderId="0" xfId="10" quotePrefix="1" applyNumberFormat="1" applyFont="1"/>
    <xf numFmtId="17" fontId="25" fillId="0" borderId="0" xfId="10" quotePrefix="1" applyNumberFormat="1" applyFont="1"/>
    <xf numFmtId="0" fontId="29" fillId="5" borderId="5" xfId="10" applyFont="1" applyFill="1" applyBorder="1" applyAlignment="1">
      <alignment horizontal="center" vertical="center"/>
    </xf>
    <xf numFmtId="0" fontId="29" fillId="5" borderId="6" xfId="10" applyFont="1" applyFill="1" applyBorder="1" applyAlignment="1">
      <alignment horizontal="center" vertical="center"/>
    </xf>
    <xf numFmtId="0" fontId="34" fillId="0" borderId="9" xfId="9" applyFont="1" applyBorder="1" applyAlignment="1" applyProtection="1">
      <alignment horizontal="center" vertical="center"/>
    </xf>
    <xf numFmtId="0" fontId="34" fillId="0" borderId="14" xfId="9" applyFont="1" applyBorder="1" applyAlignment="1" applyProtection="1">
      <alignment horizontal="center" vertical="center"/>
    </xf>
    <xf numFmtId="0" fontId="34" fillId="0" borderId="15" xfId="9" applyFont="1" applyBorder="1" applyAlignment="1" applyProtection="1">
      <alignment horizontal="center" vertical="center"/>
    </xf>
    <xf numFmtId="0" fontId="34" fillId="0" borderId="17" xfId="9" applyFont="1" applyBorder="1" applyAlignment="1" applyProtection="1">
      <alignment horizontal="center" vertical="center"/>
    </xf>
    <xf numFmtId="0" fontId="35" fillId="0" borderId="0" xfId="10" applyFont="1"/>
    <xf numFmtId="0" fontId="35" fillId="0" borderId="0" xfId="10" applyFont="1" applyAlignment="1">
      <alignment horizontal="left" vertical="center"/>
    </xf>
    <xf numFmtId="0" fontId="12" fillId="0" borderId="0" xfId="6" applyFont="1" applyAlignment="1">
      <alignment horizontal="left" vertical="center"/>
    </xf>
    <xf numFmtId="0" fontId="37" fillId="0" borderId="0" xfId="2" applyFont="1" applyAlignment="1">
      <alignment horizontal="left" vertical="center"/>
    </xf>
    <xf numFmtId="0" fontId="9" fillId="2" borderId="1" xfId="2" applyFont="1" applyFill="1" applyBorder="1" applyAlignment="1">
      <alignment horizontal="left" vertical="center" wrapText="1"/>
    </xf>
    <xf numFmtId="0" fontId="9" fillId="2" borderId="3" xfId="2" applyFont="1" applyFill="1" applyBorder="1" applyAlignment="1">
      <alignment horizontal="left" vertical="center" wrapText="1"/>
    </xf>
    <xf numFmtId="0" fontId="9" fillId="2" borderId="1" xfId="2" applyFont="1" applyFill="1" applyBorder="1" applyAlignment="1">
      <alignment horizontal="right" vertical="center" wrapText="1"/>
    </xf>
    <xf numFmtId="0" fontId="9" fillId="2" borderId="0" xfId="2" applyFont="1" applyFill="1" applyAlignment="1">
      <alignment horizontal="right" vertical="center" wrapText="1"/>
    </xf>
    <xf numFmtId="0" fontId="9" fillId="2" borderId="3" xfId="2" applyFont="1" applyFill="1" applyBorder="1" applyAlignment="1">
      <alignment horizontal="right" vertical="center" wrapText="1"/>
    </xf>
    <xf numFmtId="165" fontId="3" fillId="0" borderId="3" xfId="0" applyNumberFormat="1" applyFont="1" applyBorder="1" applyAlignment="1">
      <alignment horizontal="right" vertical="center" wrapText="1"/>
    </xf>
    <xf numFmtId="0" fontId="3" fillId="2" borderId="3" xfId="2" applyFont="1" applyFill="1" applyBorder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167" fontId="9" fillId="2" borderId="0" xfId="14" applyNumberFormat="1" applyFont="1" applyFill="1" applyBorder="1" applyAlignment="1">
      <alignment horizontal="left" vertical="center"/>
    </xf>
    <xf numFmtId="0" fontId="3" fillId="2" borderId="3" xfId="2" applyFont="1" applyFill="1" applyBorder="1" applyAlignment="1">
      <alignment horizontal="center" vertical="center" wrapText="1"/>
    </xf>
    <xf numFmtId="167" fontId="9" fillId="2" borderId="0" xfId="15" applyNumberFormat="1" applyFont="1" applyFill="1" applyBorder="1" applyAlignment="1">
      <alignment horizontal="left" vertical="center"/>
    </xf>
    <xf numFmtId="167" fontId="9" fillId="2" borderId="0" xfId="15" applyNumberFormat="1" applyFont="1" applyFill="1" applyBorder="1" applyAlignment="1">
      <alignment horizontal="left"/>
    </xf>
    <xf numFmtId="167" fontId="9" fillId="2" borderId="0" xfId="16" applyNumberFormat="1" applyFont="1" applyFill="1" applyBorder="1" applyAlignment="1">
      <alignment horizontal="left" vertical="center"/>
    </xf>
    <xf numFmtId="167" fontId="9" fillId="2" borderId="0" xfId="16" applyNumberFormat="1" applyFont="1" applyFill="1" applyBorder="1" applyAlignment="1">
      <alignment horizontal="left"/>
    </xf>
    <xf numFmtId="0" fontId="39" fillId="0" borderId="0" xfId="2" applyFont="1"/>
    <xf numFmtId="0" fontId="39" fillId="0" borderId="0" xfId="0" applyFont="1"/>
    <xf numFmtId="0" fontId="4" fillId="0" borderId="0" xfId="2" applyFont="1"/>
    <xf numFmtId="169" fontId="0" fillId="0" borderId="0" xfId="0" applyNumberFormat="1"/>
    <xf numFmtId="169" fontId="2" fillId="2" borderId="0" xfId="2" applyNumberFormat="1" applyFont="1" applyFill="1"/>
    <xf numFmtId="169" fontId="7" fillId="2" borderId="0" xfId="2" applyNumberFormat="1" applyFont="1" applyFill="1"/>
    <xf numFmtId="169" fontId="9" fillId="3" borderId="3" xfId="7" applyNumberFormat="1" applyFont="1" applyFill="1" applyBorder="1" applyAlignment="1">
      <alignment horizontal="right" vertical="center"/>
    </xf>
    <xf numFmtId="169" fontId="9" fillId="2" borderId="0" xfId="2" applyNumberFormat="1" applyFont="1" applyFill="1" applyAlignment="1">
      <alignment horizontal="right" vertical="center" wrapText="1"/>
    </xf>
    <xf numFmtId="169" fontId="3" fillId="0" borderId="0" xfId="0" applyNumberFormat="1" applyFont="1" applyAlignment="1">
      <alignment horizontal="right" vertical="center" wrapText="1"/>
    </xf>
    <xf numFmtId="169" fontId="3" fillId="2" borderId="3" xfId="2" applyNumberFormat="1" applyFont="1" applyFill="1" applyBorder="1" applyAlignment="1">
      <alignment horizontal="left"/>
    </xf>
    <xf numFmtId="169" fontId="3" fillId="2" borderId="0" xfId="2" applyNumberFormat="1" applyFont="1" applyFill="1" applyAlignment="1">
      <alignment horizontal="left"/>
    </xf>
    <xf numFmtId="169" fontId="1" fillId="0" borderId="0" xfId="2" applyNumberFormat="1"/>
    <xf numFmtId="169" fontId="9" fillId="3" borderId="0" xfId="7" applyNumberFormat="1" applyFont="1" applyFill="1" applyAlignment="1">
      <alignment horizontal="right" vertical="center"/>
    </xf>
    <xf numFmtId="169" fontId="8" fillId="2" borderId="0" xfId="2" applyNumberFormat="1" applyFont="1" applyFill="1"/>
    <xf numFmtId="169" fontId="3" fillId="0" borderId="0" xfId="2" applyNumberFormat="1" applyFont="1" applyAlignment="1">
      <alignment horizontal="center" vertical="center" wrapText="1"/>
    </xf>
    <xf numFmtId="169" fontId="39" fillId="0" borderId="0" xfId="2" applyNumberFormat="1" applyFont="1"/>
    <xf numFmtId="169" fontId="39" fillId="0" borderId="0" xfId="0" applyNumberFormat="1" applyFont="1"/>
    <xf numFmtId="169" fontId="3" fillId="0" borderId="3" xfId="0" applyNumberFormat="1" applyFont="1" applyBorder="1" applyAlignment="1">
      <alignment horizontal="right" vertical="center" wrapText="1"/>
    </xf>
    <xf numFmtId="169" fontId="0" fillId="0" borderId="3" xfId="0" applyNumberFormat="1" applyBorder="1"/>
    <xf numFmtId="169" fontId="9" fillId="2" borderId="0" xfId="2" applyNumberFormat="1" applyFont="1" applyFill="1" applyAlignment="1">
      <alignment horizontal="center" vertical="center" wrapText="1"/>
    </xf>
    <xf numFmtId="169" fontId="2" fillId="2" borderId="0" xfId="4" applyNumberFormat="1" applyFont="1" applyFill="1" applyAlignment="1">
      <alignment horizontal="right"/>
    </xf>
    <xf numFmtId="169" fontId="7" fillId="2" borderId="0" xfId="4" applyNumberFormat="1" applyFont="1" applyFill="1" applyAlignment="1">
      <alignment horizontal="right"/>
    </xf>
    <xf numFmtId="169" fontId="3" fillId="2" borderId="3" xfId="4" applyNumberFormat="1" applyFont="1" applyFill="1" applyBorder="1" applyAlignment="1">
      <alignment horizontal="right"/>
    </xf>
    <xf numFmtId="169" fontId="3" fillId="2" borderId="0" xfId="4" applyNumberFormat="1" applyFont="1" applyFill="1" applyAlignment="1">
      <alignment horizontal="right"/>
    </xf>
    <xf numFmtId="169" fontId="1" fillId="0" borderId="0" xfId="4" applyNumberFormat="1"/>
    <xf numFmtId="169" fontId="2" fillId="2" borderId="0" xfId="4" applyNumberFormat="1" applyFont="1" applyFill="1"/>
    <xf numFmtId="169" fontId="8" fillId="2" borderId="0" xfId="4" applyNumberFormat="1" applyFont="1" applyFill="1"/>
    <xf numFmtId="169" fontId="3" fillId="2" borderId="0" xfId="4" applyNumberFormat="1" applyFont="1" applyFill="1" applyAlignment="1">
      <alignment horizontal="left"/>
    </xf>
    <xf numFmtId="169" fontId="3" fillId="2" borderId="3" xfId="4" applyNumberFormat="1" applyFont="1" applyFill="1" applyBorder="1" applyAlignment="1">
      <alignment horizontal="left"/>
    </xf>
    <xf numFmtId="169" fontId="23" fillId="0" borderId="0" xfId="0" applyNumberFormat="1" applyFont="1"/>
    <xf numFmtId="169" fontId="3" fillId="2" borderId="0" xfId="2" applyNumberFormat="1" applyFont="1" applyFill="1" applyAlignment="1">
      <alignment horizontal="right" vertical="center" wrapText="1"/>
    </xf>
    <xf numFmtId="169" fontId="13" fillId="2" borderId="0" xfId="2" applyNumberFormat="1" applyFont="1" applyFill="1" applyAlignment="1">
      <alignment vertical="center"/>
    </xf>
    <xf numFmtId="169" fontId="12" fillId="2" borderId="0" xfId="2" applyNumberFormat="1" applyFont="1" applyFill="1" applyAlignment="1">
      <alignment vertical="center" wrapText="1"/>
    </xf>
    <xf numFmtId="169" fontId="12" fillId="2" borderId="0" xfId="2" applyNumberFormat="1" applyFont="1" applyFill="1" applyAlignment="1">
      <alignment vertical="center"/>
    </xf>
    <xf numFmtId="169" fontId="0" fillId="0" borderId="0" xfId="0" applyNumberFormat="1" applyAlignment="1">
      <alignment horizontal="right" vertical="center"/>
    </xf>
    <xf numFmtId="0" fontId="42" fillId="2" borderId="0" xfId="4" applyFont="1" applyFill="1" applyAlignment="1">
      <alignment horizontal="left" vertical="center" indent="1"/>
    </xf>
    <xf numFmtId="0" fontId="3" fillId="0" borderId="0" xfId="4" applyFont="1" applyAlignment="1">
      <alignment horizontal="left" vertical="center" indent="2"/>
    </xf>
    <xf numFmtId="0" fontId="9" fillId="0" borderId="0" xfId="4" applyFont="1" applyAlignment="1">
      <alignment horizontal="left" vertical="center" indent="2"/>
    </xf>
    <xf numFmtId="0" fontId="4" fillId="2" borderId="0" xfId="4" applyFont="1" applyFill="1" applyAlignment="1">
      <alignment horizontal="left" vertical="center" wrapText="1" indent="3"/>
    </xf>
    <xf numFmtId="0" fontId="4" fillId="2" borderId="0" xfId="4" applyFont="1" applyFill="1" applyAlignment="1">
      <alignment horizontal="left" vertical="center" wrapText="1" indent="1"/>
    </xf>
    <xf numFmtId="167" fontId="9" fillId="2" borderId="0" xfId="1" applyNumberFormat="1" applyFont="1" applyFill="1" applyBorder="1" applyAlignment="1">
      <alignment horizontal="left" vertical="center" indent="1"/>
    </xf>
    <xf numFmtId="0" fontId="9" fillId="0" borderId="0" xfId="2" applyFont="1" applyAlignment="1">
      <alignment horizontal="left" indent="2"/>
    </xf>
    <xf numFmtId="167" fontId="9" fillId="2" borderId="0" xfId="1" applyNumberFormat="1" applyFont="1" applyFill="1" applyAlignment="1">
      <alignment horizontal="left" wrapText="1" indent="2"/>
    </xf>
    <xf numFmtId="167" fontId="9" fillId="2" borderId="0" xfId="1" applyNumberFormat="1" applyFont="1" applyFill="1" applyBorder="1" applyAlignment="1">
      <alignment horizontal="left" indent="1"/>
    </xf>
    <xf numFmtId="167" fontId="9" fillId="2" borderId="0" xfId="16" applyNumberFormat="1" applyFont="1" applyFill="1" applyBorder="1" applyAlignment="1">
      <alignment horizontal="left" vertical="center" indent="1"/>
    </xf>
    <xf numFmtId="167" fontId="9" fillId="2" borderId="0" xfId="16" applyNumberFormat="1" applyFont="1" applyFill="1" applyBorder="1" applyAlignment="1">
      <alignment horizontal="left" indent="1"/>
    </xf>
    <xf numFmtId="0" fontId="4" fillId="0" borderId="0" xfId="4" applyFont="1" applyAlignment="1">
      <alignment horizontal="left" vertical="center" indent="2"/>
    </xf>
    <xf numFmtId="0" fontId="4" fillId="2" borderId="0" xfId="4" applyFont="1" applyFill="1" applyAlignment="1">
      <alignment horizontal="left" wrapText="1" indent="3"/>
    </xf>
    <xf numFmtId="167" fontId="9" fillId="2" borderId="0" xfId="14" applyNumberFormat="1" applyFont="1" applyFill="1" applyBorder="1" applyAlignment="1">
      <alignment horizontal="left" vertical="center" indent="1"/>
    </xf>
    <xf numFmtId="0" fontId="42" fillId="2" borderId="0" xfId="4" applyFont="1" applyFill="1" applyAlignment="1">
      <alignment horizontal="left" vertical="center" indent="2"/>
    </xf>
    <xf numFmtId="0" fontId="4" fillId="0" borderId="0" xfId="4" applyFont="1" applyAlignment="1">
      <alignment horizontal="left" vertical="center" wrapText="1" indent="2"/>
    </xf>
    <xf numFmtId="0" fontId="27" fillId="0" borderId="0" xfId="10" applyFont="1" applyAlignment="1">
      <alignment horizontal="center" vertical="center"/>
    </xf>
    <xf numFmtId="0" fontId="24" fillId="0" borderId="0" xfId="6" applyFont="1"/>
    <xf numFmtId="0" fontId="31" fillId="0" borderId="0" xfId="6" applyFont="1"/>
    <xf numFmtId="0" fontId="1" fillId="0" borderId="0" xfId="6"/>
    <xf numFmtId="0" fontId="3" fillId="0" borderId="21" xfId="0" applyFont="1" applyBorder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170" fontId="3" fillId="0" borderId="2" xfId="0" applyNumberFormat="1" applyFont="1" applyBorder="1" applyAlignment="1">
      <alignment horizontal="right" vertical="center" wrapText="1"/>
    </xf>
    <xf numFmtId="0" fontId="45" fillId="0" borderId="3" xfId="0" applyFont="1" applyBorder="1" applyAlignment="1">
      <alignment horizontal="right"/>
    </xf>
    <xf numFmtId="170" fontId="3" fillId="0" borderId="0" xfId="0" applyNumberFormat="1" applyFont="1" applyAlignment="1">
      <alignment horizontal="right" vertical="center" wrapText="1"/>
    </xf>
    <xf numFmtId="0" fontId="45" fillId="0" borderId="0" xfId="0" applyFont="1" applyAlignment="1">
      <alignment horizontal="right"/>
    </xf>
    <xf numFmtId="0" fontId="9" fillId="2" borderId="21" xfId="4" applyFont="1" applyFill="1" applyBorder="1" applyAlignment="1">
      <alignment horizontal="left" vertical="center" wrapText="1"/>
    </xf>
    <xf numFmtId="0" fontId="9" fillId="2" borderId="0" xfId="4" applyFont="1" applyFill="1" applyAlignment="1">
      <alignment horizontal="left" vertical="center" wrapText="1"/>
    </xf>
    <xf numFmtId="0" fontId="3" fillId="2" borderId="2" xfId="4" applyFont="1" applyFill="1" applyBorder="1" applyAlignment="1">
      <alignment horizontal="left"/>
    </xf>
    <xf numFmtId="0" fontId="9" fillId="2" borderId="21" xfId="2" applyFont="1" applyFill="1" applyBorder="1" applyAlignment="1">
      <alignment horizontal="left" vertical="center" wrapText="1"/>
    </xf>
    <xf numFmtId="0" fontId="3" fillId="2" borderId="21" xfId="2" applyFont="1" applyFill="1" applyBorder="1" applyAlignment="1">
      <alignment horizontal="center"/>
    </xf>
    <xf numFmtId="0" fontId="3" fillId="2" borderId="21" xfId="2" applyFont="1" applyFill="1" applyBorder="1" applyAlignment="1">
      <alignment horizontal="right" vertical="center" wrapText="1"/>
    </xf>
    <xf numFmtId="0" fontId="3" fillId="2" borderId="21" xfId="2" applyFont="1" applyFill="1" applyBorder="1" applyAlignment="1">
      <alignment horizontal="center" vertical="center" wrapText="1"/>
    </xf>
    <xf numFmtId="171" fontId="3" fillId="2" borderId="0" xfId="0" applyNumberFormat="1" applyFont="1" applyFill="1" applyAlignment="1">
      <alignment horizontal="right" vertical="center" wrapText="1"/>
    </xf>
    <xf numFmtId="171" fontId="9" fillId="2" borderId="0" xfId="0" applyNumberFormat="1" applyFont="1" applyFill="1" applyAlignment="1">
      <alignment horizontal="right" vertical="center" wrapText="1"/>
    </xf>
    <xf numFmtId="171" fontId="4" fillId="2" borderId="0" xfId="0" applyNumberFormat="1" applyFont="1" applyFill="1" applyAlignment="1">
      <alignment horizontal="right" vertical="center" wrapText="1"/>
    </xf>
    <xf numFmtId="171" fontId="10" fillId="2" borderId="0" xfId="0" applyNumberFormat="1" applyFont="1" applyFill="1" applyAlignment="1">
      <alignment horizontal="right" vertical="center" wrapText="1"/>
    </xf>
    <xf numFmtId="171" fontId="12" fillId="2" borderId="0" xfId="0" applyNumberFormat="1" applyFont="1" applyFill="1" applyAlignment="1" applyProtection="1">
      <alignment horizontal="right" vertical="center" wrapText="1" readingOrder="1"/>
      <protection locked="0"/>
    </xf>
    <xf numFmtId="171" fontId="11" fillId="2" borderId="0" xfId="0" applyNumberFormat="1" applyFont="1" applyFill="1" applyAlignment="1" applyProtection="1">
      <alignment horizontal="right" vertical="center" wrapText="1" readingOrder="1"/>
      <protection locked="0"/>
    </xf>
    <xf numFmtId="171" fontId="3" fillId="2" borderId="3" xfId="4" applyNumberFormat="1" applyFont="1" applyFill="1" applyBorder="1" applyAlignment="1">
      <alignment horizontal="right"/>
    </xf>
    <xf numFmtId="171" fontId="3" fillId="2" borderId="3" xfId="4" applyNumberFormat="1" applyFont="1" applyFill="1" applyBorder="1" applyAlignment="1">
      <alignment horizontal="left"/>
    </xf>
    <xf numFmtId="171" fontId="0" fillId="2" borderId="0" xfId="0" applyNumberFormat="1" applyFill="1"/>
    <xf numFmtId="171" fontId="3" fillId="2" borderId="0" xfId="2" applyNumberFormat="1" applyFont="1" applyFill="1" applyAlignment="1">
      <alignment horizontal="right" vertical="center"/>
    </xf>
    <xf numFmtId="171" fontId="0" fillId="2" borderId="0" xfId="0" applyNumberFormat="1" applyFill="1" applyAlignment="1">
      <alignment horizontal="right" vertical="center"/>
    </xf>
    <xf numFmtId="171" fontId="12" fillId="2" borderId="4" xfId="2" applyNumberFormat="1" applyFont="1" applyFill="1" applyBorder="1" applyAlignment="1" applyProtection="1">
      <alignment horizontal="right" vertical="center" wrapText="1"/>
      <protection locked="0"/>
    </xf>
    <xf numFmtId="171" fontId="12" fillId="2" borderId="0" xfId="2" applyNumberFormat="1" applyFont="1" applyFill="1" applyAlignment="1" applyProtection="1">
      <alignment horizontal="right" vertical="center" wrapText="1"/>
      <protection locked="0"/>
    </xf>
    <xf numFmtId="171" fontId="12" fillId="2" borderId="4" xfId="2" applyNumberFormat="1" applyFont="1" applyFill="1" applyBorder="1" applyAlignment="1" applyProtection="1">
      <alignment horizontal="right" vertical="center" wrapText="1" readingOrder="1"/>
      <protection locked="0"/>
    </xf>
    <xf numFmtId="0" fontId="26" fillId="0" borderId="0" xfId="6" applyFont="1" applyAlignment="1">
      <alignment horizontal="center" vertical="center"/>
    </xf>
    <xf numFmtId="0" fontId="27" fillId="0" borderId="0" xfId="6" applyFont="1" applyAlignment="1">
      <alignment horizontal="center" vertical="center"/>
    </xf>
    <xf numFmtId="0" fontId="31" fillId="0" borderId="0" xfId="10" applyFont="1" applyAlignment="1">
      <alignment horizontal="right"/>
    </xf>
    <xf numFmtId="0" fontId="31" fillId="0" borderId="0" xfId="11" applyFont="1" applyAlignment="1">
      <alignment horizontal="center" vertical="center"/>
    </xf>
    <xf numFmtId="0" fontId="44" fillId="4" borderId="0" xfId="130" applyFont="1" applyFill="1" applyAlignment="1">
      <alignment horizontal="center" vertical="center"/>
    </xf>
    <xf numFmtId="0" fontId="29" fillId="5" borderId="6" xfId="10" applyFont="1" applyFill="1" applyBorder="1" applyAlignment="1">
      <alignment horizontal="center" vertical="center"/>
    </xf>
    <xf numFmtId="0" fontId="29" fillId="5" borderId="7" xfId="10" applyFont="1" applyFill="1" applyBorder="1" applyAlignment="1">
      <alignment horizontal="center" vertical="center"/>
    </xf>
    <xf numFmtId="0" fontId="32" fillId="0" borderId="8" xfId="8" applyFont="1" applyFill="1" applyBorder="1" applyAlignment="1">
      <alignment horizontal="center" vertical="center" wrapText="1"/>
    </xf>
    <xf numFmtId="0" fontId="32" fillId="0" borderId="13" xfId="8" applyFont="1" applyFill="1" applyBorder="1" applyAlignment="1">
      <alignment horizontal="center" vertical="center" wrapText="1"/>
    </xf>
    <xf numFmtId="0" fontId="32" fillId="0" borderId="16" xfId="8" applyFont="1" applyFill="1" applyBorder="1" applyAlignment="1">
      <alignment horizontal="left" vertical="center" wrapText="1" readingOrder="1"/>
    </xf>
    <xf numFmtId="0" fontId="24" fillId="0" borderId="10" xfId="10" applyFont="1" applyBorder="1" applyAlignment="1">
      <alignment horizontal="left" vertical="center" wrapText="1" indent="1"/>
    </xf>
    <xf numFmtId="0" fontId="24" fillId="0" borderId="11" xfId="10" applyFont="1" applyBorder="1" applyAlignment="1">
      <alignment horizontal="left" vertical="center" wrapText="1" indent="1"/>
    </xf>
    <xf numFmtId="0" fontId="24" fillId="0" borderId="12" xfId="10" applyFont="1" applyBorder="1" applyAlignment="1">
      <alignment horizontal="left" vertical="center" wrapText="1" indent="1"/>
    </xf>
    <xf numFmtId="0" fontId="38" fillId="0" borderId="10" xfId="10" applyFont="1" applyBorder="1" applyAlignment="1">
      <alignment horizontal="left" vertical="center" wrapText="1" indent="1"/>
    </xf>
    <xf numFmtId="0" fontId="38" fillId="0" borderId="11" xfId="10" applyFont="1" applyBorder="1" applyAlignment="1">
      <alignment horizontal="left" vertical="center" wrapText="1" indent="1"/>
    </xf>
    <xf numFmtId="0" fontId="38" fillId="0" borderId="12" xfId="10" applyFont="1" applyBorder="1" applyAlignment="1">
      <alignment horizontal="left" vertical="center" wrapText="1" indent="1"/>
    </xf>
    <xf numFmtId="0" fontId="38" fillId="0" borderId="18" xfId="10" applyFont="1" applyBorder="1" applyAlignment="1">
      <alignment horizontal="left" vertical="center" wrapText="1" indent="1"/>
    </xf>
    <xf numFmtId="0" fontId="38" fillId="0" borderId="19" xfId="10" applyFont="1" applyBorder="1" applyAlignment="1">
      <alignment horizontal="left" vertical="center" wrapText="1" indent="1"/>
    </xf>
    <xf numFmtId="0" fontId="38" fillId="0" borderId="20" xfId="10" applyFont="1" applyBorder="1" applyAlignment="1">
      <alignment horizontal="left" vertical="center" wrapText="1" indent="1"/>
    </xf>
    <xf numFmtId="0" fontId="9" fillId="2" borderId="1" xfId="2" applyFont="1" applyFill="1" applyBorder="1" applyAlignment="1">
      <alignment horizontal="center" vertical="center" wrapText="1"/>
    </xf>
    <xf numFmtId="0" fontId="9" fillId="2" borderId="3" xfId="2" applyFont="1" applyFill="1" applyBorder="1" applyAlignment="1">
      <alignment horizontal="center" vertical="center" wrapText="1"/>
    </xf>
    <xf numFmtId="0" fontId="9" fillId="2" borderId="2" xfId="2" applyFont="1" applyFill="1" applyBorder="1" applyAlignment="1">
      <alignment horizontal="center" vertical="center"/>
    </xf>
    <xf numFmtId="0" fontId="1" fillId="0" borderId="3" xfId="2" applyBorder="1"/>
    <xf numFmtId="0" fontId="12" fillId="0" borderId="0" xfId="0" applyFont="1" applyAlignment="1">
      <alignment horizontal="left" vertical="center" wrapText="1"/>
    </xf>
    <xf numFmtId="0" fontId="9" fillId="2" borderId="1" xfId="2" applyFont="1" applyFill="1" applyBorder="1" applyAlignment="1">
      <alignment horizontal="left" vertical="center" wrapText="1"/>
    </xf>
    <xf numFmtId="0" fontId="9" fillId="2" borderId="0" xfId="2" applyFont="1" applyFill="1" applyAlignment="1">
      <alignment horizontal="left" vertical="center" wrapText="1"/>
    </xf>
    <xf numFmtId="0" fontId="9" fillId="2" borderId="3" xfId="2" applyFont="1" applyFill="1" applyBorder="1" applyAlignment="1">
      <alignment horizontal="left" vertical="center" wrapText="1"/>
    </xf>
    <xf numFmtId="0" fontId="9" fillId="2" borderId="2" xfId="2" applyFont="1" applyFill="1" applyBorder="1" applyAlignment="1">
      <alignment horizontal="center" vertical="center" wrapText="1"/>
    </xf>
    <xf numFmtId="0" fontId="9" fillId="2" borderId="21" xfId="4" applyFont="1" applyFill="1" applyBorder="1" applyAlignment="1">
      <alignment horizontal="left" vertical="center" wrapText="1"/>
    </xf>
    <xf numFmtId="0" fontId="9" fillId="2" borderId="0" xfId="4" applyFont="1" applyFill="1" applyAlignment="1">
      <alignment horizontal="left" vertical="center" wrapText="1"/>
    </xf>
    <xf numFmtId="0" fontId="9" fillId="2" borderId="3" xfId="4" applyFont="1" applyFill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8" fillId="0" borderId="0" xfId="4" applyFont="1" applyAlignment="1">
      <alignment horizontal="left" wrapText="1"/>
    </xf>
    <xf numFmtId="0" fontId="3" fillId="2" borderId="2" xfId="2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horizontal="center" vertical="center" wrapText="1"/>
    </xf>
    <xf numFmtId="0" fontId="9" fillId="2" borderId="21" xfId="2" applyFont="1" applyFill="1" applyBorder="1" applyAlignment="1">
      <alignment horizontal="left" vertical="center" wrapText="1"/>
    </xf>
    <xf numFmtId="0" fontId="3" fillId="2" borderId="2" xfId="2" applyFont="1" applyFill="1" applyBorder="1" applyAlignment="1">
      <alignment horizontal="center" vertical="center"/>
    </xf>
    <xf numFmtId="0" fontId="9" fillId="2" borderId="21" xfId="2" applyFont="1" applyFill="1" applyBorder="1" applyAlignment="1">
      <alignment horizontal="center" vertical="center" wrapText="1"/>
    </xf>
    <xf numFmtId="0" fontId="1" fillId="0" borderId="2" xfId="2" applyBorder="1"/>
    <xf numFmtId="0" fontId="1" fillId="0" borderId="21" xfId="2" applyBorder="1"/>
    <xf numFmtId="0" fontId="46" fillId="6" borderId="0" xfId="0" applyFont="1" applyFill="1" applyAlignment="1">
      <alignment vertical="center"/>
    </xf>
  </cellXfs>
  <cellStyles count="131">
    <cellStyle name="Hipervínculo" xfId="9" builtinId="8"/>
    <cellStyle name="Hipervínculo 2" xfId="8" xr:uid="{00000000-0005-0000-0000-000001000000}"/>
    <cellStyle name="Millares" xfId="1" builtinId="3"/>
    <cellStyle name="Millares 10" xfId="27" xr:uid="{74B9CAB1-477D-4FAF-8B4D-FFDA826F9164}"/>
    <cellStyle name="Millares 10 2" xfId="121" xr:uid="{BDD42D7C-7EA5-4269-9233-DC0BFA22AD3F}"/>
    <cellStyle name="Millares 10 3" xfId="102" xr:uid="{30C082B7-DD97-42AC-83AE-3127BB04C7DA}"/>
    <cellStyle name="Millares 10 4" xfId="87" xr:uid="{F4B375E3-AC83-4E40-94A2-302FA85069EF}"/>
    <cellStyle name="Millares 10 5" xfId="72" xr:uid="{B5745F9C-51EC-4771-9895-812DADF7CE12}"/>
    <cellStyle name="Millares 10 6" xfId="57" xr:uid="{0BF00626-2A1B-4A18-8D6F-142CA89D43F1}"/>
    <cellStyle name="Millares 10 7" xfId="42" xr:uid="{C2F53193-5BE3-4928-BCC9-363D611592FC}"/>
    <cellStyle name="Millares 11" xfId="28" xr:uid="{BF7A9939-F9A6-4C1F-84B7-0062C0DFCB4E}"/>
    <cellStyle name="Millares 11 2" xfId="122" xr:uid="{85200013-8E76-4A0E-AAD8-B3E368A8BFB9}"/>
    <cellStyle name="Millares 11 3" xfId="103" xr:uid="{87024B6A-96BB-46CA-8347-93B09F029BCA}"/>
    <cellStyle name="Millares 11 4" xfId="88" xr:uid="{C10D6B0D-AC4B-4BEB-8DC6-27882982964B}"/>
    <cellStyle name="Millares 11 5" xfId="73" xr:uid="{A9C49192-2CB0-440F-B646-CF93BB46FE0B}"/>
    <cellStyle name="Millares 11 6" xfId="58" xr:uid="{A150A09C-17B6-4DB6-9886-31A16AE585AB}"/>
    <cellStyle name="Millares 11 7" xfId="43" xr:uid="{CF8EA9B8-9E89-402D-9881-180F4B78EF71}"/>
    <cellStyle name="Millares 12" xfId="29" xr:uid="{94C15F61-C950-49F8-9844-68820E87DE3A}"/>
    <cellStyle name="Millares 12 2" xfId="123" xr:uid="{EA53E91E-864A-426D-9E16-2ACE003B83CD}"/>
    <cellStyle name="Millares 12 3" xfId="104" xr:uid="{CEEC1FCD-E499-4509-BB21-9BBA4678FB69}"/>
    <cellStyle name="Millares 12 4" xfId="89" xr:uid="{A5DDD980-F958-490C-8392-C17798FE337A}"/>
    <cellStyle name="Millares 12 5" xfId="74" xr:uid="{E82CF286-E6FD-47A5-80C2-C7603171E909}"/>
    <cellStyle name="Millares 12 6" xfId="59" xr:uid="{A45D5203-534D-4E8A-9344-4EF705DC1BFE}"/>
    <cellStyle name="Millares 12 7" xfId="44" xr:uid="{38C44B5D-4008-423D-9210-6F30C36F30A4}"/>
    <cellStyle name="Millares 13" xfId="30" xr:uid="{D721D439-F7E6-44F0-858A-B3A16B233E20}"/>
    <cellStyle name="Millares 13 2" xfId="124" xr:uid="{6605ED8C-9E15-4C15-B181-CD454F6AF22F}"/>
    <cellStyle name="Millares 13 3" xfId="105" xr:uid="{49FD4A9E-D0A4-4819-834A-E154A7CFC154}"/>
    <cellStyle name="Millares 13 4" xfId="90" xr:uid="{7D424A36-855D-4793-953C-4F848BC5DAD5}"/>
    <cellStyle name="Millares 13 5" xfId="75" xr:uid="{DAA619E8-ECCF-4F52-A115-6A19958BC8EB}"/>
    <cellStyle name="Millares 13 6" xfId="60" xr:uid="{838875B5-5DBF-4D61-835F-6BDF947BB924}"/>
    <cellStyle name="Millares 13 7" xfId="45" xr:uid="{D703E5FF-FD68-4E49-B672-BBD4769F839C}"/>
    <cellStyle name="Millares 14" xfId="31" xr:uid="{ACB0F3A2-D722-45E1-9653-A673FDEB4048}"/>
    <cellStyle name="Millares 14 2" xfId="125" xr:uid="{2CD02600-F4DA-46B6-AB46-64D836E20BBD}"/>
    <cellStyle name="Millares 14 3" xfId="106" xr:uid="{F35065A6-B044-44AF-BC76-93EDECD09466}"/>
    <cellStyle name="Millares 14 4" xfId="91" xr:uid="{8DC4BEB2-2901-45C8-9F86-854A024407D2}"/>
    <cellStyle name="Millares 14 5" xfId="76" xr:uid="{857C3DE6-4950-4384-A289-91E9BB93E624}"/>
    <cellStyle name="Millares 14 6" xfId="61" xr:uid="{8430554D-0EE9-40E0-9180-B8B628ABA10A}"/>
    <cellStyle name="Millares 14 7" xfId="46" xr:uid="{A9E0ED6D-14D1-46DD-9A58-E75BA5FAA4C7}"/>
    <cellStyle name="Millares 15" xfId="32" xr:uid="{08113555-83CA-4C4C-AD46-F32E666814BD}"/>
    <cellStyle name="Millares 15 2" xfId="126" xr:uid="{C5BC2147-B525-49D2-9937-42F0B60855D9}"/>
    <cellStyle name="Millares 15 3" xfId="107" xr:uid="{EE414736-59E9-4B45-A27F-88B99FF3C905}"/>
    <cellStyle name="Millares 15 4" xfId="92" xr:uid="{21E65C69-9F4B-40B0-81C4-AB8320FE9004}"/>
    <cellStyle name="Millares 15 5" xfId="77" xr:uid="{C024114E-CF92-45AA-84B9-C5001BA52DB0}"/>
    <cellStyle name="Millares 15 6" xfId="62" xr:uid="{C647424D-96DA-4909-B6FD-07A18D2A94BE}"/>
    <cellStyle name="Millares 15 7" xfId="47" xr:uid="{3FC16299-A0D6-43F7-AA73-98708BE999BA}"/>
    <cellStyle name="Millares 16" xfId="127" xr:uid="{55E08483-C5B6-43FA-BF85-D3E74DF495B3}"/>
    <cellStyle name="Millares 17" xfId="128" xr:uid="{8D58C056-F61B-47B8-9943-6D2DD0AE569A}"/>
    <cellStyle name="Millares 18" xfId="129" xr:uid="{7CBB301F-4DD5-41FE-8A17-433126E3928D}"/>
    <cellStyle name="Millares 19" xfId="109" xr:uid="{00000000-0005-0000-0000-000049000000}"/>
    <cellStyle name="Millares 2" xfId="14" xr:uid="{09C5EDA7-6B24-48E9-A0F5-65844F7551C5}"/>
    <cellStyle name="Millares 2 2" xfId="113" xr:uid="{D75BA76C-65ED-49EC-865F-46102B65DB68}"/>
    <cellStyle name="Millares 2 3" xfId="94" xr:uid="{658A6B07-071B-490F-97D4-F7E82F09E929}"/>
    <cellStyle name="Millares 2 4" xfId="79" xr:uid="{D85F9167-39A0-4E03-A825-C0FC826F7E29}"/>
    <cellStyle name="Millares 2 5" xfId="64" xr:uid="{32A79C80-5B3A-4A3A-98E3-6D7C71B50943}"/>
    <cellStyle name="Millares 2 6" xfId="49" xr:uid="{2AC3BC99-14D7-415B-BA6C-C38C15596E9B}"/>
    <cellStyle name="Millares 2 7" xfId="34" xr:uid="{9EB0EE84-7816-4B22-9494-5433CD01ECFD}"/>
    <cellStyle name="Millares 2 8" xfId="19" xr:uid="{EC86FCC8-8ED5-4435-95DD-F113A5245718}"/>
    <cellStyle name="Millares 20" xfId="108" xr:uid="{00000000-0005-0000-0000-000049000000}"/>
    <cellStyle name="Millares 21" xfId="93" xr:uid="{00000000-0005-0000-0000-000049000000}"/>
    <cellStyle name="Millares 22" xfId="78" xr:uid="{00000000-0005-0000-0000-000049000000}"/>
    <cellStyle name="Millares 23" xfId="63" xr:uid="{00000000-0005-0000-0000-000049000000}"/>
    <cellStyle name="Millares 24" xfId="48" xr:uid="{00000000-0005-0000-0000-000049000000}"/>
    <cellStyle name="Millares 25" xfId="33" xr:uid="{00000000-0005-0000-0000-00003F000000}"/>
    <cellStyle name="Millares 3" xfId="15" xr:uid="{F801C441-29AA-48BF-A3EB-0F677143F209}"/>
    <cellStyle name="Millares 3 2" xfId="114" xr:uid="{91DC82B8-276B-4C2D-826B-66127FC3BD10}"/>
    <cellStyle name="Millares 3 3" xfId="95" xr:uid="{3D0C72A3-C50E-4A4D-986D-11CD4288FB1F}"/>
    <cellStyle name="Millares 3 4" xfId="80" xr:uid="{4BA7FDC5-10C0-4897-B83C-58D9DF748793}"/>
    <cellStyle name="Millares 3 5" xfId="65" xr:uid="{C346F12A-FD1A-4186-A168-054115D45617}"/>
    <cellStyle name="Millares 3 6" xfId="50" xr:uid="{8C6DC4C7-69FF-4325-BAFB-862C189F2D52}"/>
    <cellStyle name="Millares 3 7" xfId="35" xr:uid="{AF7526FE-AFB2-4B85-91F7-100002DC1E52}"/>
    <cellStyle name="Millares 3 8" xfId="20" xr:uid="{14868C0D-EE20-4CCC-94E5-06D402A5A17D}"/>
    <cellStyle name="Millares 4" xfId="16" xr:uid="{78D4CD26-C512-44E9-AD6E-8725F8847ACD}"/>
    <cellStyle name="Millares 4 2" xfId="115" xr:uid="{8AA23C57-8DAC-4261-9D91-E67B7B84F9F3}"/>
    <cellStyle name="Millares 4 3" xfId="96" xr:uid="{783660D4-9043-4900-8196-357C72D0EECE}"/>
    <cellStyle name="Millares 4 4" xfId="81" xr:uid="{F261ED20-D824-4D40-8B2D-0B259D6EED27}"/>
    <cellStyle name="Millares 4 5" xfId="66" xr:uid="{CA0458ED-FF99-4430-A9BC-8E9CC9EFB5A9}"/>
    <cellStyle name="Millares 4 6" xfId="51" xr:uid="{23B11DD1-1AFD-4E32-B82B-6BA57F9BF824}"/>
    <cellStyle name="Millares 4 7" xfId="36" xr:uid="{8BFA1209-081E-4F03-826D-40079F508B8D}"/>
    <cellStyle name="Millares 4 8" xfId="21" xr:uid="{C4875820-E50C-4ADD-A542-55800B236F73}"/>
    <cellStyle name="Millares 5" xfId="22" xr:uid="{03A3B6EF-2B17-45B3-B3CB-FBCD872038F3}"/>
    <cellStyle name="Millares 5 2" xfId="116" xr:uid="{1C4CCF02-C474-4B34-A5FE-45EA9F227AFA}"/>
    <cellStyle name="Millares 5 3" xfId="97" xr:uid="{B57D5CC6-3E09-430F-A228-16DCADFFCC15}"/>
    <cellStyle name="Millares 5 4" xfId="82" xr:uid="{0579B8FE-4ACD-426A-B388-11BF52700084}"/>
    <cellStyle name="Millares 5 5" xfId="67" xr:uid="{CC6682D3-D359-48D5-A04C-DB668F9B55CF}"/>
    <cellStyle name="Millares 5 6" xfId="52" xr:uid="{CC409022-CA14-4F2D-A317-176EB2CD11E2}"/>
    <cellStyle name="Millares 5 7" xfId="37" xr:uid="{F84D456C-4035-46BF-9DAA-5CD44C452F92}"/>
    <cellStyle name="Millares 6" xfId="23" xr:uid="{4D61E2F9-8F70-4563-A3F1-2F77F2685F4A}"/>
    <cellStyle name="Millares 6 2" xfId="117" xr:uid="{6A594710-EC3E-4A46-9BD3-44BD39E3566E}"/>
    <cellStyle name="Millares 6 3" xfId="98" xr:uid="{A45D0FD3-703F-4989-B64E-47E0756210C5}"/>
    <cellStyle name="Millares 6 4" xfId="83" xr:uid="{66CA6320-92ED-41C4-999F-5866C9BA77E8}"/>
    <cellStyle name="Millares 6 5" xfId="68" xr:uid="{C02A234A-881F-45AC-8BEF-5D4F56069841}"/>
    <cellStyle name="Millares 6 6" xfId="53" xr:uid="{57A09402-4D62-43DA-B653-4E026F311A6F}"/>
    <cellStyle name="Millares 6 7" xfId="38" xr:uid="{CBB08D34-1E99-410B-A5B2-852DB9748AD1}"/>
    <cellStyle name="Millares 7" xfId="24" xr:uid="{C7BB51F4-4AED-44A1-A7D0-66E46EB8E699}"/>
    <cellStyle name="Millares 7 2" xfId="118" xr:uid="{8BE98190-932E-4A71-9F27-D89A5B5FA111}"/>
    <cellStyle name="Millares 7 3" xfId="99" xr:uid="{2CA3CCA7-2ACE-4C7B-B71C-AD3C0D227AEB}"/>
    <cellStyle name="Millares 7 4" xfId="84" xr:uid="{141367DB-751A-432D-9A48-3097FF9AB4FA}"/>
    <cellStyle name="Millares 7 5" xfId="69" xr:uid="{EF9DB0D8-A0D6-495E-AEE9-25BF5DAE48EA}"/>
    <cellStyle name="Millares 7 6" xfId="54" xr:uid="{C280D99C-A488-4C6A-A42C-33A09395E613}"/>
    <cellStyle name="Millares 7 7" xfId="39" xr:uid="{F3066A6A-83AF-48B7-BEA4-D1B714B10032}"/>
    <cellStyle name="Millares 8" xfId="25" xr:uid="{C0FA2246-9286-4285-BC5E-130DE76BDD74}"/>
    <cellStyle name="Millares 8 2" xfId="119" xr:uid="{C1D7ABC8-C95D-4FF1-80C0-39A34ABCA6D0}"/>
    <cellStyle name="Millares 8 3" xfId="100" xr:uid="{94DAA2C0-6A35-4BAC-9F9E-7D698DD79A3F}"/>
    <cellStyle name="Millares 8 4" xfId="85" xr:uid="{069A2A5A-501C-442E-A0D5-2CB7327EC6AC}"/>
    <cellStyle name="Millares 8 5" xfId="70" xr:uid="{639D2D56-DD07-4E22-A8CA-F75B50DF7AA5}"/>
    <cellStyle name="Millares 8 6" xfId="55" xr:uid="{4FE4FCBD-6377-4E66-A801-EEC63CDF5C2D}"/>
    <cellStyle name="Millares 8 7" xfId="40" xr:uid="{15C23E11-0634-46D1-BD68-065891C630C0}"/>
    <cellStyle name="Millares 9" xfId="26" xr:uid="{CD2909FA-6D69-4CA3-A179-56F735BA51CB}"/>
    <cellStyle name="Millares 9 2" xfId="120" xr:uid="{4F7698AD-390F-4379-A991-F842C867C3C4}"/>
    <cellStyle name="Millares 9 3" xfId="101" xr:uid="{5CAE7653-68EB-4E84-A455-991A59C2DEB9}"/>
    <cellStyle name="Millares 9 4" xfId="86" xr:uid="{8461F872-226B-4202-846E-A63AE1D0CFB0}"/>
    <cellStyle name="Millares 9 5" xfId="71" xr:uid="{A35A5D9A-0340-4816-B119-6162877A7D03}"/>
    <cellStyle name="Millares 9 6" xfId="56" xr:uid="{AACE7563-89C2-477A-83E4-BF83F3265687}"/>
    <cellStyle name="Millares 9 7" xfId="41" xr:uid="{50D7B862-F18A-4BA0-ADE5-7660184DB088}"/>
    <cellStyle name="Normal" xfId="0" builtinId="0"/>
    <cellStyle name="Normal 10 2" xfId="2" xr:uid="{00000000-0005-0000-0000-000004000000}"/>
    <cellStyle name="Normal 10 3 3" xfId="13" xr:uid="{00000000-0005-0000-0000-000005000000}"/>
    <cellStyle name="Normal 11" xfId="7" xr:uid="{00000000-0005-0000-0000-000006000000}"/>
    <cellStyle name="Normal 2 2 2" xfId="12" xr:uid="{00000000-0005-0000-0000-000007000000}"/>
    <cellStyle name="Normal 3 2 5" xfId="112" xr:uid="{00000000-0005-0000-0000-000005000000}"/>
    <cellStyle name="Normal 4 2" xfId="111" xr:uid="{00000000-0005-0000-0000-000006000000}"/>
    <cellStyle name="Normal 4 2 2" xfId="5" xr:uid="{00000000-0005-0000-0000-000008000000}"/>
    <cellStyle name="Normal 4 3 2" xfId="3" xr:uid="{00000000-0005-0000-0000-000009000000}"/>
    <cellStyle name="Normal 5 2" xfId="4" xr:uid="{00000000-0005-0000-0000-00000A000000}"/>
    <cellStyle name="Normal 6" xfId="11" xr:uid="{00000000-0005-0000-0000-00000B000000}"/>
    <cellStyle name="Normal 6 2" xfId="130" xr:uid="{EAF473B8-5B06-4994-A32B-76BC42D3C555}"/>
    <cellStyle name="Normal 6 2 2" xfId="6" xr:uid="{00000000-0005-0000-0000-00000C000000}"/>
    <cellStyle name="Normal 7 2 2" xfId="10" xr:uid="{00000000-0005-0000-0000-00000D000000}"/>
    <cellStyle name="Normal 8" xfId="18" xr:uid="{00000000-0005-0000-0000-00000B000000}"/>
    <cellStyle name="Normal 9" xfId="110" xr:uid="{00000000-0005-0000-0000-00000C000000}"/>
    <cellStyle name="Normal 9 2" xfId="17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0</xdr:row>
      <xdr:rowOff>123826</xdr:rowOff>
    </xdr:from>
    <xdr:ext cx="1901758" cy="381000"/>
    <xdr:pic>
      <xdr:nvPicPr>
        <xdr:cNvPr id="34" name="Imagen 33">
          <a:extLst>
            <a:ext uri="{FF2B5EF4-FFF2-40B4-BE49-F238E27FC236}">
              <a16:creationId xmlns:a16="http://schemas.microsoft.com/office/drawing/2014/main" id="{86B3017B-F321-461E-9D85-1EDBBE96F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23826"/>
          <a:ext cx="1901758" cy="381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showGridLines="0" tabSelected="1" workbookViewId="0"/>
  </sheetViews>
  <sheetFormatPr baseColWidth="10" defaultColWidth="11.42578125" defaultRowHeight="14.25" x14ac:dyDescent="0.2"/>
  <cols>
    <col min="1" max="1" width="1.7109375" style="72" customWidth="1"/>
    <col min="2" max="2" width="20.28515625" style="72" customWidth="1"/>
    <col min="3" max="3" width="17.42578125" style="72" customWidth="1"/>
    <col min="4" max="14" width="11.42578125" style="72"/>
    <col min="15" max="15" width="1.5703125" style="72" customWidth="1"/>
    <col min="16" max="16384" width="11.42578125" style="72"/>
  </cols>
  <sheetData>
    <row r="1" spans="1:20" s="158" customFormat="1" ht="20.100000000000001" customHeight="1" x14ac:dyDescent="0.25">
      <c r="A1" s="156"/>
      <c r="B1" s="157"/>
      <c r="C1" s="157"/>
    </row>
    <row r="2" spans="1:20" s="158" customFormat="1" ht="20.100000000000001" customHeight="1" x14ac:dyDescent="0.25">
      <c r="B2" s="187" t="s">
        <v>75</v>
      </c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</row>
    <row r="3" spans="1:20" s="158" customFormat="1" ht="20.100000000000001" customHeight="1" x14ac:dyDescent="0.25">
      <c r="B3" s="188" t="s">
        <v>28</v>
      </c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</row>
    <row r="4" spans="1:20" ht="6.95" customHeight="1" x14ac:dyDescent="0.2"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</row>
    <row r="5" spans="1:20" ht="20.100000000000001" customHeight="1" x14ac:dyDescent="0.2">
      <c r="A5" s="191" t="s">
        <v>87</v>
      </c>
      <c r="B5" s="191"/>
      <c r="C5" s="191"/>
      <c r="D5" s="191"/>
      <c r="E5" s="191"/>
      <c r="F5" s="191"/>
      <c r="G5" s="191"/>
      <c r="H5" s="191"/>
      <c r="I5" s="191"/>
      <c r="J5" s="191"/>
      <c r="K5" s="191"/>
      <c r="L5" s="191"/>
      <c r="M5" s="191"/>
      <c r="N5" s="191"/>
      <c r="O5" s="74"/>
    </row>
    <row r="6" spans="1:20" ht="6.95" customHeight="1" x14ac:dyDescent="0.2">
      <c r="A6" s="73"/>
      <c r="B6" s="74" t="s">
        <v>29</v>
      </c>
      <c r="C6" s="75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3"/>
      <c r="T6" s="76"/>
    </row>
    <row r="7" spans="1:20" ht="20.100000000000001" customHeight="1" x14ac:dyDescent="0.2">
      <c r="A7" s="73"/>
      <c r="B7" s="190" t="s">
        <v>29</v>
      </c>
      <c r="C7" s="190"/>
      <c r="D7" s="190"/>
      <c r="E7" s="190"/>
      <c r="F7" s="190"/>
      <c r="G7" s="190"/>
      <c r="H7" s="190"/>
      <c r="I7" s="190"/>
      <c r="J7" s="190"/>
      <c r="K7" s="190"/>
      <c r="L7" s="190"/>
      <c r="M7" s="190"/>
      <c r="N7" s="190"/>
      <c r="O7" s="73"/>
    </row>
    <row r="8" spans="1:20" ht="20.100000000000001" customHeight="1" x14ac:dyDescent="0.2">
      <c r="A8" s="77"/>
      <c r="B8" s="78" t="s">
        <v>88</v>
      </c>
      <c r="C8" s="79"/>
      <c r="D8" s="77"/>
      <c r="E8" s="77"/>
      <c r="F8" s="77"/>
      <c r="G8" s="77"/>
      <c r="H8" s="77"/>
      <c r="I8" s="77"/>
      <c r="J8" s="77"/>
      <c r="K8" s="77"/>
      <c r="L8" s="77"/>
      <c r="M8" s="189" t="str">
        <f>CONCATENATE("Total de tabulados: ", COUNTIF(C11:C17,"&lt;&gt;"))</f>
        <v>Total de tabulados: 7</v>
      </c>
      <c r="N8" s="189"/>
      <c r="O8" s="77"/>
    </row>
    <row r="9" spans="1:20" ht="6.95" customHeight="1" thickBot="1" x14ac:dyDescent="0.25"/>
    <row r="10" spans="1:20" ht="15.75" thickBot="1" x14ac:dyDescent="0.25">
      <c r="B10" s="80" t="s">
        <v>30</v>
      </c>
      <c r="C10" s="81" t="s">
        <v>31</v>
      </c>
      <c r="D10" s="192" t="s">
        <v>32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3"/>
    </row>
    <row r="11" spans="1:20" ht="39.950000000000003" customHeight="1" x14ac:dyDescent="0.2">
      <c r="B11" s="194" t="s">
        <v>33</v>
      </c>
      <c r="C11" s="82" t="s">
        <v>12</v>
      </c>
      <c r="D11" s="197" t="s">
        <v>24</v>
      </c>
      <c r="E11" s="198"/>
      <c r="F11" s="198"/>
      <c r="G11" s="198"/>
      <c r="H11" s="198"/>
      <c r="I11" s="198"/>
      <c r="J11" s="198"/>
      <c r="K11" s="198"/>
      <c r="L11" s="198"/>
      <c r="M11" s="198"/>
      <c r="N11" s="199"/>
      <c r="O11" s="51"/>
      <c r="P11" s="51"/>
      <c r="Q11" s="51"/>
      <c r="R11" s="51"/>
      <c r="S11" s="51"/>
      <c r="T11" s="51"/>
    </row>
    <row r="12" spans="1:20" ht="39.950000000000003" customHeight="1" x14ac:dyDescent="0.2">
      <c r="B12" s="195"/>
      <c r="C12" s="83" t="s">
        <v>13</v>
      </c>
      <c r="D12" s="197" t="s">
        <v>85</v>
      </c>
      <c r="E12" s="198"/>
      <c r="F12" s="198"/>
      <c r="G12" s="198"/>
      <c r="H12" s="198"/>
      <c r="I12" s="198"/>
      <c r="J12" s="198"/>
      <c r="K12" s="198"/>
      <c r="L12" s="198"/>
      <c r="M12" s="198"/>
      <c r="N12" s="199"/>
      <c r="O12" s="51"/>
      <c r="P12" s="51"/>
      <c r="Q12" s="51"/>
      <c r="R12" s="51"/>
      <c r="S12" s="51"/>
      <c r="T12" s="51"/>
    </row>
    <row r="13" spans="1:20" ht="39.950000000000003" customHeight="1" x14ac:dyDescent="0.2">
      <c r="B13" s="195"/>
      <c r="C13" s="84" t="s">
        <v>14</v>
      </c>
      <c r="D13" s="200" t="s">
        <v>38</v>
      </c>
      <c r="E13" s="201"/>
      <c r="F13" s="201"/>
      <c r="G13" s="201"/>
      <c r="H13" s="201"/>
      <c r="I13" s="201"/>
      <c r="J13" s="201"/>
      <c r="K13" s="201"/>
      <c r="L13" s="201"/>
      <c r="M13" s="201"/>
      <c r="N13" s="202"/>
      <c r="O13" s="51"/>
      <c r="P13" s="51"/>
      <c r="Q13" s="51"/>
      <c r="R13" s="51"/>
      <c r="S13" s="51"/>
      <c r="T13" s="51"/>
    </row>
    <row r="14" spans="1:20" ht="39.950000000000003" customHeight="1" x14ac:dyDescent="0.2">
      <c r="B14" s="195"/>
      <c r="C14" s="84" t="s">
        <v>15</v>
      </c>
      <c r="D14" s="200" t="s">
        <v>76</v>
      </c>
      <c r="E14" s="201"/>
      <c r="F14" s="201"/>
      <c r="G14" s="201"/>
      <c r="H14" s="201"/>
      <c r="I14" s="201"/>
      <c r="J14" s="201"/>
      <c r="K14" s="201"/>
      <c r="L14" s="201"/>
      <c r="M14" s="201"/>
      <c r="N14" s="202"/>
      <c r="O14" s="51"/>
      <c r="P14" s="51"/>
      <c r="Q14" s="51"/>
      <c r="R14" s="51"/>
      <c r="S14" s="51"/>
      <c r="T14" s="51"/>
    </row>
    <row r="15" spans="1:20" ht="39.950000000000003" customHeight="1" x14ac:dyDescent="0.2">
      <c r="B15" s="195"/>
      <c r="C15" s="84" t="s">
        <v>46</v>
      </c>
      <c r="D15" s="200" t="s">
        <v>77</v>
      </c>
      <c r="E15" s="201"/>
      <c r="F15" s="201"/>
      <c r="G15" s="201"/>
      <c r="H15" s="201"/>
      <c r="I15" s="201"/>
      <c r="J15" s="201"/>
      <c r="K15" s="201"/>
      <c r="L15" s="201"/>
      <c r="M15" s="201"/>
      <c r="N15" s="202"/>
      <c r="O15" s="51"/>
      <c r="P15" s="51"/>
      <c r="Q15" s="51"/>
      <c r="R15" s="51"/>
      <c r="S15" s="51"/>
      <c r="T15" s="51"/>
    </row>
    <row r="16" spans="1:20" ht="39.950000000000003" customHeight="1" x14ac:dyDescent="0.2">
      <c r="B16" s="195"/>
      <c r="C16" s="83" t="s">
        <v>49</v>
      </c>
      <c r="D16" s="200" t="s">
        <v>78</v>
      </c>
      <c r="E16" s="201"/>
      <c r="F16" s="201"/>
      <c r="G16" s="201"/>
      <c r="H16" s="201"/>
      <c r="I16" s="201"/>
      <c r="J16" s="201"/>
      <c r="K16" s="201"/>
      <c r="L16" s="201"/>
      <c r="M16" s="201"/>
      <c r="N16" s="202"/>
      <c r="O16" s="51"/>
      <c r="P16" s="51"/>
      <c r="Q16" s="51"/>
      <c r="R16" s="51"/>
      <c r="S16" s="51"/>
      <c r="T16" s="51"/>
    </row>
    <row r="17" spans="2:14" ht="39.950000000000003" customHeight="1" thickBot="1" x14ac:dyDescent="0.25">
      <c r="B17" s="196"/>
      <c r="C17" s="85" t="s">
        <v>50</v>
      </c>
      <c r="D17" s="203" t="s">
        <v>79</v>
      </c>
      <c r="E17" s="204"/>
      <c r="F17" s="204"/>
      <c r="G17" s="204"/>
      <c r="H17" s="204"/>
      <c r="I17" s="204"/>
      <c r="J17" s="204"/>
      <c r="K17" s="204"/>
      <c r="L17" s="204"/>
      <c r="M17" s="204"/>
      <c r="N17" s="205"/>
    </row>
    <row r="19" spans="2:14" x14ac:dyDescent="0.2">
      <c r="B19" s="86"/>
    </row>
    <row r="20" spans="2:14" x14ac:dyDescent="0.2">
      <c r="B20" s="86"/>
    </row>
    <row r="21" spans="2:14" x14ac:dyDescent="0.2">
      <c r="B21" s="87"/>
    </row>
  </sheetData>
  <mergeCells count="14">
    <mergeCell ref="D10:N10"/>
    <mergeCell ref="B11:B17"/>
    <mergeCell ref="D11:N11"/>
    <mergeCell ref="D12:N12"/>
    <mergeCell ref="D15:N15"/>
    <mergeCell ref="D17:N17"/>
    <mergeCell ref="D13:N13"/>
    <mergeCell ref="D14:N14"/>
    <mergeCell ref="D16:N16"/>
    <mergeCell ref="B2:N2"/>
    <mergeCell ref="B3:N3"/>
    <mergeCell ref="M8:N8"/>
    <mergeCell ref="B7:N7"/>
    <mergeCell ref="A5:N5"/>
  </mergeCells>
  <hyperlinks>
    <hyperlink ref="C11" location="'Cuadro 7.1'!A1" tooltip="Ir a Cuadro 7.1" display="Cuadro 7.1" xr:uid="{00000000-0004-0000-0000-000000000000}"/>
    <hyperlink ref="C17" location="'Cuadro 7.7'!A1" tooltip="Ir a Cuadro 7.7" display="Cuadro 7.7" xr:uid="{00000000-0004-0000-0000-000001000000}"/>
    <hyperlink ref="C12" location="'Cuadro 7.2'!A1" tooltip="Ir a Cuadro 7.2" display="Cuadro 7.2" xr:uid="{00000000-0004-0000-0000-000002000000}"/>
    <hyperlink ref="C15" location="'Cuadro 7.5'!A1" tooltip="Ir a Cuadro 7.5" display="Cuadro 7.5" xr:uid="{00000000-0004-0000-0000-000003000000}"/>
    <hyperlink ref="C13:C14" location="'Cuadro 7.3'!A1" tooltip="Ir a Cuadro 7.3" display="Cuadro 7.3" xr:uid="{00177073-7A72-4EB7-A1E8-931FBB25DA5B}"/>
    <hyperlink ref="C14" location="'Cuadro 7.4'!A1" tooltip="Ir a Cuadro 7.4" display="Cuadro 7.4" xr:uid="{C2B3ADCA-D667-41C1-8A7B-8C843AA34FE5}"/>
    <hyperlink ref="C16" location="'Cuadro 7.6'!A1" tooltip="Ir a Cuadro 7.6" display="Cuadro 7.6" xr:uid="{4E664BEC-44B9-4FBA-AF01-4532DF4D2E5E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L29"/>
  <sheetViews>
    <sheetView showGridLines="0" workbookViewId="0"/>
  </sheetViews>
  <sheetFormatPr baseColWidth="10" defaultColWidth="11.42578125" defaultRowHeight="15" x14ac:dyDescent="0.25"/>
  <cols>
    <col min="1" max="1" width="1.7109375" customWidth="1"/>
    <col min="2" max="2" width="30.7109375" customWidth="1"/>
    <col min="3" max="3" width="1.7109375" customWidth="1"/>
    <col min="4" max="4" width="15.7109375" style="107" customWidth="1"/>
    <col min="5" max="5" width="15.7109375" customWidth="1"/>
    <col min="6" max="6" width="1.7109375" customWidth="1"/>
    <col min="7" max="7" width="15.7109375" style="107" customWidth="1"/>
    <col min="8" max="8" width="15.7109375" customWidth="1"/>
    <col min="9" max="9" width="1.7109375" customWidth="1"/>
    <col min="10" max="10" width="15.7109375" style="107" customWidth="1"/>
    <col min="11" max="11" width="15.7109375" customWidth="1"/>
    <col min="12" max="12" width="1.7109375" customWidth="1"/>
    <col min="13" max="13" width="15.7109375" style="107" customWidth="1"/>
    <col min="14" max="14" width="15.7109375" customWidth="1"/>
    <col min="15" max="15" width="1.7109375" customWidth="1"/>
    <col min="16" max="16" width="15.7109375" style="107" customWidth="1"/>
    <col min="17" max="17" width="15.7109375" customWidth="1"/>
    <col min="18" max="18" width="1.7109375" customWidth="1"/>
    <col min="19" max="19" width="15.7109375" style="107" customWidth="1"/>
    <col min="20" max="20" width="15.7109375" customWidth="1"/>
    <col min="21" max="21" width="1.7109375" customWidth="1"/>
    <col min="22" max="22" width="15.7109375" style="107" customWidth="1"/>
    <col min="23" max="23" width="15.7109375" customWidth="1"/>
    <col min="24" max="24" width="1.7109375" customWidth="1"/>
    <col min="25" max="25" width="15.7109375" style="107" customWidth="1"/>
    <col min="26" max="26" width="15.7109375" customWidth="1"/>
    <col min="27" max="27" width="1.7109375" customWidth="1"/>
    <col min="28" max="28" width="15.7109375" style="107" customWidth="1"/>
    <col min="29" max="29" width="15.7109375" customWidth="1"/>
    <col min="30" max="30" width="1.7109375" customWidth="1"/>
    <col min="31" max="31" width="15.7109375" style="107" customWidth="1"/>
    <col min="32" max="32" width="15.7109375" customWidth="1"/>
    <col min="33" max="33" width="1.7109375" customWidth="1"/>
    <col min="34" max="34" width="15.7109375" style="107" customWidth="1"/>
    <col min="35" max="35" width="15.7109375" customWidth="1"/>
    <col min="36" max="36" width="1.7109375" customWidth="1"/>
    <col min="37" max="37" width="15.7109375" style="107" customWidth="1"/>
    <col min="38" max="38" width="15.7109375" customWidth="1"/>
  </cols>
  <sheetData>
    <row r="1" spans="2:38" x14ac:dyDescent="0.25">
      <c r="B1" s="229" t="s">
        <v>89</v>
      </c>
      <c r="C1" s="41"/>
      <c r="AL1" s="50" t="s">
        <v>27</v>
      </c>
    </row>
    <row r="2" spans="2:38" ht="6.95" customHeight="1" x14ac:dyDescent="0.25"/>
    <row r="3" spans="2:38" x14ac:dyDescent="0.25">
      <c r="B3" s="41" t="s">
        <v>87</v>
      </c>
    </row>
    <row r="4" spans="2:38" ht="6.95" customHeight="1" x14ac:dyDescent="0.25">
      <c r="B4" s="1"/>
      <c r="C4" s="1"/>
      <c r="D4" s="108"/>
      <c r="E4" s="1"/>
      <c r="F4" s="1"/>
      <c r="G4" s="108"/>
      <c r="H4" s="1"/>
      <c r="I4" s="1"/>
      <c r="J4" s="115"/>
      <c r="K4" s="2"/>
      <c r="L4" s="2"/>
      <c r="M4" s="118"/>
      <c r="N4" s="3"/>
    </row>
    <row r="5" spans="2:38" x14ac:dyDescent="0.25">
      <c r="B5" s="42" t="s">
        <v>24</v>
      </c>
      <c r="C5" s="42"/>
      <c r="D5" s="108"/>
      <c r="E5" s="1"/>
      <c r="F5" s="1"/>
      <c r="G5" s="108"/>
      <c r="H5" s="1"/>
      <c r="I5" s="1"/>
      <c r="J5" s="108"/>
      <c r="K5" s="1"/>
      <c r="L5" s="1"/>
      <c r="M5" s="118"/>
      <c r="N5" s="3"/>
      <c r="O5" s="2"/>
      <c r="AL5" s="43" t="s">
        <v>12</v>
      </c>
    </row>
    <row r="6" spans="2:38" ht="6.95" customHeight="1" x14ac:dyDescent="0.25">
      <c r="B6" s="4"/>
      <c r="C6" s="4"/>
      <c r="D6" s="109"/>
      <c r="E6" s="5"/>
      <c r="F6" s="5"/>
      <c r="G6" s="109"/>
      <c r="H6" s="5"/>
      <c r="I6" s="5"/>
      <c r="J6" s="117"/>
      <c r="K6" s="6"/>
      <c r="L6" s="6"/>
      <c r="M6" s="118"/>
      <c r="N6" s="3"/>
      <c r="O6" s="2"/>
    </row>
    <row r="7" spans="2:38" ht="15" customHeight="1" x14ac:dyDescent="0.25">
      <c r="B7" s="211" t="s">
        <v>64</v>
      </c>
      <c r="C7" s="90"/>
      <c r="D7" s="208" t="s">
        <v>21</v>
      </c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45"/>
      <c r="P7" s="208" t="s">
        <v>4</v>
      </c>
      <c r="Q7" s="208"/>
      <c r="R7" s="208"/>
      <c r="S7" s="208"/>
      <c r="T7" s="208"/>
      <c r="U7" s="208"/>
      <c r="V7" s="208"/>
      <c r="W7" s="208"/>
      <c r="X7" s="208"/>
      <c r="Y7" s="208"/>
      <c r="Z7" s="208"/>
      <c r="AA7" s="46"/>
      <c r="AB7" s="208" t="s">
        <v>5</v>
      </c>
      <c r="AC7" s="208"/>
      <c r="AD7" s="208"/>
      <c r="AE7" s="208"/>
      <c r="AF7" s="208"/>
      <c r="AG7" s="208"/>
      <c r="AH7" s="208"/>
      <c r="AI7" s="208"/>
      <c r="AJ7" s="208"/>
      <c r="AK7" s="208"/>
      <c r="AL7" s="208"/>
    </row>
    <row r="8" spans="2:38" ht="15" customHeight="1" x14ac:dyDescent="0.25">
      <c r="B8" s="212"/>
      <c r="C8" s="39"/>
      <c r="D8" s="206" t="s">
        <v>39</v>
      </c>
      <c r="E8" s="206"/>
      <c r="F8" s="92"/>
      <c r="G8" s="214" t="s">
        <v>22</v>
      </c>
      <c r="H8" s="214"/>
      <c r="I8" s="214"/>
      <c r="J8" s="214"/>
      <c r="K8" s="214"/>
      <c r="L8" s="214"/>
      <c r="M8" s="214"/>
      <c r="N8" s="214"/>
      <c r="O8" s="40"/>
      <c r="P8" s="206" t="s">
        <v>39</v>
      </c>
      <c r="Q8" s="206"/>
      <c r="R8" s="92"/>
      <c r="S8" s="214" t="s">
        <v>22</v>
      </c>
      <c r="T8" s="214"/>
      <c r="U8" s="206"/>
      <c r="V8" s="214"/>
      <c r="W8" s="214"/>
      <c r="X8" s="214"/>
      <c r="Y8" s="214"/>
      <c r="Z8" s="214"/>
      <c r="AA8" s="40"/>
      <c r="AB8" s="206" t="s">
        <v>39</v>
      </c>
      <c r="AC8" s="206"/>
      <c r="AD8" s="93"/>
      <c r="AE8" s="207" t="s">
        <v>22</v>
      </c>
      <c r="AF8" s="207"/>
      <c r="AG8" s="207"/>
      <c r="AH8" s="209"/>
      <c r="AI8" s="209"/>
      <c r="AJ8" s="209"/>
      <c r="AK8" s="209"/>
      <c r="AL8" s="209"/>
    </row>
    <row r="9" spans="2:38" ht="30" customHeight="1" x14ac:dyDescent="0.25">
      <c r="B9" s="212"/>
      <c r="C9" s="39"/>
      <c r="D9" s="207"/>
      <c r="E9" s="207"/>
      <c r="F9" s="93"/>
      <c r="G9" s="207" t="s">
        <v>0</v>
      </c>
      <c r="H9" s="207"/>
      <c r="I9" s="40"/>
      <c r="J9" s="207" t="s">
        <v>42</v>
      </c>
      <c r="K9" s="207"/>
      <c r="L9" s="40"/>
      <c r="M9" s="207" t="s">
        <v>43</v>
      </c>
      <c r="N9" s="207"/>
      <c r="O9" s="3"/>
      <c r="P9" s="207"/>
      <c r="Q9" s="207"/>
      <c r="R9" s="93"/>
      <c r="S9" s="207" t="s">
        <v>0</v>
      </c>
      <c r="T9" s="207"/>
      <c r="U9" s="92"/>
      <c r="V9" s="207" t="s">
        <v>42</v>
      </c>
      <c r="W9" s="207"/>
      <c r="X9" s="40"/>
      <c r="Y9" s="207" t="s">
        <v>43</v>
      </c>
      <c r="Z9" s="207"/>
      <c r="AA9" s="3"/>
      <c r="AB9" s="207"/>
      <c r="AC9" s="207"/>
      <c r="AD9" s="93"/>
      <c r="AE9" s="207" t="s">
        <v>0</v>
      </c>
      <c r="AF9" s="207"/>
      <c r="AG9" s="7"/>
      <c r="AH9" s="207" t="s">
        <v>42</v>
      </c>
      <c r="AI9" s="207"/>
      <c r="AJ9" s="40"/>
      <c r="AK9" s="207" t="s">
        <v>43</v>
      </c>
      <c r="AL9" s="207"/>
    </row>
    <row r="10" spans="2:38" x14ac:dyDescent="0.25">
      <c r="B10" s="213"/>
      <c r="C10" s="91"/>
      <c r="D10" s="110" t="s">
        <v>25</v>
      </c>
      <c r="E10" s="44" t="s">
        <v>26</v>
      </c>
      <c r="F10" s="94"/>
      <c r="G10" s="110" t="s">
        <v>25</v>
      </c>
      <c r="H10" s="44" t="s">
        <v>26</v>
      </c>
      <c r="I10" s="44"/>
      <c r="J10" s="110" t="s">
        <v>25</v>
      </c>
      <c r="K10" s="44" t="s">
        <v>26</v>
      </c>
      <c r="L10" s="44"/>
      <c r="M10" s="110" t="s">
        <v>25</v>
      </c>
      <c r="N10" s="44" t="s">
        <v>26</v>
      </c>
      <c r="O10" s="44"/>
      <c r="P10" s="110" t="s">
        <v>25</v>
      </c>
      <c r="Q10" s="44" t="s">
        <v>26</v>
      </c>
      <c r="R10" s="94"/>
      <c r="S10" s="110" t="s">
        <v>25</v>
      </c>
      <c r="T10" s="44" t="s">
        <v>26</v>
      </c>
      <c r="U10" s="44"/>
      <c r="V10" s="110" t="s">
        <v>25</v>
      </c>
      <c r="W10" s="44" t="s">
        <v>26</v>
      </c>
      <c r="X10" s="44"/>
      <c r="Y10" s="110" t="s">
        <v>25</v>
      </c>
      <c r="Z10" s="44" t="s">
        <v>26</v>
      </c>
      <c r="AA10" s="44"/>
      <c r="AB10" s="110" t="s">
        <v>25</v>
      </c>
      <c r="AC10" s="44" t="s">
        <v>26</v>
      </c>
      <c r="AD10" s="94"/>
      <c r="AE10" s="110" t="s">
        <v>25</v>
      </c>
      <c r="AF10" s="44" t="s">
        <v>26</v>
      </c>
      <c r="AG10" s="44"/>
      <c r="AH10" s="110" t="s">
        <v>25</v>
      </c>
      <c r="AI10" s="44" t="s">
        <v>26</v>
      </c>
      <c r="AJ10" s="44"/>
      <c r="AK10" s="110" t="s">
        <v>25</v>
      </c>
      <c r="AL10" s="44" t="s">
        <v>26</v>
      </c>
    </row>
    <row r="11" spans="2:38" ht="6.95" customHeight="1" x14ac:dyDescent="0.25">
      <c r="B11" s="39"/>
      <c r="C11" s="39"/>
      <c r="D11" s="111"/>
      <c r="E11" s="93"/>
      <c r="F11" s="93"/>
      <c r="G11" s="116"/>
      <c r="H11" s="47"/>
      <c r="I11" s="47"/>
      <c r="J11" s="116"/>
      <c r="K11" s="47"/>
      <c r="L11" s="47"/>
      <c r="M11" s="116"/>
      <c r="N11" s="47"/>
      <c r="O11" s="47"/>
      <c r="P11" s="111"/>
      <c r="Q11" s="93"/>
      <c r="R11" s="93"/>
      <c r="S11" s="116"/>
      <c r="T11" s="47"/>
      <c r="U11" s="47"/>
      <c r="V11" s="112"/>
      <c r="W11" s="47"/>
      <c r="X11" s="47"/>
      <c r="Y11" s="116"/>
      <c r="Z11" s="47"/>
      <c r="AA11" s="47"/>
      <c r="AB11" s="123"/>
      <c r="AC11" s="40"/>
      <c r="AD11" s="40"/>
      <c r="AE11" s="116"/>
      <c r="AF11" s="47"/>
      <c r="AG11" s="47"/>
      <c r="AH11" s="116"/>
      <c r="AI11" s="47"/>
      <c r="AJ11" s="47"/>
      <c r="AK11" s="116"/>
      <c r="AL11" s="47"/>
    </row>
    <row r="12" spans="2:38" ht="15" customHeight="1" x14ac:dyDescent="0.25">
      <c r="B12" s="48" t="s">
        <v>1</v>
      </c>
      <c r="C12" s="48"/>
      <c r="D12" s="173">
        <v>88168959.549554095</v>
      </c>
      <c r="E12" s="174">
        <v>100</v>
      </c>
      <c r="F12" s="173"/>
      <c r="G12" s="173">
        <v>76685708.633458003</v>
      </c>
      <c r="H12" s="174">
        <v>87.441161631533902</v>
      </c>
      <c r="I12" s="173"/>
      <c r="J12" s="173">
        <v>19190011.2856219</v>
      </c>
      <c r="K12" s="174">
        <v>22.1075039709518</v>
      </c>
      <c r="L12" s="173"/>
      <c r="M12" s="173">
        <v>8468974.8367196992</v>
      </c>
      <c r="N12" s="174">
        <v>9.7736719791046696</v>
      </c>
      <c r="O12" s="173"/>
      <c r="P12" s="173">
        <v>47788866.463474698</v>
      </c>
      <c r="Q12" s="174">
        <v>100</v>
      </c>
      <c r="R12" s="173"/>
      <c r="S12" s="173">
        <v>42168016.527382404</v>
      </c>
      <c r="T12" s="174">
        <v>88.858386496102696</v>
      </c>
      <c r="U12" s="173"/>
      <c r="V12" s="173">
        <v>9355601.3766535092</v>
      </c>
      <c r="W12" s="174">
        <v>20.0743192975632</v>
      </c>
      <c r="X12" s="173"/>
      <c r="Y12" s="173">
        <v>4594540.5128959101</v>
      </c>
      <c r="Z12" s="174">
        <v>9.8442891500706597</v>
      </c>
      <c r="AA12" s="173"/>
      <c r="AB12" s="173">
        <v>41315778.788891397</v>
      </c>
      <c r="AC12" s="174">
        <v>100</v>
      </c>
      <c r="AD12" s="173"/>
      <c r="AE12" s="173">
        <v>35361992.931928501</v>
      </c>
      <c r="AF12" s="174">
        <v>86.400273901881306</v>
      </c>
      <c r="AG12" s="173"/>
      <c r="AH12" s="173">
        <v>10174458.561131001</v>
      </c>
      <c r="AI12" s="174">
        <v>25.202825021519001</v>
      </c>
      <c r="AJ12" s="173"/>
      <c r="AK12" s="173">
        <v>4099599.42400485</v>
      </c>
      <c r="AL12" s="174">
        <v>10.1908459300692</v>
      </c>
    </row>
    <row r="13" spans="2:38" ht="6.95" customHeight="1" x14ac:dyDescent="0.25">
      <c r="B13" s="10"/>
      <c r="C13" s="10"/>
      <c r="D13" s="173"/>
      <c r="E13" s="175"/>
      <c r="F13" s="173"/>
      <c r="G13" s="173"/>
      <c r="H13" s="175"/>
      <c r="I13" s="173"/>
      <c r="J13" s="173"/>
      <c r="K13" s="175"/>
      <c r="L13" s="173"/>
      <c r="M13" s="173"/>
      <c r="N13" s="175"/>
      <c r="O13" s="173"/>
      <c r="P13" s="173"/>
      <c r="Q13" s="175"/>
      <c r="R13" s="173"/>
      <c r="S13" s="173"/>
      <c r="T13" s="175"/>
      <c r="U13" s="173"/>
      <c r="V13" s="173"/>
      <c r="W13" s="175"/>
      <c r="X13" s="173"/>
      <c r="Y13" s="173"/>
      <c r="Z13" s="175"/>
      <c r="AA13" s="173"/>
      <c r="AB13" s="173"/>
      <c r="AC13" s="175"/>
      <c r="AD13" s="173"/>
      <c r="AE13" s="173"/>
      <c r="AF13" s="175"/>
      <c r="AG13" s="173"/>
      <c r="AH13" s="173"/>
      <c r="AI13" s="175"/>
      <c r="AJ13" s="173"/>
      <c r="AK13" s="173"/>
      <c r="AL13" s="175"/>
    </row>
    <row r="14" spans="2:38" ht="15" customHeight="1" x14ac:dyDescent="0.25">
      <c r="B14" s="49" t="s">
        <v>2</v>
      </c>
      <c r="C14" s="49"/>
      <c r="D14" s="176">
        <v>88168959.549554095</v>
      </c>
      <c r="E14" s="175">
        <v>100</v>
      </c>
      <c r="F14" s="176"/>
      <c r="G14" s="176">
        <v>75414562.7848728</v>
      </c>
      <c r="H14" s="175">
        <v>86.017049547790293</v>
      </c>
      <c r="I14" s="176"/>
      <c r="J14" s="176">
        <v>9574215.8047100194</v>
      </c>
      <c r="K14" s="175">
        <v>11.0533054727816</v>
      </c>
      <c r="L14" s="176"/>
      <c r="M14" s="176">
        <v>4141737.1473984602</v>
      </c>
      <c r="N14" s="175">
        <v>4.7809029661138798</v>
      </c>
      <c r="O14" s="176"/>
      <c r="P14" s="176">
        <v>47788866.463474698</v>
      </c>
      <c r="Q14" s="175">
        <v>100</v>
      </c>
      <c r="R14" s="176"/>
      <c r="S14" s="176">
        <v>41422518.379732102</v>
      </c>
      <c r="T14" s="175">
        <v>87.340596164863797</v>
      </c>
      <c r="U14" s="176"/>
      <c r="V14" s="176">
        <v>4567377.4963388797</v>
      </c>
      <c r="W14" s="175">
        <v>9.8260622997374103</v>
      </c>
      <c r="X14" s="176"/>
      <c r="Y14" s="176">
        <v>2410062.0574060101</v>
      </c>
      <c r="Z14" s="175">
        <v>5.1737829705082898</v>
      </c>
      <c r="AA14" s="176"/>
      <c r="AB14" s="176">
        <v>41315778.788891397</v>
      </c>
      <c r="AC14" s="175">
        <v>100</v>
      </c>
      <c r="AD14" s="176"/>
      <c r="AE14" s="176">
        <v>34824161.029091403</v>
      </c>
      <c r="AF14" s="175">
        <v>85.089391350156902</v>
      </c>
      <c r="AG14" s="176"/>
      <c r="AH14" s="176">
        <v>5220679.0343632596</v>
      </c>
      <c r="AI14" s="175">
        <v>12.980369540101</v>
      </c>
      <c r="AJ14" s="176"/>
      <c r="AK14" s="176">
        <v>1887193.79770778</v>
      </c>
      <c r="AL14" s="175">
        <v>4.6954725123890801</v>
      </c>
    </row>
    <row r="15" spans="2:38" ht="15" customHeight="1" x14ac:dyDescent="0.25">
      <c r="B15" s="49" t="s">
        <v>3</v>
      </c>
      <c r="C15" s="49"/>
      <c r="D15" s="176">
        <v>88168959.549554095</v>
      </c>
      <c r="E15" s="175">
        <v>100</v>
      </c>
      <c r="F15" s="176"/>
      <c r="G15" s="176">
        <v>65138919.111767396</v>
      </c>
      <c r="H15" s="175">
        <v>74.431269066308204</v>
      </c>
      <c r="I15" s="176"/>
      <c r="J15" s="176">
        <v>17175840.882227</v>
      </c>
      <c r="K15" s="175">
        <v>19.786725382304699</v>
      </c>
      <c r="L15" s="176"/>
      <c r="M15" s="176">
        <v>7058659.9951793402</v>
      </c>
      <c r="N15" s="175">
        <v>8.1473352317244707</v>
      </c>
      <c r="O15" s="176"/>
      <c r="P15" s="176">
        <v>47788866.463474698</v>
      </c>
      <c r="Q15" s="175">
        <v>100</v>
      </c>
      <c r="R15" s="176"/>
      <c r="S15" s="176">
        <v>36489849.675050497</v>
      </c>
      <c r="T15" s="175">
        <v>77.179946047495903</v>
      </c>
      <c r="U15" s="176"/>
      <c r="V15" s="176">
        <v>8327941.0620138403</v>
      </c>
      <c r="W15" s="175">
        <v>17.864981866935999</v>
      </c>
      <c r="X15" s="176"/>
      <c r="Y15" s="176">
        <v>3747911.3727753502</v>
      </c>
      <c r="Z15" s="175">
        <v>8.0349728267861096</v>
      </c>
      <c r="AA15" s="176"/>
      <c r="AB15" s="176">
        <v>41315778.788891397</v>
      </c>
      <c r="AC15" s="175">
        <v>100</v>
      </c>
      <c r="AD15" s="176"/>
      <c r="AE15" s="176">
        <v>29390883.896598302</v>
      </c>
      <c r="AF15" s="175">
        <v>72.045767634467595</v>
      </c>
      <c r="AG15" s="176"/>
      <c r="AH15" s="176">
        <v>9175836.1288774405</v>
      </c>
      <c r="AI15" s="175">
        <v>22.738631169886698</v>
      </c>
      <c r="AJ15" s="176"/>
      <c r="AK15" s="176">
        <v>3523324.8962334199</v>
      </c>
      <c r="AL15" s="175">
        <v>8.7600112262478493</v>
      </c>
    </row>
    <row r="16" spans="2:38" ht="6.95" customHeight="1" x14ac:dyDescent="0.25">
      <c r="B16" s="145"/>
      <c r="C16" s="11"/>
      <c r="D16" s="173"/>
      <c r="E16" s="175"/>
      <c r="F16" s="173"/>
      <c r="G16" s="173"/>
      <c r="H16" s="175"/>
      <c r="I16" s="173"/>
      <c r="J16" s="173"/>
      <c r="K16" s="175"/>
      <c r="L16" s="173"/>
      <c r="M16" s="173"/>
      <c r="N16" s="175"/>
      <c r="O16" s="173"/>
      <c r="P16" s="173"/>
      <c r="Q16" s="175"/>
      <c r="R16" s="173"/>
      <c r="S16" s="173"/>
      <c r="T16" s="175"/>
      <c r="U16" s="173"/>
      <c r="V16" s="173"/>
      <c r="W16" s="175"/>
      <c r="X16" s="173"/>
      <c r="Y16" s="173"/>
      <c r="Z16" s="175"/>
      <c r="AA16" s="173"/>
      <c r="AB16" s="173"/>
      <c r="AC16" s="175"/>
      <c r="AD16" s="173"/>
      <c r="AE16" s="173"/>
      <c r="AF16" s="175"/>
      <c r="AG16" s="173"/>
      <c r="AH16" s="173"/>
      <c r="AI16" s="175"/>
      <c r="AJ16" s="173"/>
      <c r="AK16" s="173"/>
      <c r="AL16" s="175"/>
    </row>
    <row r="17" spans="2:38" ht="15" customHeight="1" x14ac:dyDescent="0.25">
      <c r="B17" s="144" t="s">
        <v>6</v>
      </c>
      <c r="C17" s="20"/>
      <c r="D17" s="173">
        <v>31876327.629939102</v>
      </c>
      <c r="E17" s="174">
        <v>100</v>
      </c>
      <c r="F17" s="173"/>
      <c r="G17" s="173">
        <v>30344520.264949799</v>
      </c>
      <c r="H17" s="174">
        <v>96.178457260698394</v>
      </c>
      <c r="I17" s="173"/>
      <c r="J17" s="173">
        <v>3136332.33998068</v>
      </c>
      <c r="K17" s="174">
        <v>10.24610953188</v>
      </c>
      <c r="L17" s="173"/>
      <c r="M17" s="173">
        <v>1730788.1539217101</v>
      </c>
      <c r="N17" s="174">
        <v>5.6940670240245899</v>
      </c>
      <c r="O17" s="173"/>
      <c r="P17" s="173">
        <v>17557347.996399298</v>
      </c>
      <c r="Q17" s="174">
        <v>100</v>
      </c>
      <c r="R17" s="173"/>
      <c r="S17" s="173">
        <v>16777374.803383499</v>
      </c>
      <c r="T17" s="174">
        <v>96.592580865763097</v>
      </c>
      <c r="U17" s="173"/>
      <c r="V17" s="173">
        <v>1627112.7613634199</v>
      </c>
      <c r="W17" s="174">
        <v>9.7865273990603203</v>
      </c>
      <c r="X17" s="173"/>
      <c r="Y17" s="173">
        <v>1020827.6147522799</v>
      </c>
      <c r="Z17" s="174">
        <v>6.1230479823148398</v>
      </c>
      <c r="AA17" s="173"/>
      <c r="AB17" s="173">
        <v>14624214.675651999</v>
      </c>
      <c r="AC17" s="174">
        <v>100</v>
      </c>
      <c r="AD17" s="173"/>
      <c r="AE17" s="173">
        <v>13880084.9592402</v>
      </c>
      <c r="AF17" s="174">
        <v>96.373406829188298</v>
      </c>
      <c r="AG17" s="173"/>
      <c r="AH17" s="173">
        <v>1661828.96472179</v>
      </c>
      <c r="AI17" s="174">
        <v>11.9917405255774</v>
      </c>
      <c r="AJ17" s="173"/>
      <c r="AK17" s="173">
        <v>806154.38506050804</v>
      </c>
      <c r="AL17" s="174">
        <v>5.8635430048674602</v>
      </c>
    </row>
    <row r="18" spans="2:38" ht="6.95" customHeight="1" x14ac:dyDescent="0.25">
      <c r="B18" s="146"/>
      <c r="C18" s="21"/>
      <c r="D18" s="173"/>
      <c r="E18" s="175"/>
      <c r="F18" s="173"/>
      <c r="G18" s="173"/>
      <c r="H18" s="175"/>
      <c r="I18" s="173"/>
      <c r="J18" s="173"/>
      <c r="K18" s="175"/>
      <c r="L18" s="173"/>
      <c r="M18" s="173"/>
      <c r="N18" s="175"/>
      <c r="O18" s="173"/>
      <c r="P18" s="173"/>
      <c r="Q18" s="175"/>
      <c r="R18" s="173"/>
      <c r="S18" s="173"/>
      <c r="T18" s="175"/>
      <c r="U18" s="173"/>
      <c r="V18" s="173"/>
      <c r="W18" s="175"/>
      <c r="X18" s="173"/>
      <c r="Y18" s="173"/>
      <c r="Z18" s="175"/>
      <c r="AA18" s="173"/>
      <c r="AB18" s="173"/>
      <c r="AC18" s="175"/>
      <c r="AD18" s="173"/>
      <c r="AE18" s="173"/>
      <c r="AF18" s="175"/>
      <c r="AG18" s="173"/>
      <c r="AH18" s="173"/>
      <c r="AI18" s="175"/>
      <c r="AJ18" s="173"/>
      <c r="AK18" s="173"/>
      <c r="AL18" s="175"/>
    </row>
    <row r="19" spans="2:38" ht="15" customHeight="1" x14ac:dyDescent="0.25">
      <c r="B19" s="49" t="s">
        <v>2</v>
      </c>
      <c r="C19" s="49"/>
      <c r="D19" s="176">
        <v>31876327.629939102</v>
      </c>
      <c r="E19" s="175">
        <v>100</v>
      </c>
      <c r="F19" s="176"/>
      <c r="G19" s="176">
        <v>29955882.238874901</v>
      </c>
      <c r="H19" s="175">
        <v>95.064800081671393</v>
      </c>
      <c r="I19" s="176"/>
      <c r="J19" s="176">
        <v>1483254.2895333699</v>
      </c>
      <c r="K19" s="175">
        <v>4.8820095688220704</v>
      </c>
      <c r="L19" s="176"/>
      <c r="M19" s="176">
        <v>734957.01402993896</v>
      </c>
      <c r="N19" s="175">
        <v>2.4378538961641598</v>
      </c>
      <c r="O19" s="176"/>
      <c r="P19" s="176">
        <v>17557347.996399298</v>
      </c>
      <c r="Q19" s="175">
        <v>100</v>
      </c>
      <c r="R19" s="176"/>
      <c r="S19" s="176">
        <v>16558747.322038099</v>
      </c>
      <c r="T19" s="175">
        <v>95.453883827476005</v>
      </c>
      <c r="U19" s="176"/>
      <c r="V19" s="176">
        <v>804370.28568147495</v>
      </c>
      <c r="W19" s="175">
        <v>4.8640763678622196</v>
      </c>
      <c r="X19" s="176"/>
      <c r="Y19" s="176">
        <v>411780.75362534099</v>
      </c>
      <c r="Z19" s="175">
        <v>2.5137583390065101</v>
      </c>
      <c r="AA19" s="176"/>
      <c r="AB19" s="176">
        <v>14624214.675651999</v>
      </c>
      <c r="AC19" s="175">
        <v>100</v>
      </c>
      <c r="AD19" s="176"/>
      <c r="AE19" s="176">
        <v>13714414.0109735</v>
      </c>
      <c r="AF19" s="175">
        <v>95.346249900881801</v>
      </c>
      <c r="AG19" s="176"/>
      <c r="AH19" s="176">
        <v>764468.20997952798</v>
      </c>
      <c r="AI19" s="175">
        <v>5.5683924276249801</v>
      </c>
      <c r="AJ19" s="176"/>
      <c r="AK19" s="176">
        <v>372955.91935802897</v>
      </c>
      <c r="AL19" s="175">
        <v>2.7258661993159499</v>
      </c>
    </row>
    <row r="20" spans="2:38" ht="15" customHeight="1" x14ac:dyDescent="0.25">
      <c r="B20" s="49" t="s">
        <v>3</v>
      </c>
      <c r="C20" s="49"/>
      <c r="D20" s="176">
        <v>31876327.629939102</v>
      </c>
      <c r="E20" s="175">
        <v>100</v>
      </c>
      <c r="F20" s="176"/>
      <c r="G20" s="176">
        <v>28132539.919622801</v>
      </c>
      <c r="H20" s="175">
        <v>89.805443427495405</v>
      </c>
      <c r="I20" s="176"/>
      <c r="J20" s="176">
        <v>2713065.4912080402</v>
      </c>
      <c r="K20" s="175">
        <v>8.8949336560107408</v>
      </c>
      <c r="L20" s="176"/>
      <c r="M20" s="176">
        <v>1429752.7311444499</v>
      </c>
      <c r="N20" s="175">
        <v>4.7103497505195602</v>
      </c>
      <c r="O20" s="176"/>
      <c r="P20" s="176">
        <v>17557347.996399298</v>
      </c>
      <c r="Q20" s="175">
        <v>100</v>
      </c>
      <c r="R20" s="176"/>
      <c r="S20" s="176">
        <v>15696057.410063</v>
      </c>
      <c r="T20" s="175">
        <v>91.481904216897703</v>
      </c>
      <c r="U20" s="176"/>
      <c r="V20" s="176">
        <v>1351474.95969443</v>
      </c>
      <c r="W20" s="175">
        <v>8.1671824459947899</v>
      </c>
      <c r="X20" s="176"/>
      <c r="Y20" s="176">
        <v>855039.66230568895</v>
      </c>
      <c r="Z20" s="175">
        <v>5.1289488363784299</v>
      </c>
      <c r="AA20" s="176"/>
      <c r="AB20" s="176">
        <v>14624214.675651999</v>
      </c>
      <c r="AC20" s="175">
        <v>100</v>
      </c>
      <c r="AD20" s="176"/>
      <c r="AE20" s="176">
        <v>12723970.362537</v>
      </c>
      <c r="AF20" s="175">
        <v>89.036665892459794</v>
      </c>
      <c r="AG20" s="176"/>
      <c r="AH20" s="176">
        <v>1514080.3134941601</v>
      </c>
      <c r="AI20" s="175">
        <v>10.931145010154401</v>
      </c>
      <c r="AJ20" s="176"/>
      <c r="AK20" s="176">
        <v>662627.52008239203</v>
      </c>
      <c r="AL20" s="175">
        <v>4.8331842314891098</v>
      </c>
    </row>
    <row r="21" spans="2:38" ht="6.95" customHeight="1" x14ac:dyDescent="0.25">
      <c r="B21" s="147"/>
      <c r="C21" s="22"/>
      <c r="D21" s="173"/>
      <c r="E21" s="186"/>
      <c r="F21" s="173"/>
      <c r="G21" s="173"/>
      <c r="H21" s="186"/>
      <c r="I21" s="173"/>
      <c r="J21" s="173"/>
      <c r="K21" s="186"/>
      <c r="L21" s="173"/>
      <c r="M21" s="173"/>
      <c r="N21" s="186"/>
      <c r="O21" s="173"/>
      <c r="P21" s="173"/>
      <c r="Q21" s="186"/>
      <c r="R21" s="173"/>
      <c r="S21" s="173"/>
      <c r="T21" s="186"/>
      <c r="U21" s="173"/>
      <c r="V21" s="173"/>
      <c r="W21" s="186"/>
      <c r="X21" s="173"/>
      <c r="Y21" s="173"/>
      <c r="Z21" s="186"/>
      <c r="AA21" s="173"/>
      <c r="AB21" s="173"/>
      <c r="AC21" s="186"/>
      <c r="AD21" s="173"/>
      <c r="AE21" s="173"/>
      <c r="AF21" s="186"/>
      <c r="AG21" s="173"/>
      <c r="AH21" s="173"/>
      <c r="AI21" s="186"/>
      <c r="AJ21" s="173"/>
      <c r="AK21" s="173"/>
      <c r="AL21" s="186"/>
    </row>
    <row r="22" spans="2:38" ht="15" customHeight="1" x14ac:dyDescent="0.25">
      <c r="B22" s="144" t="s">
        <v>7</v>
      </c>
      <c r="C22" s="20"/>
      <c r="D22" s="173">
        <v>58722602.216376103</v>
      </c>
      <c r="E22" s="174">
        <v>100</v>
      </c>
      <c r="F22" s="173"/>
      <c r="G22" s="173">
        <v>48546144.625745997</v>
      </c>
      <c r="H22" s="174">
        <v>83.256978252984297</v>
      </c>
      <c r="I22" s="173"/>
      <c r="J22" s="173">
        <v>16445326.784351399</v>
      </c>
      <c r="K22" s="174">
        <v>28.936632360295199</v>
      </c>
      <c r="L22" s="173"/>
      <c r="M22" s="173">
        <v>6992954.6996772904</v>
      </c>
      <c r="N22" s="174">
        <v>12.2902993428934</v>
      </c>
      <c r="O22" s="173"/>
      <c r="P22" s="173">
        <v>31539784.224373799</v>
      </c>
      <c r="Q22" s="174">
        <v>100</v>
      </c>
      <c r="R22" s="173"/>
      <c r="S22" s="173">
        <v>26616333.235364001</v>
      </c>
      <c r="T22" s="174">
        <v>85.160150823679203</v>
      </c>
      <c r="U22" s="173"/>
      <c r="V22" s="173">
        <v>7957209.07383449</v>
      </c>
      <c r="W22" s="174">
        <v>26.389010146870302</v>
      </c>
      <c r="X22" s="173"/>
      <c r="Y22" s="173">
        <v>3755266.34931701</v>
      </c>
      <c r="Z22" s="174">
        <v>12.3640174322011</v>
      </c>
      <c r="AA22" s="173"/>
      <c r="AB22" s="173">
        <v>27745562.505176</v>
      </c>
      <c r="AC22" s="174">
        <v>100</v>
      </c>
      <c r="AD22" s="173"/>
      <c r="AE22" s="173">
        <v>22430170.8630553</v>
      </c>
      <c r="AF22" s="174">
        <v>81.862270667846801</v>
      </c>
      <c r="AG22" s="173"/>
      <c r="AH22" s="173">
        <v>8767094.7857457493</v>
      </c>
      <c r="AI22" s="174">
        <v>32.671856790539699</v>
      </c>
      <c r="AJ22" s="173"/>
      <c r="AK22" s="173">
        <v>3435137.8252222198</v>
      </c>
      <c r="AL22" s="174">
        <v>12.878373166842501</v>
      </c>
    </row>
    <row r="23" spans="2:38" ht="6.95" customHeight="1" x14ac:dyDescent="0.25">
      <c r="B23" s="144"/>
      <c r="C23" s="20"/>
      <c r="D23" s="173"/>
      <c r="E23" s="175"/>
      <c r="F23" s="173"/>
      <c r="G23" s="173"/>
      <c r="H23" s="175"/>
      <c r="I23" s="173"/>
      <c r="J23" s="173"/>
      <c r="K23" s="175"/>
      <c r="L23" s="173"/>
      <c r="M23" s="173"/>
      <c r="N23" s="175"/>
      <c r="O23" s="173"/>
      <c r="P23" s="173"/>
      <c r="Q23" s="175"/>
      <c r="R23" s="173"/>
      <c r="S23" s="173"/>
      <c r="T23" s="175"/>
      <c r="U23" s="173"/>
      <c r="V23" s="173"/>
      <c r="W23" s="175"/>
      <c r="X23" s="173"/>
      <c r="Y23" s="173"/>
      <c r="Z23" s="175"/>
      <c r="AA23" s="173"/>
      <c r="AB23" s="173"/>
      <c r="AC23" s="175"/>
      <c r="AD23" s="173"/>
      <c r="AE23" s="173"/>
      <c r="AF23" s="175"/>
      <c r="AG23" s="173"/>
      <c r="AH23" s="173"/>
      <c r="AI23" s="175"/>
      <c r="AJ23" s="173"/>
      <c r="AK23" s="173"/>
      <c r="AL23" s="175"/>
    </row>
    <row r="24" spans="2:38" ht="15" customHeight="1" x14ac:dyDescent="0.25">
      <c r="B24" s="49" t="s">
        <v>2</v>
      </c>
      <c r="C24" s="49"/>
      <c r="D24" s="176">
        <v>58722602.216376103</v>
      </c>
      <c r="E24" s="175">
        <v>100</v>
      </c>
      <c r="F24" s="176"/>
      <c r="G24" s="176">
        <v>47617451.882325299</v>
      </c>
      <c r="H24" s="175">
        <v>81.70606344686</v>
      </c>
      <c r="I24" s="176"/>
      <c r="J24" s="176">
        <v>8322823.8490597196</v>
      </c>
      <c r="K24" s="175">
        <v>14.6836116947322</v>
      </c>
      <c r="L24" s="176"/>
      <c r="M24" s="176">
        <v>3532282.9357861099</v>
      </c>
      <c r="N24" s="175">
        <v>6.21850657584086</v>
      </c>
      <c r="O24" s="176"/>
      <c r="P24" s="176">
        <v>31539784.224373799</v>
      </c>
      <c r="Q24" s="175">
        <v>100</v>
      </c>
      <c r="R24" s="176"/>
      <c r="S24" s="176">
        <v>26069793.859429501</v>
      </c>
      <c r="T24" s="175">
        <v>83.485844105771704</v>
      </c>
      <c r="U24" s="176"/>
      <c r="V24" s="176">
        <v>3902405.2982953298</v>
      </c>
      <c r="W24" s="175">
        <v>12.980940952242101</v>
      </c>
      <c r="X24" s="176"/>
      <c r="Y24" s="176">
        <v>2076513.8993655499</v>
      </c>
      <c r="Z24" s="175">
        <v>6.8586571161164498</v>
      </c>
      <c r="AA24" s="176"/>
      <c r="AB24" s="176">
        <v>27745562.505176</v>
      </c>
      <c r="AC24" s="175">
        <v>100</v>
      </c>
      <c r="AD24" s="176"/>
      <c r="AE24" s="176">
        <v>22039519.438161202</v>
      </c>
      <c r="AF24" s="175">
        <v>80.449856317229603</v>
      </c>
      <c r="AG24" s="176"/>
      <c r="AH24" s="176">
        <v>4609731.5540487897</v>
      </c>
      <c r="AI24" s="175">
        <v>17.259451431000802</v>
      </c>
      <c r="AJ24" s="176"/>
      <c r="AK24" s="176">
        <v>1599502.9136771499</v>
      </c>
      <c r="AL24" s="175">
        <v>6.0032053474785698</v>
      </c>
    </row>
    <row r="25" spans="2:38" ht="15" customHeight="1" x14ac:dyDescent="0.25">
      <c r="B25" s="49" t="s">
        <v>3</v>
      </c>
      <c r="C25" s="49"/>
      <c r="D25" s="176">
        <v>58722602.216376103</v>
      </c>
      <c r="E25" s="175">
        <v>100</v>
      </c>
      <c r="F25" s="176"/>
      <c r="G25" s="176">
        <v>38971985.400459804</v>
      </c>
      <c r="H25" s="175">
        <v>66.988792833557696</v>
      </c>
      <c r="I25" s="176"/>
      <c r="J25" s="176">
        <v>14800962.621473201</v>
      </c>
      <c r="K25" s="175">
        <v>26.050020203553501</v>
      </c>
      <c r="L25" s="176"/>
      <c r="M25" s="176">
        <v>5849866.2220941996</v>
      </c>
      <c r="N25" s="175">
        <v>10.287326052624</v>
      </c>
      <c r="O25" s="176"/>
      <c r="P25" s="176">
        <v>31539784.224373799</v>
      </c>
      <c r="Q25" s="175">
        <v>100</v>
      </c>
      <c r="R25" s="176"/>
      <c r="S25" s="176">
        <v>21900233.8067584</v>
      </c>
      <c r="T25" s="175">
        <v>70.280281343445395</v>
      </c>
      <c r="U25" s="176"/>
      <c r="V25" s="176">
        <v>7181193.4857450901</v>
      </c>
      <c r="W25" s="175">
        <v>23.8120772399758</v>
      </c>
      <c r="X25" s="176"/>
      <c r="Y25" s="176">
        <v>3057515.5692671002</v>
      </c>
      <c r="Z25" s="175">
        <v>10.0847709713934</v>
      </c>
      <c r="AA25" s="176"/>
      <c r="AB25" s="176">
        <v>27745562.505176</v>
      </c>
      <c r="AC25" s="175">
        <v>100</v>
      </c>
      <c r="AD25" s="176"/>
      <c r="AE25" s="176">
        <v>17508379.270478301</v>
      </c>
      <c r="AF25" s="175">
        <v>64.151019952842503</v>
      </c>
      <c r="AG25" s="176"/>
      <c r="AH25" s="176">
        <v>7894735.0387175698</v>
      </c>
      <c r="AI25" s="175">
        <v>29.4496783878207</v>
      </c>
      <c r="AJ25" s="176"/>
      <c r="AK25" s="176">
        <v>2981365.8436507401</v>
      </c>
      <c r="AL25" s="175">
        <v>11.1762078741913</v>
      </c>
    </row>
    <row r="26" spans="2:38" ht="6.95" customHeight="1" x14ac:dyDescent="0.25">
      <c r="B26" s="12"/>
      <c r="C26" s="12"/>
      <c r="D26" s="113"/>
      <c r="E26" s="13"/>
      <c r="F26" s="13"/>
      <c r="G26" s="113"/>
      <c r="H26" s="13"/>
      <c r="I26" s="13"/>
      <c r="J26" s="113"/>
      <c r="K26" s="13"/>
      <c r="L26" s="13"/>
      <c r="M26" s="113"/>
      <c r="N26" s="13"/>
      <c r="O26" s="14"/>
      <c r="P26" s="121"/>
      <c r="Q26" s="95"/>
      <c r="R26" s="95"/>
      <c r="S26" s="122"/>
      <c r="T26" s="23"/>
      <c r="U26" s="23"/>
      <c r="V26" s="122"/>
      <c r="W26" s="23"/>
      <c r="X26" s="23"/>
      <c r="Y26" s="122"/>
      <c r="Z26" s="23"/>
      <c r="AA26" s="23"/>
      <c r="AB26" s="122"/>
      <c r="AC26" s="23"/>
      <c r="AD26" s="23"/>
      <c r="AE26" s="122"/>
      <c r="AF26" s="23"/>
      <c r="AG26" s="23"/>
      <c r="AH26" s="122"/>
      <c r="AI26" s="23"/>
      <c r="AJ26" s="23"/>
      <c r="AK26" s="122"/>
      <c r="AL26" s="23"/>
    </row>
    <row r="27" spans="2:38" ht="6.95" customHeight="1" x14ac:dyDescent="0.25">
      <c r="B27" s="9"/>
      <c r="C27" s="9"/>
      <c r="D27" s="114"/>
      <c r="E27" s="8"/>
      <c r="F27" s="8"/>
      <c r="G27" s="114"/>
      <c r="H27" s="8"/>
      <c r="I27" s="8"/>
      <c r="J27" s="114"/>
      <c r="K27" s="8"/>
      <c r="L27" s="8"/>
      <c r="M27" s="114"/>
      <c r="N27" s="8"/>
      <c r="O27" s="2"/>
    </row>
    <row r="28" spans="2:38" s="105" customFormat="1" ht="12" customHeight="1" x14ac:dyDescent="0.25">
      <c r="B28" s="106" t="s">
        <v>55</v>
      </c>
      <c r="C28" s="8"/>
      <c r="D28" s="114"/>
      <c r="E28" s="8"/>
      <c r="F28" s="8"/>
      <c r="G28" s="114"/>
      <c r="H28" s="8"/>
      <c r="I28" s="8"/>
      <c r="J28" s="114"/>
      <c r="K28" s="104"/>
      <c r="L28" s="104"/>
      <c r="M28" s="119"/>
      <c r="P28" s="120"/>
      <c r="S28" s="120"/>
      <c r="V28" s="120"/>
      <c r="Y28" s="120"/>
      <c r="AB28" s="120"/>
      <c r="AE28" s="120"/>
      <c r="AH28" s="120"/>
      <c r="AK28" s="120"/>
    </row>
    <row r="29" spans="2:38" ht="12" customHeight="1" x14ac:dyDescent="0.25">
      <c r="B29" s="210" t="s">
        <v>65</v>
      </c>
      <c r="C29" s="210"/>
      <c r="D29" s="210"/>
      <c r="E29" s="210"/>
      <c r="F29" s="210"/>
      <c r="G29" s="210"/>
    </row>
  </sheetData>
  <mergeCells count="20">
    <mergeCell ref="B29:G29"/>
    <mergeCell ref="P8:Q9"/>
    <mergeCell ref="B7:B10"/>
    <mergeCell ref="S9:T9"/>
    <mergeCell ref="V9:W9"/>
    <mergeCell ref="G9:H9"/>
    <mergeCell ref="J9:K9"/>
    <mergeCell ref="D7:N7"/>
    <mergeCell ref="P7:Z7"/>
    <mergeCell ref="D8:E9"/>
    <mergeCell ref="M9:N9"/>
    <mergeCell ref="S8:Z8"/>
    <mergeCell ref="G8:N8"/>
    <mergeCell ref="Y9:Z9"/>
    <mergeCell ref="AB8:AC9"/>
    <mergeCell ref="AH9:AI9"/>
    <mergeCell ref="AB7:AL7"/>
    <mergeCell ref="AE8:AL8"/>
    <mergeCell ref="AK9:AL9"/>
    <mergeCell ref="AE9:AF9"/>
  </mergeCells>
  <hyperlinks>
    <hyperlink ref="AL1" location="Índice!A1" tooltip="Ir a ÍNDICE" display="INDICE" xr:uid="{00000000-0004-0000-0100-000000000000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DAA4D-B4DB-4EF9-A5E8-08D1EDDF1892}">
  <dimension ref="B1:K60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107" customWidth="1"/>
    <col min="5" max="5" width="15.7109375" customWidth="1"/>
    <col min="6" max="6" width="1.7109375" customWidth="1"/>
    <col min="7" max="7" width="15.7109375" style="107" customWidth="1"/>
    <col min="8" max="8" width="15.7109375" customWidth="1"/>
    <col min="9" max="9" width="1.7109375" customWidth="1"/>
    <col min="10" max="10" width="15.7109375" style="107" customWidth="1"/>
    <col min="11" max="11" width="15.7109375" customWidth="1"/>
  </cols>
  <sheetData>
    <row r="1" spans="2:11" x14ac:dyDescent="0.25">
      <c r="B1" s="229" t="s">
        <v>89</v>
      </c>
      <c r="C1" s="41"/>
      <c r="K1" s="50" t="s">
        <v>27</v>
      </c>
    </row>
    <row r="2" spans="2:11" ht="6.95" customHeight="1" x14ac:dyDescent="0.25"/>
    <row r="3" spans="2:11" x14ac:dyDescent="0.25">
      <c r="B3" s="41" t="s">
        <v>87</v>
      </c>
    </row>
    <row r="4" spans="2:11" ht="6.95" customHeight="1" x14ac:dyDescent="0.25">
      <c r="B4" s="24"/>
      <c r="C4" s="24"/>
      <c r="D4" s="124"/>
      <c r="E4" s="25"/>
      <c r="F4" s="25"/>
      <c r="G4" s="124"/>
      <c r="H4" s="26"/>
      <c r="I4" s="26"/>
      <c r="J4" s="128"/>
    </row>
    <row r="5" spans="2:11" x14ac:dyDescent="0.25">
      <c r="B5" s="53" t="s">
        <v>85</v>
      </c>
      <c r="C5" s="53"/>
      <c r="D5" s="124"/>
      <c r="E5" s="25"/>
      <c r="F5" s="25"/>
      <c r="G5" s="124"/>
      <c r="H5" s="27"/>
      <c r="I5" s="27"/>
      <c r="J5" s="129"/>
      <c r="K5" s="52" t="s">
        <v>13</v>
      </c>
    </row>
    <row r="6" spans="2:11" ht="6.95" customHeight="1" x14ac:dyDescent="0.25">
      <c r="B6" s="28"/>
      <c r="C6" s="28"/>
      <c r="D6" s="125"/>
      <c r="E6" s="54"/>
      <c r="F6" s="54"/>
      <c r="G6" s="125"/>
      <c r="H6" s="29"/>
      <c r="I6" s="29"/>
      <c r="J6" s="130"/>
      <c r="K6" s="29"/>
    </row>
    <row r="7" spans="2:11" ht="15" customHeight="1" x14ac:dyDescent="0.25">
      <c r="B7" s="215" t="s">
        <v>86</v>
      </c>
      <c r="C7" s="166"/>
      <c r="D7" s="218" t="s">
        <v>21</v>
      </c>
      <c r="E7" s="218"/>
      <c r="F7" s="159"/>
      <c r="G7" s="220" t="s">
        <v>83</v>
      </c>
      <c r="H7" s="220"/>
      <c r="I7" s="220"/>
      <c r="J7" s="220"/>
      <c r="K7" s="220"/>
    </row>
    <row r="8" spans="2:11" ht="15" customHeight="1" x14ac:dyDescent="0.25">
      <c r="B8" s="216"/>
      <c r="C8" s="167"/>
      <c r="D8" s="219"/>
      <c r="E8" s="219"/>
      <c r="F8" s="160"/>
      <c r="G8" s="219" t="s">
        <v>8</v>
      </c>
      <c r="H8" s="219"/>
      <c r="I8" s="160"/>
      <c r="J8" s="219" t="s">
        <v>5</v>
      </c>
      <c r="K8" s="219"/>
    </row>
    <row r="9" spans="2:11" ht="15" customHeight="1" x14ac:dyDescent="0.25">
      <c r="B9" s="217"/>
      <c r="C9" s="168"/>
      <c r="D9" s="161" t="s">
        <v>84</v>
      </c>
      <c r="E9" s="162" t="s">
        <v>26</v>
      </c>
      <c r="F9" s="163"/>
      <c r="G9" s="161" t="s">
        <v>84</v>
      </c>
      <c r="H9" s="162" t="s">
        <v>26</v>
      </c>
      <c r="I9" s="163"/>
      <c r="J9" s="161" t="s">
        <v>84</v>
      </c>
      <c r="K9" s="162" t="s">
        <v>26</v>
      </c>
    </row>
    <row r="10" spans="2:11" ht="6.95" customHeight="1" x14ac:dyDescent="0.25">
      <c r="B10" s="31"/>
      <c r="C10" s="31"/>
      <c r="D10" s="160"/>
      <c r="E10" s="164"/>
      <c r="F10" s="165"/>
      <c r="G10" s="160"/>
      <c r="H10" s="164"/>
      <c r="I10" s="165"/>
      <c r="J10" s="160"/>
      <c r="K10" s="164"/>
    </row>
    <row r="11" spans="2:11" x14ac:dyDescent="0.25">
      <c r="B11" s="55" t="s">
        <v>1</v>
      </c>
      <c r="C11" s="55"/>
      <c r="D11" s="173">
        <v>88168959.549554095</v>
      </c>
      <c r="E11" s="174">
        <v>100</v>
      </c>
      <c r="F11" s="173"/>
      <c r="G11" s="173">
        <v>47788866.463474698</v>
      </c>
      <c r="H11" s="174">
        <v>100</v>
      </c>
      <c r="I11" s="173"/>
      <c r="J11" s="173">
        <v>41315778.788891397</v>
      </c>
      <c r="K11" s="174">
        <v>100</v>
      </c>
    </row>
    <row r="12" spans="2:11" ht="6.95" customHeight="1" x14ac:dyDescent="0.25">
      <c r="B12" s="31"/>
      <c r="C12" s="31"/>
      <c r="D12" s="173"/>
      <c r="E12" s="175"/>
      <c r="F12" s="173"/>
      <c r="G12" s="173"/>
      <c r="H12" s="175"/>
      <c r="I12" s="176"/>
      <c r="J12" s="173"/>
      <c r="K12" s="175"/>
    </row>
    <row r="13" spans="2:11" x14ac:dyDescent="0.25">
      <c r="B13" s="141" t="s">
        <v>59</v>
      </c>
      <c r="C13" s="56"/>
      <c r="D13" s="173">
        <v>34127381.683033504</v>
      </c>
      <c r="E13" s="174">
        <v>39.219853205702201</v>
      </c>
      <c r="F13" s="173"/>
      <c r="G13" s="173">
        <v>17083200.361014701</v>
      </c>
      <c r="H13" s="174">
        <v>36.396995826386899</v>
      </c>
      <c r="I13" s="173"/>
      <c r="J13" s="173">
        <v>17545820.106033199</v>
      </c>
      <c r="K13" s="174">
        <v>43.352804117865702</v>
      </c>
    </row>
    <row r="14" spans="2:11" ht="6.95" customHeight="1" x14ac:dyDescent="0.25">
      <c r="B14" s="141"/>
      <c r="C14" s="56"/>
      <c r="D14" s="173"/>
      <c r="E14" s="174"/>
      <c r="F14" s="173"/>
      <c r="G14" s="173"/>
      <c r="H14" s="174"/>
      <c r="I14" s="173"/>
      <c r="J14" s="173"/>
      <c r="K14" s="174"/>
    </row>
    <row r="15" spans="2:11" x14ac:dyDescent="0.25">
      <c r="B15" s="142" t="s">
        <v>66</v>
      </c>
      <c r="C15" s="56"/>
      <c r="D15" s="176">
        <v>4643706.5942284903</v>
      </c>
      <c r="E15" s="175">
        <v>14.002147611026</v>
      </c>
      <c r="F15" s="173"/>
      <c r="G15" s="176">
        <v>2119188.2400840898</v>
      </c>
      <c r="H15" s="175">
        <v>12.917673458033599</v>
      </c>
      <c r="I15" s="173"/>
      <c r="J15" s="176">
        <v>2707940.8024778799</v>
      </c>
      <c r="K15" s="175">
        <v>16.127507007521501</v>
      </c>
    </row>
    <row r="16" spans="2:11" x14ac:dyDescent="0.25">
      <c r="B16" s="142" t="s">
        <v>9</v>
      </c>
      <c r="C16" s="56"/>
      <c r="D16" s="176">
        <v>29815136.796448499</v>
      </c>
      <c r="E16" s="175">
        <v>88.438158278055894</v>
      </c>
      <c r="F16" s="173"/>
      <c r="G16" s="176">
        <v>15194349.505929301</v>
      </c>
      <c r="H16" s="175">
        <v>90.597693459501102</v>
      </c>
      <c r="I16" s="173"/>
      <c r="J16" s="176">
        <v>15106475.1125449</v>
      </c>
      <c r="K16" s="175">
        <v>87.417937524337702</v>
      </c>
    </row>
    <row r="17" spans="2:11" ht="6.95" customHeight="1" x14ac:dyDescent="0.25">
      <c r="B17" s="142"/>
      <c r="C17" s="56"/>
      <c r="D17" s="176"/>
      <c r="E17" s="175"/>
      <c r="F17" s="173"/>
      <c r="G17" s="173"/>
      <c r="H17" s="174"/>
      <c r="I17" s="173"/>
      <c r="J17" s="173"/>
      <c r="K17" s="174"/>
    </row>
    <row r="18" spans="2:11" x14ac:dyDescent="0.25">
      <c r="B18" s="141" t="s">
        <v>58</v>
      </c>
      <c r="C18" s="56"/>
      <c r="D18" s="173">
        <v>55173835.130768701</v>
      </c>
      <c r="E18" s="174">
        <v>63.284398073001697</v>
      </c>
      <c r="F18" s="173"/>
      <c r="G18" s="173">
        <v>31365966.781895999</v>
      </c>
      <c r="H18" s="174">
        <v>66.742587405294401</v>
      </c>
      <c r="I18" s="173"/>
      <c r="J18" s="173">
        <v>24429638.277348898</v>
      </c>
      <c r="K18" s="174">
        <v>60.141486642370403</v>
      </c>
    </row>
    <row r="19" spans="2:11" ht="6.95" customHeight="1" x14ac:dyDescent="0.25">
      <c r="B19" s="143"/>
      <c r="C19" s="57"/>
      <c r="D19" s="176"/>
      <c r="E19" s="175"/>
      <c r="F19" s="176"/>
      <c r="G19" s="176"/>
      <c r="H19" s="175"/>
      <c r="I19" s="176"/>
      <c r="J19" s="176"/>
      <c r="K19" s="175"/>
    </row>
    <row r="20" spans="2:11" x14ac:dyDescent="0.25">
      <c r="B20" s="140" t="s">
        <v>56</v>
      </c>
      <c r="C20" s="58"/>
      <c r="D20" s="173">
        <v>16819570.706588201</v>
      </c>
      <c r="E20" s="174">
        <v>19.367392209534501</v>
      </c>
      <c r="F20" s="173"/>
      <c r="G20" s="173">
        <v>7824502.7021040795</v>
      </c>
      <c r="H20" s="174">
        <v>16.746999784209901</v>
      </c>
      <c r="I20" s="173"/>
      <c r="J20" s="173">
        <v>9377108.7334719598</v>
      </c>
      <c r="K20" s="174">
        <v>23.206458656021098</v>
      </c>
    </row>
    <row r="21" spans="2:11" ht="6.95" customHeight="1" x14ac:dyDescent="0.25">
      <c r="B21" s="140"/>
      <c r="C21" s="58"/>
      <c r="D21" s="173"/>
      <c r="E21" s="174"/>
      <c r="F21" s="173"/>
      <c r="G21" s="173"/>
      <c r="H21" s="174"/>
      <c r="I21" s="173"/>
      <c r="J21" s="173"/>
      <c r="K21" s="174"/>
    </row>
    <row r="22" spans="2:11" ht="15" customHeight="1" x14ac:dyDescent="0.25">
      <c r="B22" s="142" t="s">
        <v>66</v>
      </c>
      <c r="C22" s="58"/>
      <c r="D22" s="176">
        <v>1274442.78209548</v>
      </c>
      <c r="E22" s="175">
        <v>7.9611466553156101</v>
      </c>
      <c r="F22" s="173"/>
      <c r="G22" s="176">
        <v>498145.24151431501</v>
      </c>
      <c r="H22" s="175">
        <v>6.8273835329244204</v>
      </c>
      <c r="I22" s="173"/>
      <c r="J22" s="176">
        <v>846592.23103650403</v>
      </c>
      <c r="K22" s="175">
        <v>9.6739899144512105</v>
      </c>
    </row>
    <row r="23" spans="2:11" x14ac:dyDescent="0.25">
      <c r="B23" s="142" t="s">
        <v>9</v>
      </c>
      <c r="C23" s="58"/>
      <c r="D23" s="176">
        <v>15725755.9733887</v>
      </c>
      <c r="E23" s="175">
        <v>94.4188410220695</v>
      </c>
      <c r="F23" s="173"/>
      <c r="G23" s="176">
        <v>7425955.0417406196</v>
      </c>
      <c r="H23" s="175">
        <v>96.117209179235502</v>
      </c>
      <c r="I23" s="173"/>
      <c r="J23" s="176">
        <v>8664398.7433163691</v>
      </c>
      <c r="K23" s="175">
        <v>93.766220776254698</v>
      </c>
    </row>
    <row r="24" spans="2:11" ht="6.95" customHeight="1" x14ac:dyDescent="0.25">
      <c r="B24" s="142"/>
      <c r="C24" s="58"/>
      <c r="D24" s="176"/>
      <c r="E24" s="175"/>
      <c r="F24" s="173"/>
      <c r="G24" s="173"/>
      <c r="H24" s="174"/>
      <c r="I24" s="173"/>
      <c r="J24" s="173"/>
      <c r="K24" s="174"/>
    </row>
    <row r="25" spans="2:11" x14ac:dyDescent="0.25">
      <c r="B25" s="140" t="s">
        <v>57</v>
      </c>
      <c r="C25" s="58"/>
      <c r="D25" s="173">
        <v>72136538.432587296</v>
      </c>
      <c r="E25" s="174">
        <v>82.449674049036304</v>
      </c>
      <c r="F25" s="173"/>
      <c r="G25" s="173">
        <v>40421230.751508802</v>
      </c>
      <c r="H25" s="174">
        <v>85.441193547979296</v>
      </c>
      <c r="I25" s="173"/>
      <c r="J25" s="173">
        <v>32499989.4156093</v>
      </c>
      <c r="K25" s="174">
        <v>79.7879930061913</v>
      </c>
    </row>
    <row r="26" spans="2:11" ht="6.95" customHeight="1" x14ac:dyDescent="0.25">
      <c r="B26" s="32"/>
      <c r="C26" s="32"/>
      <c r="D26" s="173"/>
      <c r="E26" s="177"/>
      <c r="F26" s="178"/>
      <c r="G26" s="173"/>
      <c r="H26" s="177"/>
      <c r="I26" s="177"/>
      <c r="J26" s="173"/>
      <c r="K26" s="177"/>
    </row>
    <row r="27" spans="2:11" x14ac:dyDescent="0.25">
      <c r="B27" s="98" t="s">
        <v>6</v>
      </c>
      <c r="C27" s="98"/>
      <c r="D27" s="173">
        <v>31876327.629939102</v>
      </c>
      <c r="E27" s="174">
        <v>100</v>
      </c>
      <c r="F27" s="173"/>
      <c r="G27" s="173">
        <v>17557347.996399298</v>
      </c>
      <c r="H27" s="174">
        <v>100</v>
      </c>
      <c r="I27" s="173"/>
      <c r="J27" s="173">
        <v>14624214.675651999</v>
      </c>
      <c r="K27" s="174">
        <v>100</v>
      </c>
    </row>
    <row r="28" spans="2:11" ht="7.5" customHeight="1" x14ac:dyDescent="0.25">
      <c r="B28" s="56"/>
      <c r="C28" s="56"/>
      <c r="D28" s="173"/>
      <c r="E28" s="175"/>
      <c r="F28" s="173"/>
      <c r="G28" s="173"/>
      <c r="H28" s="175"/>
      <c r="I28" s="176"/>
      <c r="J28" s="173"/>
      <c r="K28" s="175"/>
    </row>
    <row r="29" spans="2:11" x14ac:dyDescent="0.25">
      <c r="B29" s="141" t="s">
        <v>59</v>
      </c>
      <c r="C29" s="56"/>
      <c r="D29" s="173">
        <v>9713094.0913650692</v>
      </c>
      <c r="E29" s="174">
        <v>31.605309369044999</v>
      </c>
      <c r="F29" s="173"/>
      <c r="G29" s="173">
        <v>5165448.2477618204</v>
      </c>
      <c r="H29" s="174">
        <v>30.664813854479601</v>
      </c>
      <c r="I29" s="173"/>
      <c r="J29" s="173">
        <v>4758208.7789527904</v>
      </c>
      <c r="K29" s="174">
        <v>34.027141707227599</v>
      </c>
    </row>
    <row r="30" spans="2:11" ht="6.95" customHeight="1" x14ac:dyDescent="0.25">
      <c r="B30" s="141"/>
      <c r="C30" s="56"/>
      <c r="D30" s="173"/>
      <c r="E30" s="174"/>
      <c r="F30" s="173"/>
      <c r="G30" s="173"/>
      <c r="H30" s="174"/>
      <c r="I30" s="173"/>
      <c r="J30" s="173"/>
      <c r="K30" s="174"/>
    </row>
    <row r="31" spans="2:11" x14ac:dyDescent="0.25">
      <c r="B31" s="142" t="s">
        <v>66</v>
      </c>
      <c r="C31" s="56"/>
      <c r="D31" s="176">
        <v>950318.17358493304</v>
      </c>
      <c r="E31" s="175">
        <v>10.470308409943399</v>
      </c>
      <c r="F31" s="173"/>
      <c r="G31" s="176">
        <v>440461.75413785502</v>
      </c>
      <c r="H31" s="175">
        <v>9.3427622362583893</v>
      </c>
      <c r="I31" s="173"/>
      <c r="J31" s="176">
        <v>606025.62500719004</v>
      </c>
      <c r="K31" s="175">
        <v>13.9476641133647</v>
      </c>
    </row>
    <row r="32" spans="2:11" x14ac:dyDescent="0.25">
      <c r="B32" s="142" t="s">
        <v>9</v>
      </c>
      <c r="C32" s="56"/>
      <c r="D32" s="176">
        <v>8887170.45399612</v>
      </c>
      <c r="E32" s="175">
        <v>94.0928784013485</v>
      </c>
      <c r="F32" s="173"/>
      <c r="G32" s="176">
        <v>4814332.4683724698</v>
      </c>
      <c r="H32" s="175">
        <v>96.572343116033906</v>
      </c>
      <c r="I32" s="173"/>
      <c r="J32" s="176">
        <v>4273103.3940505702</v>
      </c>
      <c r="K32" s="175">
        <v>93.676318836458407</v>
      </c>
    </row>
    <row r="33" spans="2:11" ht="6.95" customHeight="1" x14ac:dyDescent="0.25">
      <c r="B33" s="142"/>
      <c r="C33" s="56"/>
      <c r="D33" s="176"/>
      <c r="E33" s="175"/>
      <c r="F33" s="173"/>
      <c r="G33" s="173"/>
      <c r="H33" s="174"/>
      <c r="I33" s="173"/>
      <c r="J33" s="173"/>
      <c r="K33" s="174"/>
    </row>
    <row r="34" spans="2:11" x14ac:dyDescent="0.25">
      <c r="B34" s="141" t="s">
        <v>58</v>
      </c>
      <c r="C34" s="56"/>
      <c r="D34" s="173">
        <v>22620372.8672054</v>
      </c>
      <c r="E34" s="174">
        <v>73.006894247372301</v>
      </c>
      <c r="F34" s="173"/>
      <c r="G34" s="173">
        <v>12721988.9334755</v>
      </c>
      <c r="H34" s="174">
        <v>75.046777990915999</v>
      </c>
      <c r="I34" s="173"/>
      <c r="J34" s="173">
        <v>10138008.523057699</v>
      </c>
      <c r="K34" s="174">
        <v>71.830734299858506</v>
      </c>
    </row>
    <row r="35" spans="2:11" ht="7.5" customHeight="1" x14ac:dyDescent="0.25">
      <c r="B35" s="143"/>
      <c r="C35" s="57"/>
      <c r="D35" s="176"/>
      <c r="E35" s="175"/>
      <c r="F35" s="176"/>
      <c r="G35" s="176"/>
      <c r="H35" s="175"/>
      <c r="I35" s="176"/>
      <c r="J35" s="176"/>
      <c r="K35" s="175"/>
    </row>
    <row r="36" spans="2:11" x14ac:dyDescent="0.25">
      <c r="B36" s="140" t="s">
        <v>56</v>
      </c>
      <c r="C36" s="57"/>
      <c r="D36" s="173">
        <v>4876480.7827263903</v>
      </c>
      <c r="E36" s="174">
        <v>15.9165211165479</v>
      </c>
      <c r="F36" s="173"/>
      <c r="G36" s="173">
        <v>2207049.6429829402</v>
      </c>
      <c r="H36" s="174">
        <v>13.285392536151001</v>
      </c>
      <c r="I36" s="173"/>
      <c r="J36" s="173">
        <v>2898004.0394828101</v>
      </c>
      <c r="K36" s="174">
        <v>20.7665911078048</v>
      </c>
    </row>
    <row r="37" spans="2:11" ht="6.95" customHeight="1" x14ac:dyDescent="0.25">
      <c r="B37" s="140"/>
      <c r="C37" s="57"/>
      <c r="D37" s="173"/>
      <c r="E37" s="174"/>
      <c r="F37" s="173"/>
      <c r="G37" s="173"/>
      <c r="H37" s="174"/>
      <c r="I37" s="173"/>
      <c r="J37" s="173"/>
      <c r="K37" s="174"/>
    </row>
    <row r="38" spans="2:11" ht="15" customHeight="1" x14ac:dyDescent="0.25">
      <c r="B38" s="142" t="s">
        <v>66</v>
      </c>
      <c r="C38" s="58"/>
      <c r="D38" s="176">
        <v>324653.337714808</v>
      </c>
      <c r="E38" s="175">
        <v>7.4429123286732803</v>
      </c>
      <c r="F38" s="173"/>
      <c r="G38" s="176">
        <v>148570.435495624</v>
      </c>
      <c r="H38" s="175">
        <v>7.8093209484803499</v>
      </c>
      <c r="I38" s="173"/>
      <c r="J38" s="176">
        <v>209078.844213567</v>
      </c>
      <c r="K38" s="175">
        <v>8.4745265010206197</v>
      </c>
    </row>
    <row r="39" spans="2:11" x14ac:dyDescent="0.25">
      <c r="B39" s="142" t="s">
        <v>9</v>
      </c>
      <c r="C39" s="58"/>
      <c r="D39" s="176">
        <v>4626544.9244139502</v>
      </c>
      <c r="E39" s="175">
        <v>96.578270390210406</v>
      </c>
      <c r="F39" s="173"/>
      <c r="G39" s="176">
        <v>2110429.9059165702</v>
      </c>
      <c r="H39" s="175">
        <v>98.128907238257</v>
      </c>
      <c r="I39" s="173"/>
      <c r="J39" s="176">
        <v>2739092.2407702198</v>
      </c>
      <c r="K39" s="175">
        <v>96.689376409063897</v>
      </c>
    </row>
    <row r="40" spans="2:11" ht="6.95" customHeight="1" x14ac:dyDescent="0.25">
      <c r="B40" s="142"/>
      <c r="C40" s="58"/>
      <c r="D40" s="176"/>
      <c r="E40" s="175"/>
      <c r="F40" s="173"/>
      <c r="G40" s="173"/>
      <c r="H40" s="174"/>
      <c r="I40" s="173"/>
      <c r="J40" s="173"/>
      <c r="K40" s="174"/>
    </row>
    <row r="41" spans="2:11" x14ac:dyDescent="0.25">
      <c r="B41" s="140" t="s">
        <v>57</v>
      </c>
      <c r="C41" s="59"/>
      <c r="D41" s="173">
        <v>27256703.386912402</v>
      </c>
      <c r="E41" s="174">
        <v>86.949037331308006</v>
      </c>
      <c r="F41" s="173"/>
      <c r="G41" s="173">
        <v>15556366.301382599</v>
      </c>
      <c r="H41" s="174">
        <v>90.122175590516207</v>
      </c>
      <c r="I41" s="173"/>
      <c r="J41" s="173">
        <v>11987126.5475775</v>
      </c>
      <c r="K41" s="174">
        <v>84.792043622130905</v>
      </c>
    </row>
    <row r="42" spans="2:11" ht="7.5" customHeight="1" x14ac:dyDescent="0.25">
      <c r="B42" s="139"/>
      <c r="C42" s="59"/>
      <c r="D42" s="173"/>
      <c r="E42" s="177"/>
      <c r="F42" s="178"/>
      <c r="G42" s="173"/>
      <c r="H42" s="177"/>
      <c r="I42" s="177"/>
      <c r="J42" s="173"/>
      <c r="K42" s="177"/>
    </row>
    <row r="43" spans="2:11" x14ac:dyDescent="0.25">
      <c r="B43" s="98" t="s">
        <v>7</v>
      </c>
      <c r="C43" s="98"/>
      <c r="D43" s="173">
        <v>58722602.216376103</v>
      </c>
      <c r="E43" s="174">
        <v>100</v>
      </c>
      <c r="F43" s="173"/>
      <c r="G43" s="173">
        <v>31539784.224373799</v>
      </c>
      <c r="H43" s="174">
        <v>100</v>
      </c>
      <c r="I43" s="173"/>
      <c r="J43" s="173">
        <v>27745562.505176</v>
      </c>
      <c r="K43" s="174">
        <v>100</v>
      </c>
    </row>
    <row r="44" spans="2:11" ht="6.95" customHeight="1" x14ac:dyDescent="0.25">
      <c r="B44" s="98"/>
      <c r="C44" s="98"/>
      <c r="D44" s="173"/>
      <c r="E44" s="175"/>
      <c r="F44" s="173"/>
      <c r="G44" s="173"/>
      <c r="H44" s="175"/>
      <c r="I44" s="176"/>
      <c r="J44" s="173"/>
      <c r="K44" s="175"/>
    </row>
    <row r="45" spans="2:11" x14ac:dyDescent="0.25">
      <c r="B45" s="141" t="s">
        <v>59</v>
      </c>
      <c r="C45" s="98"/>
      <c r="D45" s="173">
        <v>25270283.618911199</v>
      </c>
      <c r="E45" s="174">
        <v>44.010686559409798</v>
      </c>
      <c r="F45" s="173"/>
      <c r="G45" s="173">
        <v>12424236.0136042</v>
      </c>
      <c r="H45" s="174">
        <v>40.489464581714401</v>
      </c>
      <c r="I45" s="173"/>
      <c r="J45" s="173">
        <v>13246321.5132345</v>
      </c>
      <c r="K45" s="174">
        <v>49.125793515466398</v>
      </c>
    </row>
    <row r="46" spans="2:11" ht="6.95" customHeight="1" x14ac:dyDescent="0.25">
      <c r="B46" s="141"/>
      <c r="C46" s="98"/>
      <c r="D46" s="173"/>
      <c r="E46" s="174"/>
      <c r="F46" s="173"/>
      <c r="G46" s="173"/>
      <c r="H46" s="174"/>
      <c r="I46" s="173"/>
      <c r="J46" s="173"/>
      <c r="K46" s="174"/>
    </row>
    <row r="47" spans="2:11" x14ac:dyDescent="0.25">
      <c r="B47" s="142" t="s">
        <v>66</v>
      </c>
      <c r="C47" s="98"/>
      <c r="D47" s="176">
        <v>3882250.3892781502</v>
      </c>
      <c r="E47" s="175">
        <v>15.901784398935799</v>
      </c>
      <c r="F47" s="173"/>
      <c r="G47" s="176">
        <v>1802059.9375706101</v>
      </c>
      <c r="H47" s="175">
        <v>15.226122278851101</v>
      </c>
      <c r="I47" s="173"/>
      <c r="J47" s="176">
        <v>2240531.8703184901</v>
      </c>
      <c r="K47" s="175">
        <v>17.788037772652299</v>
      </c>
    </row>
    <row r="48" spans="2:11" x14ac:dyDescent="0.25">
      <c r="B48" s="142" t="s">
        <v>9</v>
      </c>
      <c r="C48" s="98"/>
      <c r="D48" s="176">
        <v>21660593.335751299</v>
      </c>
      <c r="E48" s="175">
        <v>87.002577913355594</v>
      </c>
      <c r="F48" s="173"/>
      <c r="G48" s="176">
        <v>10827025.979164099</v>
      </c>
      <c r="H48" s="175">
        <v>89.1764186458539</v>
      </c>
      <c r="I48" s="173"/>
      <c r="J48" s="176">
        <v>11219563.200449301</v>
      </c>
      <c r="K48" s="175">
        <v>86.231430432530303</v>
      </c>
    </row>
    <row r="49" spans="2:11" ht="6.95" customHeight="1" x14ac:dyDescent="0.25">
      <c r="B49" s="142"/>
      <c r="C49" s="98"/>
      <c r="D49" s="176"/>
      <c r="E49" s="175"/>
      <c r="F49" s="173"/>
      <c r="G49" s="173"/>
      <c r="H49" s="174"/>
      <c r="I49" s="173"/>
      <c r="J49" s="173"/>
      <c r="K49" s="174"/>
    </row>
    <row r="50" spans="2:11" x14ac:dyDescent="0.25">
      <c r="B50" s="141" t="s">
        <v>58</v>
      </c>
      <c r="C50" s="98"/>
      <c r="D50" s="173">
        <v>34071011.587138399</v>
      </c>
      <c r="E50" s="174">
        <v>58.937155266747297</v>
      </c>
      <c r="F50" s="173"/>
      <c r="G50" s="173">
        <v>19516836.979587302</v>
      </c>
      <c r="H50" s="174">
        <v>63.218691149541698</v>
      </c>
      <c r="I50" s="173"/>
      <c r="J50" s="173">
        <v>14976110.0841523</v>
      </c>
      <c r="K50" s="174">
        <v>55.207840036772097</v>
      </c>
    </row>
    <row r="51" spans="2:11" ht="6.95" customHeight="1" x14ac:dyDescent="0.25">
      <c r="B51" s="142"/>
      <c r="C51" s="56"/>
      <c r="D51" s="173"/>
      <c r="E51" s="174"/>
      <c r="F51" s="173"/>
      <c r="G51" s="173"/>
      <c r="H51" s="174"/>
      <c r="I51" s="173"/>
      <c r="J51" s="173"/>
      <c r="K51" s="174"/>
    </row>
    <row r="52" spans="2:11" x14ac:dyDescent="0.25">
      <c r="B52" s="140" t="s">
        <v>56</v>
      </c>
      <c r="C52" s="56"/>
      <c r="D52" s="173">
        <v>12412551.589454699</v>
      </c>
      <c r="E52" s="174">
        <v>21.723804242976101</v>
      </c>
      <c r="F52" s="173"/>
      <c r="G52" s="173">
        <v>5857467.5056280196</v>
      </c>
      <c r="H52" s="174">
        <v>19.2748676894136</v>
      </c>
      <c r="I52" s="173"/>
      <c r="J52" s="173">
        <v>6829991.6321991105</v>
      </c>
      <c r="K52" s="174">
        <v>25.4218545827082</v>
      </c>
    </row>
    <row r="53" spans="2:11" ht="6.95" customHeight="1" x14ac:dyDescent="0.25">
      <c r="B53" s="140"/>
      <c r="C53" s="56"/>
      <c r="D53" s="173"/>
      <c r="E53" s="174"/>
      <c r="F53" s="173"/>
      <c r="G53" s="173"/>
      <c r="H53" s="174"/>
      <c r="I53" s="173"/>
      <c r="J53" s="173"/>
      <c r="K53" s="174"/>
    </row>
    <row r="54" spans="2:11" x14ac:dyDescent="0.25">
      <c r="B54" s="142" t="s">
        <v>66</v>
      </c>
      <c r="C54" s="56"/>
      <c r="D54" s="176">
        <v>1018727.7293613499</v>
      </c>
      <c r="E54" s="175">
        <v>8.7206493178782001</v>
      </c>
      <c r="F54" s="173"/>
      <c r="G54" s="176">
        <v>392823.931509913</v>
      </c>
      <c r="H54" s="175">
        <v>7.2654774857995301</v>
      </c>
      <c r="I54" s="173"/>
      <c r="J54" s="176">
        <v>688480.57618523506</v>
      </c>
      <c r="K54" s="175">
        <v>10.9315790285721</v>
      </c>
    </row>
    <row r="55" spans="2:11" x14ac:dyDescent="0.25">
      <c r="B55" s="142" t="s">
        <v>9</v>
      </c>
      <c r="C55" s="56"/>
      <c r="D55" s="176">
        <v>11550898.6324808</v>
      </c>
      <c r="E55" s="175">
        <v>94.183812070844795</v>
      </c>
      <c r="F55" s="173"/>
      <c r="G55" s="176">
        <v>5549520.5903626997</v>
      </c>
      <c r="H55" s="175">
        <v>96.193004553010695</v>
      </c>
      <c r="I55" s="173"/>
      <c r="J55" s="176">
        <v>6266756.4882319896</v>
      </c>
      <c r="K55" s="175">
        <v>93.423326972967402</v>
      </c>
    </row>
    <row r="56" spans="2:11" ht="6.95" customHeight="1" x14ac:dyDescent="0.25">
      <c r="B56" s="142"/>
      <c r="C56" s="56"/>
      <c r="D56" s="176"/>
      <c r="E56" s="175"/>
      <c r="F56" s="173"/>
      <c r="G56" s="173"/>
      <c r="H56" s="174"/>
      <c r="I56" s="173"/>
      <c r="J56" s="173"/>
      <c r="K56" s="174"/>
    </row>
    <row r="57" spans="2:11" x14ac:dyDescent="0.25">
      <c r="B57" s="140" t="s">
        <v>57</v>
      </c>
      <c r="C57" s="56"/>
      <c r="D57" s="173">
        <v>46831435.178995401</v>
      </c>
      <c r="E57" s="174">
        <v>80.615644855806707</v>
      </c>
      <c r="F57" s="173"/>
      <c r="G57" s="173">
        <v>26017276.148989402</v>
      </c>
      <c r="H57" s="174">
        <v>83.550759508124798</v>
      </c>
      <c r="I57" s="173"/>
      <c r="J57" s="173">
        <v>21321032.442003999</v>
      </c>
      <c r="K57" s="174">
        <v>78.210875809441305</v>
      </c>
    </row>
    <row r="58" spans="2:11" ht="6.95" customHeight="1" x14ac:dyDescent="0.25">
      <c r="B58" s="33"/>
      <c r="C58" s="33"/>
      <c r="D58" s="126"/>
      <c r="E58" s="34"/>
      <c r="F58" s="34"/>
      <c r="G58" s="126"/>
      <c r="H58" s="33"/>
      <c r="I58" s="33"/>
      <c r="J58" s="132"/>
      <c r="K58" s="35"/>
    </row>
    <row r="59" spans="2:11" ht="6.95" customHeight="1" x14ac:dyDescent="0.25">
      <c r="B59" s="31"/>
      <c r="C59" s="31"/>
      <c r="D59" s="127"/>
      <c r="E59" s="37"/>
      <c r="F59" s="37"/>
      <c r="G59" s="127"/>
      <c r="H59" s="31"/>
      <c r="I59" s="31"/>
      <c r="J59" s="131"/>
      <c r="K59" s="30"/>
    </row>
    <row r="60" spans="2:11" ht="12" customHeight="1" x14ac:dyDescent="0.25">
      <c r="B60" s="210" t="s">
        <v>65</v>
      </c>
      <c r="C60" s="210"/>
      <c r="D60" s="210"/>
      <c r="E60" s="210"/>
      <c r="F60" s="210"/>
      <c r="G60" s="210"/>
    </row>
  </sheetData>
  <mergeCells count="6">
    <mergeCell ref="B60:G60"/>
    <mergeCell ref="B7:B9"/>
    <mergeCell ref="D7:E8"/>
    <mergeCell ref="G7:K7"/>
    <mergeCell ref="G8:H8"/>
    <mergeCell ref="J8:K8"/>
  </mergeCells>
  <hyperlinks>
    <hyperlink ref="K1" location="Índice!A1" tooltip="Ir a ÍNDICE" display="INDICE" xr:uid="{25710C1A-7153-45C5-8A2F-04C55FF526D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13BA5-317A-488C-A15D-C090DF1C32AF}">
  <dimension ref="B1:K46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107" customWidth="1"/>
    <col min="5" max="5" width="15.7109375" customWidth="1"/>
    <col min="6" max="6" width="1.7109375" customWidth="1"/>
    <col min="7" max="7" width="15.7109375" style="107" customWidth="1"/>
    <col min="8" max="8" width="15.7109375" customWidth="1"/>
    <col min="9" max="9" width="1.7109375" customWidth="1"/>
    <col min="10" max="10" width="15.7109375" style="107" customWidth="1"/>
    <col min="11" max="11" width="15.7109375" customWidth="1"/>
  </cols>
  <sheetData>
    <row r="1" spans="2:11" x14ac:dyDescent="0.25">
      <c r="B1" s="229" t="s">
        <v>89</v>
      </c>
      <c r="C1" s="41"/>
      <c r="K1" s="50" t="s">
        <v>27</v>
      </c>
    </row>
    <row r="2" spans="2:11" ht="6.95" customHeight="1" x14ac:dyDescent="0.25"/>
    <row r="3" spans="2:11" x14ac:dyDescent="0.25">
      <c r="B3" s="41" t="s">
        <v>87</v>
      </c>
      <c r="G3" s="133"/>
    </row>
    <row r="4" spans="2:11" ht="6.95" customHeight="1" x14ac:dyDescent="0.25">
      <c r="B4" s="38"/>
      <c r="C4" s="38"/>
      <c r="D4" s="124"/>
      <c r="E4" s="25"/>
      <c r="F4" s="25"/>
      <c r="G4" s="124"/>
      <c r="H4" s="26"/>
      <c r="I4" s="26"/>
      <c r="J4" s="128"/>
    </row>
    <row r="5" spans="2:11" ht="30" customHeight="1" x14ac:dyDescent="0.25">
      <c r="B5" s="221" t="s">
        <v>38</v>
      </c>
      <c r="C5" s="221"/>
      <c r="D5" s="221"/>
      <c r="E5" s="221"/>
      <c r="F5" s="221"/>
      <c r="G5" s="221"/>
      <c r="H5" s="27"/>
      <c r="I5" s="27"/>
      <c r="J5" s="129"/>
      <c r="K5" s="52" t="s">
        <v>14</v>
      </c>
    </row>
    <row r="6" spans="2:11" ht="6.95" customHeight="1" x14ac:dyDescent="0.25">
      <c r="B6" s="28"/>
      <c r="C6" s="28"/>
      <c r="D6" s="125"/>
      <c r="E6" s="54"/>
      <c r="F6" s="54"/>
      <c r="G6" s="125"/>
      <c r="H6" s="29"/>
      <c r="I6" s="29"/>
      <c r="J6" s="130"/>
      <c r="K6" s="29"/>
    </row>
    <row r="7" spans="2:11" ht="15" customHeight="1" x14ac:dyDescent="0.25">
      <c r="B7" s="215" t="s">
        <v>37</v>
      </c>
      <c r="C7" s="166"/>
      <c r="D7" s="218" t="s">
        <v>21</v>
      </c>
      <c r="E7" s="218"/>
      <c r="F7" s="159"/>
      <c r="G7" s="220" t="s">
        <v>83</v>
      </c>
      <c r="H7" s="220"/>
      <c r="I7" s="220"/>
      <c r="J7" s="220"/>
      <c r="K7" s="220"/>
    </row>
    <row r="8" spans="2:11" x14ac:dyDescent="0.25">
      <c r="B8" s="216"/>
      <c r="C8" s="167"/>
      <c r="D8" s="219"/>
      <c r="E8" s="219"/>
      <c r="F8" s="160"/>
      <c r="G8" s="219" t="s">
        <v>8</v>
      </c>
      <c r="H8" s="219"/>
      <c r="I8" s="160"/>
      <c r="J8" s="219" t="s">
        <v>5</v>
      </c>
      <c r="K8" s="219"/>
    </row>
    <row r="9" spans="2:11" ht="15" customHeight="1" x14ac:dyDescent="0.25">
      <c r="B9" s="217"/>
      <c r="C9" s="33"/>
      <c r="D9" s="161" t="s">
        <v>84</v>
      </c>
      <c r="E9" s="162" t="s">
        <v>26</v>
      </c>
      <c r="F9" s="163"/>
      <c r="G9" s="161" t="s">
        <v>84</v>
      </c>
      <c r="H9" s="162" t="s">
        <v>26</v>
      </c>
      <c r="I9" s="163"/>
      <c r="J9" s="161" t="s">
        <v>84</v>
      </c>
      <c r="K9" s="162" t="s">
        <v>26</v>
      </c>
    </row>
    <row r="10" spans="2:11" ht="6.95" customHeight="1" x14ac:dyDescent="0.25">
      <c r="B10" s="31"/>
      <c r="C10" s="31"/>
      <c r="D10" s="160"/>
      <c r="E10" s="164"/>
      <c r="F10" s="165"/>
      <c r="G10" s="160"/>
      <c r="H10" s="164"/>
      <c r="I10" s="165"/>
      <c r="J10" s="160"/>
      <c r="K10" s="164"/>
    </row>
    <row r="11" spans="2:11" x14ac:dyDescent="0.25">
      <c r="B11" s="31" t="s">
        <v>1</v>
      </c>
      <c r="C11" s="31"/>
      <c r="D11" s="173">
        <v>88168959.549554095</v>
      </c>
      <c r="E11" s="174">
        <v>100</v>
      </c>
      <c r="F11" s="173"/>
      <c r="G11" s="173">
        <v>47788866.463474698</v>
      </c>
      <c r="H11" s="174">
        <v>100</v>
      </c>
      <c r="I11" s="173"/>
      <c r="J11" s="173">
        <v>41315778.788891397</v>
      </c>
      <c r="K11" s="174">
        <v>100</v>
      </c>
    </row>
    <row r="12" spans="2:11" ht="6.95" customHeight="1" x14ac:dyDescent="0.25">
      <c r="B12" s="31"/>
      <c r="C12" s="31"/>
      <c r="D12" s="173"/>
      <c r="E12" s="175"/>
      <c r="F12" s="173"/>
      <c r="G12" s="173"/>
      <c r="H12" s="175"/>
      <c r="I12" s="176"/>
      <c r="J12" s="173"/>
      <c r="K12" s="175"/>
    </row>
    <row r="13" spans="2:11" ht="30" customHeight="1" x14ac:dyDescent="0.25">
      <c r="B13" s="60" t="s">
        <v>16</v>
      </c>
      <c r="C13" s="60"/>
      <c r="D13" s="173">
        <v>9631973.8890963104</v>
      </c>
      <c r="E13" s="174">
        <v>11.0995291852938</v>
      </c>
      <c r="F13" s="173"/>
      <c r="G13" s="173">
        <v>6025918.9212698797</v>
      </c>
      <c r="H13" s="174">
        <v>12.925495354649099</v>
      </c>
      <c r="I13" s="173"/>
      <c r="J13" s="173">
        <v>3775982.3461566698</v>
      </c>
      <c r="K13" s="174">
        <v>9.38574992361605</v>
      </c>
    </row>
    <row r="14" spans="2:11" ht="6.95" customHeight="1" x14ac:dyDescent="0.25">
      <c r="B14" s="60"/>
      <c r="C14" s="60"/>
      <c r="D14" s="173"/>
      <c r="E14" s="174"/>
      <c r="F14" s="173"/>
      <c r="G14" s="173"/>
      <c r="H14" s="174"/>
      <c r="I14" s="173"/>
      <c r="J14" s="173"/>
      <c r="K14" s="174"/>
    </row>
    <row r="15" spans="2:11" x14ac:dyDescent="0.25">
      <c r="B15" s="57" t="s">
        <v>61</v>
      </c>
      <c r="C15" s="57"/>
      <c r="D15" s="176">
        <v>3587100.3594052</v>
      </c>
      <c r="E15" s="175">
        <v>39.155582635354499</v>
      </c>
      <c r="F15" s="173"/>
      <c r="G15" s="176">
        <v>2317663.56719307</v>
      </c>
      <c r="H15" s="175">
        <v>40.8780774401827</v>
      </c>
      <c r="I15" s="176"/>
      <c r="J15" s="176">
        <v>1382548.25120211</v>
      </c>
      <c r="K15" s="175">
        <v>39.252251651803697</v>
      </c>
    </row>
    <row r="16" spans="2:11" x14ac:dyDescent="0.25">
      <c r="B16" s="57" t="s">
        <v>62</v>
      </c>
      <c r="C16" s="57"/>
      <c r="D16" s="176">
        <v>4936355.4506599</v>
      </c>
      <c r="E16" s="175">
        <v>53.120069028759097</v>
      </c>
      <c r="F16" s="173"/>
      <c r="G16" s="176">
        <v>3058731.5729741198</v>
      </c>
      <c r="H16" s="175">
        <v>52.870905093716203</v>
      </c>
      <c r="I16" s="176"/>
      <c r="J16" s="176">
        <v>2009343.09468425</v>
      </c>
      <c r="K16" s="175">
        <v>56.218051735341099</v>
      </c>
    </row>
    <row r="17" spans="2:11" x14ac:dyDescent="0.25">
      <c r="B17" s="57" t="s">
        <v>47</v>
      </c>
      <c r="C17" s="57"/>
      <c r="D17" s="176">
        <v>473916.26569654403</v>
      </c>
      <c r="E17" s="175">
        <v>5.2814112524881498</v>
      </c>
      <c r="F17" s="176"/>
      <c r="G17" s="176">
        <v>279239.00440428499</v>
      </c>
      <c r="H17" s="175">
        <v>5.0204330216581603</v>
      </c>
      <c r="I17" s="176"/>
      <c r="J17" s="176">
        <v>232500.234466558</v>
      </c>
      <c r="K17" s="175">
        <v>6.7514563509554799</v>
      </c>
    </row>
    <row r="18" spans="2:11" x14ac:dyDescent="0.25">
      <c r="B18" s="61" t="s">
        <v>63</v>
      </c>
      <c r="C18" s="61"/>
      <c r="D18" s="176">
        <v>1079880.9520864999</v>
      </c>
      <c r="E18" s="175">
        <v>11.9001287334187</v>
      </c>
      <c r="F18" s="176"/>
      <c r="G18" s="176">
        <v>702472.17776111898</v>
      </c>
      <c r="H18" s="175">
        <v>12.548626571014101</v>
      </c>
      <c r="I18" s="176"/>
      <c r="J18" s="176">
        <v>422943.08657933102</v>
      </c>
      <c r="K18" s="175">
        <v>12.196144545822801</v>
      </c>
    </row>
    <row r="19" spans="2:11" ht="6.95" customHeight="1" x14ac:dyDescent="0.25">
      <c r="B19" s="61"/>
      <c r="C19" s="61"/>
      <c r="D19" s="176"/>
      <c r="E19" s="175"/>
      <c r="F19" s="176"/>
      <c r="G19" s="176"/>
      <c r="H19" s="175"/>
      <c r="I19" s="176"/>
      <c r="J19" s="176"/>
      <c r="K19" s="175"/>
    </row>
    <row r="20" spans="2:11" ht="30" customHeight="1" x14ac:dyDescent="0.25">
      <c r="B20" s="62" t="s">
        <v>17</v>
      </c>
      <c r="C20" s="62"/>
      <c r="D20" s="173">
        <v>79176062.720062897</v>
      </c>
      <c r="E20" s="174">
        <v>90.365177749529096</v>
      </c>
      <c r="F20" s="173"/>
      <c r="G20" s="173">
        <v>42194517.521999396</v>
      </c>
      <c r="H20" s="174">
        <v>89.042020174079497</v>
      </c>
      <c r="I20" s="173"/>
      <c r="J20" s="173">
        <v>37855881.492136702</v>
      </c>
      <c r="K20" s="174">
        <v>92.299292209972805</v>
      </c>
    </row>
    <row r="21" spans="2:11" ht="6.95" customHeight="1" x14ac:dyDescent="0.25">
      <c r="B21" s="32"/>
      <c r="C21" s="32"/>
      <c r="D21" s="173"/>
      <c r="E21" s="177"/>
      <c r="F21" s="178"/>
      <c r="G21" s="173"/>
      <c r="H21" s="177"/>
      <c r="I21" s="177"/>
      <c r="J21" s="173"/>
      <c r="K21" s="177"/>
    </row>
    <row r="22" spans="2:11" x14ac:dyDescent="0.25">
      <c r="B22" s="100" t="s">
        <v>6</v>
      </c>
      <c r="C22" s="100"/>
      <c r="D22" s="173">
        <v>31876327.629939102</v>
      </c>
      <c r="E22" s="174">
        <v>100</v>
      </c>
      <c r="F22" s="173"/>
      <c r="G22" s="173">
        <v>17557347.996399298</v>
      </c>
      <c r="H22" s="174">
        <v>100</v>
      </c>
      <c r="I22" s="173"/>
      <c r="J22" s="173">
        <v>14624214.675651999</v>
      </c>
      <c r="K22" s="174">
        <v>100</v>
      </c>
    </row>
    <row r="23" spans="2:11" ht="6.95" customHeight="1" x14ac:dyDescent="0.25">
      <c r="B23" s="100"/>
      <c r="C23" s="100"/>
      <c r="D23" s="173"/>
      <c r="E23" s="175"/>
      <c r="F23" s="173"/>
      <c r="G23" s="173"/>
      <c r="H23" s="175"/>
      <c r="I23" s="176"/>
      <c r="J23" s="173"/>
      <c r="K23" s="175"/>
    </row>
    <row r="24" spans="2:11" ht="30" customHeight="1" x14ac:dyDescent="0.25">
      <c r="B24" s="60" t="s">
        <v>16</v>
      </c>
      <c r="C24" s="60"/>
      <c r="D24" s="173">
        <v>5196085.2697176998</v>
      </c>
      <c r="E24" s="174">
        <v>17.148282030676999</v>
      </c>
      <c r="F24" s="173"/>
      <c r="G24" s="173">
        <v>3248178.3558081002</v>
      </c>
      <c r="H24" s="174">
        <v>19.462106040616501</v>
      </c>
      <c r="I24" s="173"/>
      <c r="J24" s="173">
        <v>2055356.3667055599</v>
      </c>
      <c r="K24" s="174">
        <v>14.991772599235</v>
      </c>
    </row>
    <row r="25" spans="2:11" ht="6.95" customHeight="1" x14ac:dyDescent="0.25">
      <c r="B25" s="60"/>
      <c r="C25" s="60"/>
      <c r="D25" s="173"/>
      <c r="E25" s="174"/>
      <c r="F25" s="173"/>
      <c r="G25" s="173"/>
      <c r="H25" s="174"/>
      <c r="I25" s="173"/>
      <c r="J25" s="173"/>
      <c r="K25" s="174"/>
    </row>
    <row r="26" spans="2:11" x14ac:dyDescent="0.25">
      <c r="B26" s="57" t="s">
        <v>61</v>
      </c>
      <c r="C26" s="57"/>
      <c r="D26" s="176">
        <v>1859451.32525535</v>
      </c>
      <c r="E26" s="175">
        <v>38.550821112381897</v>
      </c>
      <c r="F26" s="173"/>
      <c r="G26" s="176">
        <v>1155500.04142985</v>
      </c>
      <c r="H26" s="175">
        <v>39.399615584855198</v>
      </c>
      <c r="I26" s="176"/>
      <c r="J26" s="176">
        <v>773429.47097854398</v>
      </c>
      <c r="K26" s="175">
        <v>41.434809553086303</v>
      </c>
    </row>
    <row r="27" spans="2:11" x14ac:dyDescent="0.25">
      <c r="B27" s="57" t="s">
        <v>62</v>
      </c>
      <c r="C27" s="57"/>
      <c r="D27" s="176">
        <v>2776434.06161618</v>
      </c>
      <c r="E27" s="175">
        <v>56.915562207964498</v>
      </c>
      <c r="F27" s="173"/>
      <c r="G27" s="176">
        <v>1720351.3782677799</v>
      </c>
      <c r="H27" s="175">
        <v>56.251233585170603</v>
      </c>
      <c r="I27" s="176"/>
      <c r="J27" s="176">
        <v>1158242.9995888399</v>
      </c>
      <c r="K27" s="175">
        <v>62.086575280834701</v>
      </c>
    </row>
    <row r="28" spans="2:11" x14ac:dyDescent="0.25">
      <c r="B28" s="57" t="s">
        <v>47</v>
      </c>
      <c r="C28" s="57"/>
      <c r="D28" s="176">
        <v>250657.47012418101</v>
      </c>
      <c r="E28" s="175">
        <v>5.4321399344342698</v>
      </c>
      <c r="F28" s="176"/>
      <c r="G28" s="176">
        <v>196144.16596666101</v>
      </c>
      <c r="H28" s="175">
        <v>6.84387335411901</v>
      </c>
      <c r="I28" s="176"/>
      <c r="J28" s="176">
        <v>79065.295430712897</v>
      </c>
      <c r="K28" s="175">
        <v>4.4690502794126896</v>
      </c>
    </row>
    <row r="29" spans="2:11" x14ac:dyDescent="0.25">
      <c r="B29" s="61" t="s">
        <v>63</v>
      </c>
      <c r="C29" s="61"/>
      <c r="D29" s="176">
        <v>633602.88649208995</v>
      </c>
      <c r="E29" s="175">
        <v>13.4407739246794</v>
      </c>
      <c r="F29" s="176"/>
      <c r="G29" s="176">
        <v>419422.38857868302</v>
      </c>
      <c r="H29" s="175">
        <v>14.475033865454099</v>
      </c>
      <c r="I29" s="176"/>
      <c r="J29" s="176">
        <v>242833.50936649001</v>
      </c>
      <c r="K29" s="175">
        <v>13.5106212331225</v>
      </c>
    </row>
    <row r="30" spans="2:11" ht="6.95" customHeight="1" x14ac:dyDescent="0.25">
      <c r="B30" s="61"/>
      <c r="C30" s="61"/>
      <c r="D30" s="176"/>
      <c r="E30" s="175"/>
      <c r="F30" s="176"/>
      <c r="G30" s="176"/>
      <c r="H30" s="175"/>
      <c r="I30" s="176"/>
      <c r="J30" s="176"/>
      <c r="K30" s="175"/>
    </row>
    <row r="31" spans="2:11" ht="30" customHeight="1" x14ac:dyDescent="0.25">
      <c r="B31" s="62" t="s">
        <v>17</v>
      </c>
      <c r="C31" s="62"/>
      <c r="D31" s="173">
        <v>27057668.2740223</v>
      </c>
      <c r="E31" s="174">
        <v>86.261590623058297</v>
      </c>
      <c r="F31" s="173"/>
      <c r="G31" s="173">
        <v>14542911.731285401</v>
      </c>
      <c r="H31" s="174">
        <v>84.607572827713099</v>
      </c>
      <c r="I31" s="173"/>
      <c r="J31" s="173">
        <v>12773326.749168601</v>
      </c>
      <c r="K31" s="174">
        <v>88.895164254848794</v>
      </c>
    </row>
    <row r="32" spans="2:11" ht="6.95" customHeight="1" x14ac:dyDescent="0.25">
      <c r="B32" s="101"/>
      <c r="C32" s="101"/>
      <c r="D32" s="173"/>
      <c r="E32" s="177"/>
      <c r="F32" s="178"/>
      <c r="G32" s="173"/>
      <c r="H32" s="177"/>
      <c r="I32" s="177"/>
      <c r="J32" s="173"/>
      <c r="K32" s="177"/>
    </row>
    <row r="33" spans="2:11" x14ac:dyDescent="0.25">
      <c r="B33" s="100" t="s">
        <v>7</v>
      </c>
      <c r="C33" s="100"/>
      <c r="D33" s="173">
        <v>58722602.216376103</v>
      </c>
      <c r="E33" s="174">
        <v>100</v>
      </c>
      <c r="F33" s="173"/>
      <c r="G33" s="173">
        <v>31539784.224373799</v>
      </c>
      <c r="H33" s="174">
        <v>100</v>
      </c>
      <c r="I33" s="173"/>
      <c r="J33" s="173">
        <v>27745562.505176</v>
      </c>
      <c r="K33" s="174">
        <v>100</v>
      </c>
    </row>
    <row r="34" spans="2:11" ht="6.95" customHeight="1" x14ac:dyDescent="0.25">
      <c r="B34" s="100"/>
      <c r="C34" s="100"/>
      <c r="D34" s="173"/>
      <c r="E34" s="175"/>
      <c r="F34" s="173"/>
      <c r="G34" s="173"/>
      <c r="H34" s="175"/>
      <c r="I34" s="176"/>
      <c r="J34" s="173"/>
      <c r="K34" s="175"/>
    </row>
    <row r="35" spans="2:11" ht="30" customHeight="1" x14ac:dyDescent="0.25">
      <c r="B35" s="60" t="s">
        <v>16</v>
      </c>
      <c r="C35" s="60"/>
      <c r="D35" s="173">
        <v>4780670.6884569898</v>
      </c>
      <c r="E35" s="174">
        <v>8.3804182257825097</v>
      </c>
      <c r="F35" s="173"/>
      <c r="G35" s="173">
        <v>3019032.8738308102</v>
      </c>
      <c r="H35" s="174">
        <v>9.9906060577053495</v>
      </c>
      <c r="I35" s="173"/>
      <c r="J35" s="173">
        <v>1881750.4437057499</v>
      </c>
      <c r="K35" s="174">
        <v>7.0442270920594803</v>
      </c>
    </row>
    <row r="36" spans="2:11" ht="6.95" customHeight="1" x14ac:dyDescent="0.25">
      <c r="B36" s="60"/>
      <c r="C36" s="60"/>
      <c r="D36" s="173"/>
      <c r="E36" s="174"/>
      <c r="F36" s="173"/>
      <c r="G36" s="173"/>
      <c r="H36" s="174"/>
      <c r="I36" s="173"/>
      <c r="J36" s="173"/>
      <c r="K36" s="174"/>
    </row>
    <row r="37" spans="2:11" x14ac:dyDescent="0.25">
      <c r="B37" s="57" t="s">
        <v>61</v>
      </c>
      <c r="C37" s="57"/>
      <c r="D37" s="176">
        <v>1897887.99475693</v>
      </c>
      <c r="E37" s="175">
        <v>42.4377186567473</v>
      </c>
      <c r="F37" s="173"/>
      <c r="G37" s="176">
        <v>1278832.8268845601</v>
      </c>
      <c r="H37" s="175">
        <v>45.542802490761801</v>
      </c>
      <c r="I37" s="176"/>
      <c r="J37" s="176">
        <v>693788.65664331696</v>
      </c>
      <c r="K37" s="175">
        <v>40.921507173175101</v>
      </c>
    </row>
    <row r="38" spans="2:11" x14ac:dyDescent="0.25">
      <c r="B38" s="57" t="s">
        <v>62</v>
      </c>
      <c r="C38" s="57"/>
      <c r="D38" s="176">
        <v>2384929.3863967801</v>
      </c>
      <c r="E38" s="175">
        <v>52.0375431472429</v>
      </c>
      <c r="F38" s="173"/>
      <c r="G38" s="176">
        <v>1504147.15976523</v>
      </c>
      <c r="H38" s="175">
        <v>52.872504260714102</v>
      </c>
      <c r="I38" s="176"/>
      <c r="J38" s="176">
        <v>962269.13734526106</v>
      </c>
      <c r="K38" s="175">
        <v>54.315812363511199</v>
      </c>
    </row>
    <row r="39" spans="2:11" x14ac:dyDescent="0.25">
      <c r="B39" s="57" t="s">
        <v>47</v>
      </c>
      <c r="C39" s="57"/>
      <c r="D39" s="176">
        <v>261246.60384159</v>
      </c>
      <c r="E39" s="175">
        <v>5.9927747560097702</v>
      </c>
      <c r="F39" s="176"/>
      <c r="G39" s="176">
        <v>107048.958988906</v>
      </c>
      <c r="H39" s="175">
        <v>3.9772297084751602</v>
      </c>
      <c r="I39" s="176"/>
      <c r="J39" s="176">
        <v>177149.980594019</v>
      </c>
      <c r="K39" s="175">
        <v>10.544435184684099</v>
      </c>
    </row>
    <row r="40" spans="2:11" x14ac:dyDescent="0.25">
      <c r="B40" s="61" t="s">
        <v>63</v>
      </c>
      <c r="C40" s="61"/>
      <c r="D40" s="176">
        <v>515501.91583150602</v>
      </c>
      <c r="E40" s="175">
        <v>11.7865662784414</v>
      </c>
      <c r="F40" s="176"/>
      <c r="G40" s="176">
        <v>335449.95478805399</v>
      </c>
      <c r="H40" s="175">
        <v>12.3877647693676</v>
      </c>
      <c r="I40" s="176"/>
      <c r="J40" s="176">
        <v>219207.110815633</v>
      </c>
      <c r="K40" s="175">
        <v>13.0617446118462</v>
      </c>
    </row>
    <row r="41" spans="2:11" ht="6.95" customHeight="1" x14ac:dyDescent="0.25">
      <c r="B41" s="61"/>
      <c r="C41" s="61"/>
      <c r="D41" s="176"/>
      <c r="E41" s="175"/>
      <c r="F41" s="176"/>
      <c r="G41" s="176"/>
      <c r="H41" s="175"/>
      <c r="I41" s="176"/>
      <c r="J41" s="176"/>
      <c r="K41" s="175"/>
    </row>
    <row r="42" spans="2:11" ht="30" customHeight="1" x14ac:dyDescent="0.25">
      <c r="B42" s="62" t="s">
        <v>17</v>
      </c>
      <c r="C42" s="62"/>
      <c r="D42" s="173">
        <v>54252561.6911688</v>
      </c>
      <c r="E42" s="174">
        <v>92.997202612835096</v>
      </c>
      <c r="F42" s="173"/>
      <c r="G42" s="173">
        <v>28789654.9829759</v>
      </c>
      <c r="H42" s="174">
        <v>92.060206159907196</v>
      </c>
      <c r="I42" s="173"/>
      <c r="J42" s="173">
        <v>26041869.9751366</v>
      </c>
      <c r="K42" s="174">
        <v>94.548243609551605</v>
      </c>
    </row>
    <row r="43" spans="2:11" ht="6.95" customHeight="1" x14ac:dyDescent="0.25">
      <c r="B43" s="33"/>
      <c r="C43" s="33"/>
      <c r="D43" s="126"/>
      <c r="E43" s="34"/>
      <c r="F43" s="34"/>
      <c r="G43" s="126"/>
      <c r="H43" s="33"/>
      <c r="I43" s="33"/>
      <c r="J43" s="132"/>
      <c r="K43" s="35"/>
    </row>
    <row r="44" spans="2:11" ht="6.95" customHeight="1" x14ac:dyDescent="0.25">
      <c r="B44" s="31"/>
      <c r="C44" s="31"/>
      <c r="D44" s="127"/>
      <c r="E44" s="37"/>
      <c r="F44" s="37"/>
      <c r="G44" s="127"/>
      <c r="H44" s="31"/>
      <c r="I44" s="31"/>
      <c r="J44" s="131"/>
      <c r="K44" s="30"/>
    </row>
    <row r="45" spans="2:11" ht="12" customHeight="1" x14ac:dyDescent="0.25">
      <c r="B45" s="88" t="s">
        <v>34</v>
      </c>
      <c r="C45" s="88"/>
      <c r="D45" s="127"/>
      <c r="E45" s="37"/>
      <c r="F45" s="37"/>
      <c r="G45" s="127"/>
      <c r="H45" s="31"/>
      <c r="I45" s="31"/>
      <c r="J45" s="131"/>
      <c r="K45" s="30"/>
    </row>
    <row r="46" spans="2:11" ht="12" customHeight="1" x14ac:dyDescent="0.25">
      <c r="B46" s="210" t="s">
        <v>65</v>
      </c>
      <c r="C46" s="210"/>
      <c r="D46" s="210"/>
      <c r="E46" s="210"/>
      <c r="F46" s="210"/>
      <c r="G46" s="210"/>
    </row>
  </sheetData>
  <mergeCells count="7">
    <mergeCell ref="B46:G46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INDICE" xr:uid="{A1AC6F6F-12F6-4B14-BDA8-63CBB9881F73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D67A4-6AD1-4B83-9E76-6F0B64485747}">
  <dimension ref="B1:AL39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28.7109375" customWidth="1"/>
    <col min="3" max="3" width="1.7109375" customWidth="1"/>
    <col min="4" max="4" width="15.7109375" style="107" customWidth="1"/>
    <col min="5" max="5" width="15.7109375" customWidth="1"/>
    <col min="6" max="6" width="1.7109375" customWidth="1"/>
    <col min="7" max="7" width="15.7109375" style="107" customWidth="1"/>
    <col min="8" max="8" width="15.7109375" customWidth="1"/>
    <col min="9" max="9" width="1.7109375" customWidth="1"/>
    <col min="10" max="10" width="15.7109375" style="107" customWidth="1"/>
    <col min="11" max="11" width="15.7109375" customWidth="1"/>
    <col min="12" max="12" width="1.7109375" customWidth="1"/>
    <col min="13" max="13" width="15.7109375" style="107" customWidth="1"/>
    <col min="14" max="14" width="15.7109375" customWidth="1"/>
    <col min="15" max="15" width="1.7109375" customWidth="1"/>
    <col min="16" max="16" width="15.7109375" style="107" customWidth="1"/>
    <col min="17" max="17" width="15.7109375" customWidth="1"/>
    <col min="18" max="18" width="1.7109375" customWidth="1"/>
    <col min="19" max="19" width="15.7109375" style="107" customWidth="1"/>
    <col min="20" max="20" width="15.7109375" customWidth="1"/>
    <col min="21" max="21" width="1.7109375" customWidth="1"/>
    <col min="22" max="22" width="15.7109375" style="107" customWidth="1"/>
    <col min="23" max="23" width="15.7109375" customWidth="1"/>
    <col min="24" max="24" width="1.7109375" customWidth="1"/>
    <col min="25" max="25" width="15.7109375" style="107" customWidth="1"/>
    <col min="26" max="26" width="15.7109375" customWidth="1"/>
    <col min="27" max="27" width="1.7109375" customWidth="1"/>
    <col min="28" max="28" width="15.7109375" style="107" customWidth="1"/>
    <col min="29" max="29" width="15.7109375" customWidth="1"/>
    <col min="30" max="30" width="1.7109375" customWidth="1"/>
    <col min="31" max="31" width="15.7109375" style="107" customWidth="1"/>
    <col min="32" max="32" width="15.7109375" customWidth="1"/>
    <col min="33" max="33" width="1.7109375" customWidth="1"/>
    <col min="34" max="34" width="15.7109375" style="107" customWidth="1"/>
    <col min="35" max="35" width="15.7109375" customWidth="1"/>
    <col min="36" max="36" width="1.7109375" customWidth="1"/>
    <col min="37" max="37" width="15.7109375" style="107" customWidth="1"/>
    <col min="38" max="38" width="15.7109375" customWidth="1"/>
  </cols>
  <sheetData>
    <row r="1" spans="2:38" x14ac:dyDescent="0.25">
      <c r="B1" s="229" t="s">
        <v>89</v>
      </c>
      <c r="C1" s="41"/>
      <c r="AL1" s="50" t="s">
        <v>27</v>
      </c>
    </row>
    <row r="2" spans="2:38" ht="6.95" customHeight="1" x14ac:dyDescent="0.25"/>
    <row r="3" spans="2:38" x14ac:dyDescent="0.25">
      <c r="B3" s="41" t="s">
        <v>87</v>
      </c>
      <c r="K3" s="65"/>
    </row>
    <row r="4" spans="2:38" ht="6.95" customHeight="1" x14ac:dyDescent="0.25">
      <c r="B4" s="1"/>
      <c r="C4" s="1"/>
      <c r="D4" s="108"/>
      <c r="E4" s="1"/>
      <c r="F4" s="1"/>
      <c r="G4" s="108"/>
      <c r="H4" s="1"/>
      <c r="I4" s="1"/>
      <c r="J4" s="115"/>
      <c r="K4" s="2"/>
      <c r="L4" s="2"/>
      <c r="M4" s="118"/>
      <c r="N4" s="3"/>
      <c r="O4" s="3"/>
    </row>
    <row r="5" spans="2:38" x14ac:dyDescent="0.25">
      <c r="B5" s="42" t="s">
        <v>76</v>
      </c>
      <c r="C5" s="66"/>
      <c r="D5" s="108"/>
      <c r="E5" s="1"/>
      <c r="F5" s="1"/>
      <c r="G5" s="108"/>
      <c r="H5" s="1"/>
      <c r="I5" s="1"/>
      <c r="J5" s="108"/>
      <c r="K5" s="1"/>
      <c r="L5" s="1"/>
      <c r="M5" s="118"/>
      <c r="N5" s="3"/>
      <c r="O5" s="3"/>
      <c r="AL5" s="52" t="s">
        <v>15</v>
      </c>
    </row>
    <row r="6" spans="2:38" ht="6.95" customHeight="1" x14ac:dyDescent="0.25">
      <c r="B6" s="4"/>
      <c r="C6" s="4"/>
      <c r="D6" s="109"/>
      <c r="E6" s="5"/>
      <c r="F6" s="5"/>
      <c r="G6" s="109"/>
      <c r="H6" s="5"/>
      <c r="I6" s="5"/>
      <c r="J6" s="117"/>
      <c r="K6" s="6"/>
      <c r="L6" s="6"/>
      <c r="M6" s="118"/>
      <c r="N6" s="3"/>
      <c r="O6" s="3"/>
    </row>
    <row r="7" spans="2:38" ht="15" customHeight="1" x14ac:dyDescent="0.25">
      <c r="B7" s="224" t="s">
        <v>40</v>
      </c>
      <c r="C7" s="169"/>
      <c r="D7" s="225" t="s">
        <v>23</v>
      </c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170"/>
      <c r="P7" s="225" t="s">
        <v>4</v>
      </c>
      <c r="Q7" s="225"/>
      <c r="R7" s="225"/>
      <c r="S7" s="225"/>
      <c r="T7" s="225"/>
      <c r="U7" s="225"/>
      <c r="V7" s="225"/>
      <c r="W7" s="225"/>
      <c r="X7" s="225"/>
      <c r="Y7" s="225"/>
      <c r="Z7" s="225"/>
      <c r="AA7" s="170"/>
      <c r="AB7" s="225" t="s">
        <v>5</v>
      </c>
      <c r="AC7" s="225"/>
      <c r="AD7" s="225"/>
      <c r="AE7" s="225"/>
      <c r="AF7" s="225"/>
      <c r="AG7" s="225"/>
      <c r="AH7" s="225"/>
      <c r="AI7" s="225"/>
      <c r="AJ7" s="225"/>
      <c r="AK7" s="225"/>
      <c r="AL7" s="225"/>
    </row>
    <row r="8" spans="2:38" ht="15" customHeight="1" x14ac:dyDescent="0.25">
      <c r="B8" s="212"/>
      <c r="C8" s="39"/>
      <c r="D8" s="226" t="s">
        <v>19</v>
      </c>
      <c r="E8" s="226"/>
      <c r="F8" s="171"/>
      <c r="G8" s="222" t="s">
        <v>20</v>
      </c>
      <c r="H8" s="222"/>
      <c r="I8" s="222"/>
      <c r="J8" s="222"/>
      <c r="K8" s="222"/>
      <c r="L8" s="222"/>
      <c r="M8" s="222"/>
      <c r="N8" s="222"/>
      <c r="O8" s="63"/>
      <c r="P8" s="226" t="s">
        <v>19</v>
      </c>
      <c r="Q8" s="226"/>
      <c r="R8" s="171"/>
      <c r="S8" s="222" t="s">
        <v>20</v>
      </c>
      <c r="T8" s="222"/>
      <c r="U8" s="222"/>
      <c r="V8" s="227"/>
      <c r="W8" s="227"/>
      <c r="X8" s="227"/>
      <c r="Y8" s="227"/>
      <c r="Z8" s="227"/>
      <c r="AA8" s="2"/>
      <c r="AB8" s="226" t="s">
        <v>19</v>
      </c>
      <c r="AC8" s="226"/>
      <c r="AD8" s="171"/>
      <c r="AE8" s="222" t="s">
        <v>20</v>
      </c>
      <c r="AF8" s="222"/>
      <c r="AG8" s="222"/>
      <c r="AH8" s="227"/>
      <c r="AI8" s="227"/>
      <c r="AJ8" s="228"/>
      <c r="AK8" s="227"/>
      <c r="AL8" s="227"/>
    </row>
    <row r="9" spans="2:38" ht="30" customHeight="1" x14ac:dyDescent="0.25">
      <c r="B9" s="212"/>
      <c r="C9" s="39"/>
      <c r="D9" s="207"/>
      <c r="E9" s="207"/>
      <c r="F9" s="97"/>
      <c r="G9" s="222" t="s">
        <v>18</v>
      </c>
      <c r="H9" s="222"/>
      <c r="I9" s="171"/>
      <c r="J9" s="207" t="s">
        <v>42</v>
      </c>
      <c r="K9" s="207"/>
      <c r="L9" s="171"/>
      <c r="M9" s="223" t="s">
        <v>10</v>
      </c>
      <c r="N9" s="223"/>
      <c r="O9" s="63"/>
      <c r="P9" s="207"/>
      <c r="Q9" s="207"/>
      <c r="R9" s="96"/>
      <c r="S9" s="222" t="s">
        <v>18</v>
      </c>
      <c r="T9" s="222"/>
      <c r="U9" s="171"/>
      <c r="V9" s="207" t="s">
        <v>42</v>
      </c>
      <c r="W9" s="207"/>
      <c r="X9" s="172"/>
      <c r="Y9" s="222" t="s">
        <v>10</v>
      </c>
      <c r="Z9" s="222"/>
      <c r="AA9" s="99"/>
      <c r="AB9" s="207"/>
      <c r="AC9" s="207"/>
      <c r="AD9" s="96"/>
      <c r="AE9" s="222" t="s">
        <v>18</v>
      </c>
      <c r="AF9" s="222"/>
      <c r="AG9" s="171"/>
      <c r="AH9" s="207" t="s">
        <v>42</v>
      </c>
      <c r="AI9" s="207"/>
      <c r="AJ9" s="171"/>
      <c r="AK9" s="222" t="s">
        <v>10</v>
      </c>
      <c r="AL9" s="222"/>
    </row>
    <row r="10" spans="2:38" x14ac:dyDescent="0.25">
      <c r="B10" s="213"/>
      <c r="C10" s="91"/>
      <c r="D10" s="110" t="s">
        <v>25</v>
      </c>
      <c r="E10" s="44" t="s">
        <v>26</v>
      </c>
      <c r="F10" s="96"/>
      <c r="G10" s="110" t="s">
        <v>25</v>
      </c>
      <c r="H10" s="44" t="s">
        <v>26</v>
      </c>
      <c r="I10" s="13"/>
      <c r="J10" s="110" t="s">
        <v>25</v>
      </c>
      <c r="K10" s="44" t="s">
        <v>26</v>
      </c>
      <c r="L10" s="64"/>
      <c r="M10" s="110" t="s">
        <v>25</v>
      </c>
      <c r="N10" s="44" t="s">
        <v>26</v>
      </c>
      <c r="O10" s="64"/>
      <c r="P10" s="110" t="s">
        <v>25</v>
      </c>
      <c r="Q10" s="44" t="s">
        <v>26</v>
      </c>
      <c r="R10" s="23"/>
      <c r="S10" s="110" t="s">
        <v>25</v>
      </c>
      <c r="T10" s="44" t="s">
        <v>26</v>
      </c>
      <c r="U10" s="23"/>
      <c r="V10" s="110" t="s">
        <v>25</v>
      </c>
      <c r="W10" s="44" t="s">
        <v>26</v>
      </c>
      <c r="X10" s="44"/>
      <c r="Y10" s="110" t="s">
        <v>25</v>
      </c>
      <c r="Z10" s="44" t="s">
        <v>26</v>
      </c>
      <c r="AA10" s="23"/>
      <c r="AB10" s="110" t="s">
        <v>25</v>
      </c>
      <c r="AC10" s="44" t="s">
        <v>26</v>
      </c>
      <c r="AD10" s="23"/>
      <c r="AE10" s="110" t="s">
        <v>25</v>
      </c>
      <c r="AF10" s="44" t="s">
        <v>26</v>
      </c>
      <c r="AG10" s="23"/>
      <c r="AH10" s="110" t="s">
        <v>25</v>
      </c>
      <c r="AI10" s="44" t="s">
        <v>26</v>
      </c>
      <c r="AJ10" s="23"/>
      <c r="AK10" s="110" t="s">
        <v>25</v>
      </c>
      <c r="AL10" s="44" t="s">
        <v>26</v>
      </c>
    </row>
    <row r="11" spans="2:38" ht="6.95" customHeight="1" x14ac:dyDescent="0.25">
      <c r="B11" s="39"/>
      <c r="C11" s="39"/>
      <c r="D11" s="134"/>
      <c r="E11" s="97"/>
      <c r="F11" s="97"/>
      <c r="G11" s="116"/>
      <c r="H11" s="47"/>
      <c r="I11" s="70"/>
      <c r="J11" s="116"/>
      <c r="K11" s="47"/>
      <c r="L11" s="71"/>
      <c r="M11" s="116"/>
      <c r="N11" s="47"/>
      <c r="O11" s="71"/>
      <c r="P11" s="138"/>
      <c r="Q11" s="69"/>
      <c r="R11" s="69"/>
      <c r="S11" s="116"/>
      <c r="T11" s="47"/>
      <c r="U11" s="69"/>
      <c r="V11" s="116"/>
      <c r="W11" s="47"/>
      <c r="X11" s="47"/>
      <c r="Y11" s="116"/>
      <c r="Z11" s="47"/>
      <c r="AA11" s="69"/>
      <c r="AB11" s="138"/>
      <c r="AC11" s="69"/>
      <c r="AD11" s="69"/>
      <c r="AE11" s="116"/>
      <c r="AF11" s="47"/>
      <c r="AG11" s="69"/>
      <c r="AH11" s="116"/>
      <c r="AI11" s="47"/>
      <c r="AJ11" s="69"/>
      <c r="AK11" s="116"/>
      <c r="AL11" s="47"/>
    </row>
    <row r="12" spans="2:38" ht="15" customHeight="1" x14ac:dyDescent="0.25">
      <c r="B12" s="9" t="s">
        <v>1</v>
      </c>
      <c r="C12" s="9"/>
      <c r="D12" s="173">
        <v>88168959.549554095</v>
      </c>
      <c r="E12" s="174">
        <v>100</v>
      </c>
      <c r="F12" s="173"/>
      <c r="G12" s="173">
        <v>21400082.651336499</v>
      </c>
      <c r="H12" s="174">
        <v>24.710611510114699</v>
      </c>
      <c r="I12" s="173"/>
      <c r="J12" s="173">
        <v>32192673.548589598</v>
      </c>
      <c r="K12" s="174">
        <v>37.094953887617301</v>
      </c>
      <c r="L12" s="173"/>
      <c r="M12" s="173">
        <v>84093139.338032097</v>
      </c>
      <c r="N12" s="174">
        <v>95.743748412087299</v>
      </c>
      <c r="O12" s="173"/>
      <c r="P12" s="173">
        <v>47788866.463474698</v>
      </c>
      <c r="Q12" s="174">
        <v>100</v>
      </c>
      <c r="R12" s="173"/>
      <c r="S12" s="173">
        <v>10908943.806490401</v>
      </c>
      <c r="T12" s="174">
        <v>23.407549737404501</v>
      </c>
      <c r="U12" s="173"/>
      <c r="V12" s="173">
        <v>15968126.665985599</v>
      </c>
      <c r="W12" s="174">
        <v>34.211052440997797</v>
      </c>
      <c r="X12" s="173"/>
      <c r="Y12" s="173">
        <v>45816293.660322003</v>
      </c>
      <c r="Z12" s="174">
        <v>96.440413584177406</v>
      </c>
      <c r="AA12" s="173"/>
      <c r="AB12" s="173">
        <v>41315778.788891397</v>
      </c>
      <c r="AC12" s="174">
        <v>100</v>
      </c>
      <c r="AD12" s="173"/>
      <c r="AE12" s="173">
        <v>10875280.4821118</v>
      </c>
      <c r="AF12" s="174">
        <v>26.966443814503702</v>
      </c>
      <c r="AG12" s="173"/>
      <c r="AH12" s="173">
        <v>16670337.378642101</v>
      </c>
      <c r="AI12" s="174">
        <v>41.2336611445402</v>
      </c>
      <c r="AJ12" s="173"/>
      <c r="AK12" s="173">
        <v>39156535.682885297</v>
      </c>
      <c r="AL12" s="174">
        <v>95.312235741293406</v>
      </c>
    </row>
    <row r="13" spans="2:38" ht="6.95" customHeight="1" x14ac:dyDescent="0.25">
      <c r="B13" s="10"/>
      <c r="C13" s="10"/>
      <c r="D13" s="173"/>
      <c r="E13" s="175"/>
      <c r="F13" s="173"/>
      <c r="G13" s="173"/>
      <c r="H13" s="175"/>
      <c r="I13" s="176"/>
      <c r="J13" s="173"/>
      <c r="K13" s="175"/>
      <c r="L13" s="173"/>
      <c r="M13" s="173"/>
      <c r="N13" s="175"/>
      <c r="O13" s="176"/>
      <c r="P13" s="173"/>
      <c r="Q13" s="175"/>
      <c r="R13" s="173"/>
      <c r="S13" s="173"/>
      <c r="T13" s="175"/>
      <c r="U13" s="176"/>
      <c r="V13" s="173"/>
      <c r="W13" s="175"/>
      <c r="X13" s="173"/>
      <c r="Y13" s="173"/>
      <c r="Z13" s="175"/>
      <c r="AA13" s="173"/>
      <c r="AB13" s="173"/>
      <c r="AC13" s="175"/>
      <c r="AD13" s="173"/>
      <c r="AE13" s="173"/>
      <c r="AF13" s="175"/>
      <c r="AG13" s="176"/>
      <c r="AH13" s="173"/>
      <c r="AI13" s="175"/>
      <c r="AJ13" s="173"/>
      <c r="AK13" s="173"/>
      <c r="AL13" s="175"/>
    </row>
    <row r="14" spans="2:38" ht="30" customHeight="1" x14ac:dyDescent="0.25">
      <c r="B14" s="49" t="s">
        <v>69</v>
      </c>
      <c r="C14" s="67"/>
      <c r="D14" s="176">
        <v>83097491.603648007</v>
      </c>
      <c r="E14" s="175">
        <v>94.708286295148994</v>
      </c>
      <c r="F14" s="176"/>
      <c r="G14" s="176">
        <v>3211454.9177967799</v>
      </c>
      <c r="H14" s="175">
        <v>3.9354768697334501</v>
      </c>
      <c r="I14" s="176"/>
      <c r="J14" s="176">
        <v>10862314.032430399</v>
      </c>
      <c r="K14" s="175">
        <v>13.314613789373</v>
      </c>
      <c r="L14" s="176"/>
      <c r="M14" s="176">
        <v>79281381.64756</v>
      </c>
      <c r="N14" s="175">
        <v>95.744762463769902</v>
      </c>
      <c r="O14" s="176"/>
      <c r="P14" s="176">
        <v>45557281.921735503</v>
      </c>
      <c r="Q14" s="175">
        <v>95.881300229240793</v>
      </c>
      <c r="R14" s="176"/>
      <c r="S14" s="176">
        <v>1635172.2145541699</v>
      </c>
      <c r="T14" s="175">
        <v>3.68399018150695</v>
      </c>
      <c r="U14" s="176"/>
      <c r="V14" s="176">
        <v>5020959.8687107097</v>
      </c>
      <c r="W14" s="175">
        <v>11.318471375089199</v>
      </c>
      <c r="X14" s="176"/>
      <c r="Y14" s="176">
        <v>43765353.027827799</v>
      </c>
      <c r="Z14" s="175">
        <v>96.545439442652096</v>
      </c>
      <c r="AA14" s="176"/>
      <c r="AB14" s="176">
        <v>38437968.608903803</v>
      </c>
      <c r="AC14" s="175">
        <v>93.775425122009906</v>
      </c>
      <c r="AD14" s="176"/>
      <c r="AE14" s="176">
        <v>1711057.9670718</v>
      </c>
      <c r="AF14" s="175">
        <v>4.5838212836663903</v>
      </c>
      <c r="AG14" s="176"/>
      <c r="AH14" s="176">
        <v>6070220.4949807003</v>
      </c>
      <c r="AI14" s="175">
        <v>16.209950989979099</v>
      </c>
      <c r="AJ14" s="176"/>
      <c r="AK14" s="176">
        <v>36380587.804829903</v>
      </c>
      <c r="AL14" s="175">
        <v>95.156374535048698</v>
      </c>
    </row>
    <row r="15" spans="2:38" ht="45" customHeight="1" x14ac:dyDescent="0.25">
      <c r="B15" s="49" t="s">
        <v>70</v>
      </c>
      <c r="C15" s="49"/>
      <c r="D15" s="176">
        <v>72498545.834595993</v>
      </c>
      <c r="E15" s="175">
        <v>83.050501271822696</v>
      </c>
      <c r="F15" s="176"/>
      <c r="G15" s="176">
        <v>2489132.4353862102</v>
      </c>
      <c r="H15" s="175">
        <v>3.5034502070642399</v>
      </c>
      <c r="I15" s="176"/>
      <c r="J15" s="176">
        <v>27207144.6118224</v>
      </c>
      <c r="K15" s="175">
        <v>38.109957500226002</v>
      </c>
      <c r="L15" s="176"/>
      <c r="M15" s="176">
        <v>59378441.851737797</v>
      </c>
      <c r="N15" s="175">
        <v>82.489286846321306</v>
      </c>
      <c r="O15" s="176"/>
      <c r="P15" s="176">
        <v>39433760.607927904</v>
      </c>
      <c r="Q15" s="175">
        <v>83.653886723426695</v>
      </c>
      <c r="R15" s="176"/>
      <c r="S15" s="176">
        <v>1405727.3705116401</v>
      </c>
      <c r="T15" s="175">
        <v>3.6630633170786502</v>
      </c>
      <c r="U15" s="176"/>
      <c r="V15" s="176">
        <v>13568795.124418801</v>
      </c>
      <c r="W15" s="175">
        <v>35.255961328499602</v>
      </c>
      <c r="X15" s="176"/>
      <c r="Y15" s="176">
        <v>32886255.117896099</v>
      </c>
      <c r="Z15" s="175">
        <v>84.2138342173984</v>
      </c>
      <c r="AA15" s="176"/>
      <c r="AB15" s="176">
        <v>33865284.879698902</v>
      </c>
      <c r="AC15" s="175">
        <v>83.082121303375601</v>
      </c>
      <c r="AD15" s="176"/>
      <c r="AE15" s="176">
        <v>1219816.8945132401</v>
      </c>
      <c r="AF15" s="175">
        <v>3.7219425697229398</v>
      </c>
      <c r="AG15" s="176"/>
      <c r="AH15" s="176">
        <v>14050582.582339101</v>
      </c>
      <c r="AI15" s="175">
        <v>42.486524482886097</v>
      </c>
      <c r="AJ15" s="176"/>
      <c r="AK15" s="176">
        <v>27191658.9756888</v>
      </c>
      <c r="AL15" s="175">
        <v>81.123214682553197</v>
      </c>
    </row>
    <row r="16" spans="2:38" ht="45" customHeight="1" x14ac:dyDescent="0.25">
      <c r="B16" s="49" t="s">
        <v>11</v>
      </c>
      <c r="C16" s="49"/>
      <c r="D16" s="176">
        <v>62978801.917237997</v>
      </c>
      <c r="E16" s="175">
        <v>72.282132041888303</v>
      </c>
      <c r="F16" s="176"/>
      <c r="G16" s="176">
        <v>10286666.856493101</v>
      </c>
      <c r="H16" s="175">
        <v>16.668030521935499</v>
      </c>
      <c r="I16" s="176"/>
      <c r="J16" s="176">
        <v>10409986.823390599</v>
      </c>
      <c r="K16" s="175">
        <v>16.880993046500699</v>
      </c>
      <c r="L16" s="176"/>
      <c r="M16" s="176">
        <v>51554217.8868737</v>
      </c>
      <c r="N16" s="175">
        <v>82.444639333884098</v>
      </c>
      <c r="O16" s="176"/>
      <c r="P16" s="176">
        <v>33457346.029615</v>
      </c>
      <c r="Q16" s="175">
        <v>71.1192459850067</v>
      </c>
      <c r="R16" s="176"/>
      <c r="S16" s="176">
        <v>5076771.0500599099</v>
      </c>
      <c r="T16" s="175">
        <v>15.6081954212634</v>
      </c>
      <c r="U16" s="176"/>
      <c r="V16" s="176">
        <v>4682568.0858608596</v>
      </c>
      <c r="W16" s="175">
        <v>14.404551158663899</v>
      </c>
      <c r="X16" s="176"/>
      <c r="Y16" s="176">
        <v>27906529.735047702</v>
      </c>
      <c r="Z16" s="175">
        <v>84.307063656341398</v>
      </c>
      <c r="AA16" s="176"/>
      <c r="AB16" s="176">
        <v>30231495.613744799</v>
      </c>
      <c r="AC16" s="175">
        <v>74.438995946962706</v>
      </c>
      <c r="AD16" s="176"/>
      <c r="AE16" s="176">
        <v>5451254.5175966099</v>
      </c>
      <c r="AF16" s="175">
        <v>18.553459486864799</v>
      </c>
      <c r="AG16" s="176"/>
      <c r="AH16" s="176">
        <v>5983040.06141828</v>
      </c>
      <c r="AI16" s="175">
        <v>20.3690149320344</v>
      </c>
      <c r="AJ16" s="176"/>
      <c r="AK16" s="176">
        <v>24239014.586234901</v>
      </c>
      <c r="AL16" s="175">
        <v>81.065222316701195</v>
      </c>
    </row>
    <row r="17" spans="2:38" ht="45" customHeight="1" x14ac:dyDescent="0.25">
      <c r="B17" s="49" t="s">
        <v>41</v>
      </c>
      <c r="C17" s="49"/>
      <c r="D17" s="176">
        <v>57624681.8336161</v>
      </c>
      <c r="E17" s="175">
        <v>66.143157278284306</v>
      </c>
      <c r="F17" s="176"/>
      <c r="G17" s="176">
        <v>5931828.0072692204</v>
      </c>
      <c r="H17" s="175">
        <v>10.520695043356</v>
      </c>
      <c r="I17" s="176"/>
      <c r="J17" s="176">
        <v>6166067.7533907797</v>
      </c>
      <c r="K17" s="175">
        <v>10.9421877141985</v>
      </c>
      <c r="L17" s="176"/>
      <c r="M17" s="176">
        <v>53128301.8530856</v>
      </c>
      <c r="N17" s="175">
        <v>92.759952139342403</v>
      </c>
      <c r="O17" s="176"/>
      <c r="P17" s="176">
        <v>32709965.6208525</v>
      </c>
      <c r="Q17" s="175">
        <v>69.479181572624</v>
      </c>
      <c r="R17" s="176"/>
      <c r="S17" s="176">
        <v>2925795.0366999698</v>
      </c>
      <c r="T17" s="175">
        <v>9.2226618776745202</v>
      </c>
      <c r="U17" s="176"/>
      <c r="V17" s="176">
        <v>3011123.3641650002</v>
      </c>
      <c r="W17" s="175">
        <v>9.4888476841037104</v>
      </c>
      <c r="X17" s="176"/>
      <c r="Y17" s="176">
        <v>30674332.5216472</v>
      </c>
      <c r="Z17" s="175">
        <v>94.481366012543603</v>
      </c>
      <c r="AA17" s="176"/>
      <c r="AB17" s="176">
        <v>25557846.4810635</v>
      </c>
      <c r="AC17" s="175">
        <v>63.043289879603599</v>
      </c>
      <c r="AD17" s="176"/>
      <c r="AE17" s="176">
        <v>3174657.9708807599</v>
      </c>
      <c r="AF17" s="175">
        <v>12.8404505374937</v>
      </c>
      <c r="AG17" s="176"/>
      <c r="AH17" s="176">
        <v>3322690.8868164802</v>
      </c>
      <c r="AI17" s="175">
        <v>13.436250644542699</v>
      </c>
      <c r="AJ17" s="176"/>
      <c r="AK17" s="176">
        <v>23062128.512009699</v>
      </c>
      <c r="AL17" s="175">
        <v>91.120730061383696</v>
      </c>
    </row>
    <row r="18" spans="2:38" ht="45" customHeight="1" x14ac:dyDescent="0.25">
      <c r="B18" s="49" t="s">
        <v>71</v>
      </c>
      <c r="C18" s="49"/>
      <c r="D18" s="176">
        <v>26104106.215779498</v>
      </c>
      <c r="E18" s="175">
        <v>30.1090148077569</v>
      </c>
      <c r="F18" s="176"/>
      <c r="G18" s="176">
        <v>15202748.569267301</v>
      </c>
      <c r="H18" s="175">
        <v>59.412278651164598</v>
      </c>
      <c r="I18" s="176"/>
      <c r="J18" s="176">
        <v>8910294.1543438509</v>
      </c>
      <c r="K18" s="175">
        <v>35.135253056928299</v>
      </c>
      <c r="L18" s="176"/>
      <c r="M18" s="176">
        <v>6112311.6736231502</v>
      </c>
      <c r="N18" s="175">
        <v>24.048211725306999</v>
      </c>
      <c r="O18" s="176"/>
      <c r="P18" s="176">
        <v>13043313.852413001</v>
      </c>
      <c r="Q18" s="175">
        <v>27.9513000686038</v>
      </c>
      <c r="R18" s="176"/>
      <c r="S18" s="176">
        <v>7923519.2732264297</v>
      </c>
      <c r="T18" s="175">
        <v>62.316978223266098</v>
      </c>
      <c r="U18" s="176"/>
      <c r="V18" s="176">
        <v>4055716.3621225902</v>
      </c>
      <c r="W18" s="175">
        <v>32.273964937546097</v>
      </c>
      <c r="X18" s="176"/>
      <c r="Y18" s="176">
        <v>3139185.27820611</v>
      </c>
      <c r="Z18" s="175">
        <v>25.070830456867501</v>
      </c>
      <c r="AA18" s="176"/>
      <c r="AB18" s="176">
        <v>13453230.250577901</v>
      </c>
      <c r="AC18" s="175">
        <v>33.329135703826097</v>
      </c>
      <c r="AD18" s="176"/>
      <c r="AE18" s="176">
        <v>7597291.6697460497</v>
      </c>
      <c r="AF18" s="175">
        <v>58.238038984899802</v>
      </c>
      <c r="AG18" s="176"/>
      <c r="AH18" s="176">
        <v>5092890.5907166097</v>
      </c>
      <c r="AI18" s="175">
        <v>39.489857680910603</v>
      </c>
      <c r="AJ18" s="176"/>
      <c r="AK18" s="176">
        <v>3159729.9193250798</v>
      </c>
      <c r="AL18" s="175">
        <v>24.362873112162799</v>
      </c>
    </row>
    <row r="19" spans="2:38" ht="6.95" customHeight="1" x14ac:dyDescent="0.25">
      <c r="B19" s="145"/>
      <c r="C19" s="11"/>
      <c r="D19" s="176"/>
      <c r="E19" s="175"/>
      <c r="F19" s="173"/>
      <c r="G19" s="173"/>
      <c r="H19" s="181"/>
      <c r="I19" s="181"/>
      <c r="J19" s="173"/>
      <c r="K19" s="181"/>
      <c r="L19" s="182"/>
      <c r="M19" s="173"/>
      <c r="N19" s="181"/>
      <c r="O19" s="181"/>
      <c r="P19" s="183"/>
      <c r="Q19" s="183"/>
      <c r="R19" s="183"/>
      <c r="S19" s="173"/>
      <c r="T19" s="181"/>
      <c r="U19" s="181"/>
      <c r="V19" s="173"/>
      <c r="W19" s="181"/>
      <c r="X19" s="182"/>
      <c r="Y19" s="173"/>
      <c r="Z19" s="181"/>
      <c r="AA19" s="183"/>
      <c r="AB19" s="173"/>
      <c r="AC19" s="175"/>
      <c r="AD19" s="173"/>
      <c r="AE19" s="173"/>
      <c r="AF19" s="181"/>
      <c r="AG19" s="181"/>
      <c r="AH19" s="173"/>
      <c r="AI19" s="181"/>
      <c r="AJ19" s="182"/>
      <c r="AK19" s="173"/>
      <c r="AL19" s="181"/>
    </row>
    <row r="20" spans="2:38" x14ac:dyDescent="0.25">
      <c r="B20" s="148" t="s">
        <v>6</v>
      </c>
      <c r="C20" s="102"/>
      <c r="D20" s="173">
        <v>31876327.629939102</v>
      </c>
      <c r="E20" s="174">
        <v>100</v>
      </c>
      <c r="F20" s="173"/>
      <c r="G20" s="173">
        <v>4315933.1219814997</v>
      </c>
      <c r="H20" s="174">
        <v>14.2118594052376</v>
      </c>
      <c r="I20" s="173"/>
      <c r="J20" s="173">
        <v>6260795.60967388</v>
      </c>
      <c r="K20" s="174">
        <v>20.375915882562602</v>
      </c>
      <c r="L20" s="173"/>
      <c r="M20" s="173">
        <v>30958877.145589098</v>
      </c>
      <c r="N20" s="174">
        <v>97.675152721800302</v>
      </c>
      <c r="O20" s="173"/>
      <c r="P20" s="173">
        <v>17557347.996399298</v>
      </c>
      <c r="Q20" s="174">
        <v>100</v>
      </c>
      <c r="R20" s="173"/>
      <c r="S20" s="173">
        <v>2437034.75654419</v>
      </c>
      <c r="T20" s="174">
        <v>14.6438207049578</v>
      </c>
      <c r="U20" s="173"/>
      <c r="V20" s="173">
        <v>3261356.89126602</v>
      </c>
      <c r="W20" s="174">
        <v>19.441758735047301</v>
      </c>
      <c r="X20" s="173"/>
      <c r="Y20" s="173">
        <v>17109536.220782101</v>
      </c>
      <c r="Z20" s="174">
        <v>98.159117780735997</v>
      </c>
      <c r="AA20" s="173"/>
      <c r="AB20" s="173">
        <v>14624214.675651999</v>
      </c>
      <c r="AC20" s="174">
        <v>100</v>
      </c>
      <c r="AD20" s="173"/>
      <c r="AE20" s="173">
        <v>2052839.0522412199</v>
      </c>
      <c r="AF20" s="174">
        <v>14.910011790040199</v>
      </c>
      <c r="AG20" s="173"/>
      <c r="AH20" s="173">
        <v>3148507.1577538098</v>
      </c>
      <c r="AI20" s="174">
        <v>22.513512183224499</v>
      </c>
      <c r="AJ20" s="173"/>
      <c r="AK20" s="173">
        <v>14141320.8221373</v>
      </c>
      <c r="AL20" s="174">
        <v>97.563074707924102</v>
      </c>
    </row>
    <row r="21" spans="2:38" ht="6.95" customHeight="1" x14ac:dyDescent="0.25">
      <c r="B21" s="148"/>
      <c r="C21" s="102"/>
      <c r="D21" s="173"/>
      <c r="E21" s="175"/>
      <c r="F21" s="173"/>
      <c r="G21" s="173"/>
      <c r="H21" s="175"/>
      <c r="I21" s="176"/>
      <c r="J21" s="173"/>
      <c r="K21" s="175"/>
      <c r="L21" s="173"/>
      <c r="M21" s="173"/>
      <c r="N21" s="175"/>
      <c r="O21" s="176"/>
      <c r="P21" s="173"/>
      <c r="Q21" s="175"/>
      <c r="R21" s="173"/>
      <c r="S21" s="173"/>
      <c r="T21" s="175"/>
      <c r="U21" s="176"/>
      <c r="V21" s="173"/>
      <c r="W21" s="175"/>
      <c r="X21" s="173"/>
      <c r="Y21" s="173"/>
      <c r="Z21" s="175"/>
      <c r="AA21" s="173"/>
      <c r="AB21" s="173"/>
      <c r="AC21" s="175"/>
      <c r="AD21" s="173"/>
      <c r="AE21" s="173"/>
      <c r="AF21" s="175"/>
      <c r="AG21" s="176"/>
      <c r="AH21" s="173"/>
      <c r="AI21" s="175"/>
      <c r="AJ21" s="173"/>
      <c r="AK21" s="173"/>
      <c r="AL21" s="175"/>
    </row>
    <row r="22" spans="2:38" ht="22.5" x14ac:dyDescent="0.25">
      <c r="B22" s="49" t="s">
        <v>69</v>
      </c>
      <c r="C22" s="36"/>
      <c r="D22" s="176">
        <v>29977412.069965601</v>
      </c>
      <c r="E22" s="175">
        <v>94.799161475013904</v>
      </c>
      <c r="F22" s="176"/>
      <c r="G22" s="176">
        <v>589932.85578678094</v>
      </c>
      <c r="H22" s="175">
        <v>2.0888591191872798</v>
      </c>
      <c r="I22" s="176"/>
      <c r="J22" s="176">
        <v>2057027.8327666901</v>
      </c>
      <c r="K22" s="175">
        <v>7.2121415546134999</v>
      </c>
      <c r="L22" s="176"/>
      <c r="M22" s="176">
        <v>29513533.532777801</v>
      </c>
      <c r="N22" s="175">
        <v>98.871746378740895</v>
      </c>
      <c r="O22" s="176"/>
      <c r="P22" s="176">
        <v>16807954.119941801</v>
      </c>
      <c r="Q22" s="175">
        <v>96.533700592984999</v>
      </c>
      <c r="R22" s="176"/>
      <c r="S22" s="176">
        <v>253534.371587264</v>
      </c>
      <c r="T22" s="175">
        <v>1.62021078950525</v>
      </c>
      <c r="U22" s="176"/>
      <c r="V22" s="176">
        <v>947690.87537713198</v>
      </c>
      <c r="W22" s="175">
        <v>5.9749161245679403</v>
      </c>
      <c r="X22" s="176"/>
      <c r="Y22" s="176">
        <v>16572855.2920764</v>
      </c>
      <c r="Z22" s="175">
        <v>99.212602286270595</v>
      </c>
      <c r="AA22" s="176"/>
      <c r="AB22" s="176">
        <v>13464445.5858777</v>
      </c>
      <c r="AC22" s="175">
        <v>93.330180189630696</v>
      </c>
      <c r="AD22" s="176"/>
      <c r="AE22" s="176">
        <v>377361.57840077003</v>
      </c>
      <c r="AF22" s="175">
        <v>3.0125246550401799</v>
      </c>
      <c r="AG22" s="176"/>
      <c r="AH22" s="176">
        <v>1216413.0702756599</v>
      </c>
      <c r="AI22" s="175">
        <v>9.5592519087420005</v>
      </c>
      <c r="AJ22" s="176"/>
      <c r="AK22" s="176">
        <v>13233072.6349188</v>
      </c>
      <c r="AL22" s="175">
        <v>98.844767691513894</v>
      </c>
    </row>
    <row r="23" spans="2:38" s="68" customFormat="1" ht="45" customHeight="1" x14ac:dyDescent="0.25">
      <c r="B23" s="49" t="s">
        <v>70</v>
      </c>
      <c r="C23" s="49"/>
      <c r="D23" s="176">
        <v>21612949.7355217</v>
      </c>
      <c r="E23" s="175">
        <v>69.263093293686694</v>
      </c>
      <c r="F23" s="176"/>
      <c r="G23" s="176">
        <v>704816.72400734003</v>
      </c>
      <c r="H23" s="175">
        <v>3.5151699582564699</v>
      </c>
      <c r="I23" s="176"/>
      <c r="J23" s="176">
        <v>5111550.3868597699</v>
      </c>
      <c r="K23" s="175">
        <v>24.5818129751346</v>
      </c>
      <c r="L23" s="176"/>
      <c r="M23" s="176">
        <v>19926512.899855699</v>
      </c>
      <c r="N23" s="175">
        <v>93.954385628043099</v>
      </c>
      <c r="O23" s="176"/>
      <c r="P23" s="176">
        <v>11998913.982488099</v>
      </c>
      <c r="Q23" s="175">
        <v>70.179106035040107</v>
      </c>
      <c r="R23" s="176"/>
      <c r="S23" s="176">
        <v>520835.01572096499</v>
      </c>
      <c r="T23" s="175">
        <v>4.7025204459676697</v>
      </c>
      <c r="U23" s="176"/>
      <c r="V23" s="176">
        <v>2832458.4218646698</v>
      </c>
      <c r="W23" s="175">
        <v>24.796159394378101</v>
      </c>
      <c r="X23" s="176"/>
      <c r="Y23" s="176">
        <v>11080392.418193201</v>
      </c>
      <c r="Z23" s="175">
        <v>94.287238704944301</v>
      </c>
      <c r="AA23" s="176"/>
      <c r="AB23" s="176">
        <v>9856956.2010903005</v>
      </c>
      <c r="AC23" s="175">
        <v>69.466275525690406</v>
      </c>
      <c r="AD23" s="176"/>
      <c r="AE23" s="176">
        <v>247225.35808786299</v>
      </c>
      <c r="AF23" s="175">
        <v>2.74584669153802</v>
      </c>
      <c r="AG23" s="176"/>
      <c r="AH23" s="176">
        <v>2443395.7679589801</v>
      </c>
      <c r="AI23" s="175">
        <v>26.408237206639399</v>
      </c>
      <c r="AJ23" s="176"/>
      <c r="AK23" s="176">
        <v>9091478.1052091997</v>
      </c>
      <c r="AL23" s="175">
        <v>94.136773243000604</v>
      </c>
    </row>
    <row r="24" spans="2:38" s="68" customFormat="1" ht="45" customHeight="1" x14ac:dyDescent="0.25">
      <c r="B24" s="49" t="s">
        <v>11</v>
      </c>
      <c r="C24" s="49"/>
      <c r="D24" s="176">
        <v>20982536.830535199</v>
      </c>
      <c r="E24" s="175">
        <v>67.846209305030001</v>
      </c>
      <c r="F24" s="176"/>
      <c r="G24" s="176">
        <v>1757748.3343521</v>
      </c>
      <c r="H24" s="175">
        <v>8.8179762406470097</v>
      </c>
      <c r="I24" s="176"/>
      <c r="J24" s="176">
        <v>1456824.4301318999</v>
      </c>
      <c r="K24" s="175">
        <v>7.3577783725802197</v>
      </c>
      <c r="L24" s="176"/>
      <c r="M24" s="176">
        <v>19328818.888272502</v>
      </c>
      <c r="N24" s="175">
        <v>93.495960074821895</v>
      </c>
      <c r="O24" s="176"/>
      <c r="P24" s="176">
        <v>11731521.700215399</v>
      </c>
      <c r="Q24" s="175">
        <v>69.098889312300997</v>
      </c>
      <c r="R24" s="176"/>
      <c r="S24" s="176">
        <v>878312.95868410205</v>
      </c>
      <c r="T24" s="175">
        <v>8.0064164704810992</v>
      </c>
      <c r="U24" s="176"/>
      <c r="V24" s="176">
        <v>741940.583704288</v>
      </c>
      <c r="W24" s="175">
        <v>6.73258185480306</v>
      </c>
      <c r="X24" s="176"/>
      <c r="Y24" s="176">
        <v>10941175.271139</v>
      </c>
      <c r="Z24" s="175">
        <v>94.681799389268207</v>
      </c>
      <c r="AA24" s="176"/>
      <c r="AB24" s="176">
        <v>9513662.3655545805</v>
      </c>
      <c r="AC24" s="175">
        <v>67.606906990778398</v>
      </c>
      <c r="AD24" s="176"/>
      <c r="AE24" s="176">
        <v>986711.28232214996</v>
      </c>
      <c r="AF24" s="175">
        <v>11.0227983600134</v>
      </c>
      <c r="AG24" s="176"/>
      <c r="AH24" s="176">
        <v>816691.20518093498</v>
      </c>
      <c r="AI24" s="175">
        <v>9.2463158183985392</v>
      </c>
      <c r="AJ24" s="176"/>
      <c r="AK24" s="176">
        <v>8629522.8642691299</v>
      </c>
      <c r="AL24" s="175">
        <v>92.9411208003269</v>
      </c>
    </row>
    <row r="25" spans="2:38" s="68" customFormat="1" ht="45" customHeight="1" x14ac:dyDescent="0.25">
      <c r="B25" s="49" t="s">
        <v>41</v>
      </c>
      <c r="C25" s="49"/>
      <c r="D25" s="176">
        <v>19830827.7946845</v>
      </c>
      <c r="E25" s="175">
        <v>64.367588811990402</v>
      </c>
      <c r="F25" s="176"/>
      <c r="G25" s="176">
        <v>919612.35002052598</v>
      </c>
      <c r="H25" s="175">
        <v>4.8927908734149401</v>
      </c>
      <c r="I25" s="176"/>
      <c r="J25" s="176">
        <v>346171.261271953</v>
      </c>
      <c r="K25" s="175">
        <v>1.85250194404741</v>
      </c>
      <c r="L25" s="176"/>
      <c r="M25" s="176">
        <v>19505063.684627</v>
      </c>
      <c r="N25" s="175">
        <v>99.011892414539005</v>
      </c>
      <c r="O25" s="176"/>
      <c r="P25" s="176">
        <v>11685126.2091578</v>
      </c>
      <c r="Q25" s="175">
        <v>68.753403172102097</v>
      </c>
      <c r="R25" s="176"/>
      <c r="S25" s="176">
        <v>509716.74706397502</v>
      </c>
      <c r="T25" s="175">
        <v>4.6290862878225401</v>
      </c>
      <c r="U25" s="176"/>
      <c r="V25" s="176">
        <v>212379.608608621</v>
      </c>
      <c r="W25" s="175">
        <v>1.9486638781373899</v>
      </c>
      <c r="X25" s="176"/>
      <c r="Y25" s="176">
        <v>11470697.59412</v>
      </c>
      <c r="Z25" s="175">
        <v>99.110514552959501</v>
      </c>
      <c r="AA25" s="176"/>
      <c r="AB25" s="176">
        <v>8360848.1348199695</v>
      </c>
      <c r="AC25" s="175">
        <v>60.205573776287899</v>
      </c>
      <c r="AD25" s="176"/>
      <c r="AE25" s="176">
        <v>489812.94290106097</v>
      </c>
      <c r="AF25" s="175">
        <v>6.2883707499575898</v>
      </c>
      <c r="AG25" s="176"/>
      <c r="AH25" s="176">
        <v>175097.097171817</v>
      </c>
      <c r="AI25" s="175">
        <v>2.2540164919438102</v>
      </c>
      <c r="AJ25" s="176"/>
      <c r="AK25" s="176">
        <v>8245675.7975300299</v>
      </c>
      <c r="AL25" s="175">
        <v>99.438951434836198</v>
      </c>
    </row>
    <row r="26" spans="2:38" s="68" customFormat="1" ht="45" customHeight="1" x14ac:dyDescent="0.25">
      <c r="B26" s="49" t="s">
        <v>71</v>
      </c>
      <c r="C26" s="49"/>
      <c r="D26" s="176">
        <v>5769251.6970959697</v>
      </c>
      <c r="E26" s="175">
        <v>18.845908660198202</v>
      </c>
      <c r="F26" s="176"/>
      <c r="G26" s="176">
        <v>3152133.6805970999</v>
      </c>
      <c r="H26" s="175">
        <v>58.964412146287003</v>
      </c>
      <c r="I26" s="176"/>
      <c r="J26" s="176">
        <v>1727973.1142498499</v>
      </c>
      <c r="K26" s="175">
        <v>32.014810618605402</v>
      </c>
      <c r="L26" s="176"/>
      <c r="M26" s="176">
        <v>1762106.69700843</v>
      </c>
      <c r="N26" s="175">
        <v>33.778844096090701</v>
      </c>
      <c r="O26" s="176"/>
      <c r="P26" s="176">
        <v>3118342.8725743699</v>
      </c>
      <c r="Q26" s="175">
        <v>18.580031005424502</v>
      </c>
      <c r="R26" s="176"/>
      <c r="S26" s="176">
        <v>1822858.3579694501</v>
      </c>
      <c r="T26" s="175">
        <v>63.354504565817301</v>
      </c>
      <c r="U26" s="176"/>
      <c r="V26" s="176">
        <v>895238.39956747997</v>
      </c>
      <c r="W26" s="175">
        <v>31.393766742847902</v>
      </c>
      <c r="X26" s="176"/>
      <c r="Y26" s="176">
        <v>1041107.3922969101</v>
      </c>
      <c r="Z26" s="175">
        <v>37.471865943478001</v>
      </c>
      <c r="AA26" s="176"/>
      <c r="AB26" s="176">
        <v>2791004.58056247</v>
      </c>
      <c r="AC26" s="175">
        <v>20.108407149392502</v>
      </c>
      <c r="AD26" s="176"/>
      <c r="AE26" s="176">
        <v>1466065.4567221999</v>
      </c>
      <c r="AF26" s="175">
        <v>58.460496896459098</v>
      </c>
      <c r="AG26" s="176"/>
      <c r="AH26" s="176">
        <v>945213.81606461701</v>
      </c>
      <c r="AI26" s="175">
        <v>37.874940637985297</v>
      </c>
      <c r="AJ26" s="176"/>
      <c r="AK26" s="176">
        <v>815936.96305948799</v>
      </c>
      <c r="AL26" s="175">
        <v>33.276588524714697</v>
      </c>
    </row>
    <row r="27" spans="2:38" ht="6.95" customHeight="1" x14ac:dyDescent="0.25">
      <c r="B27" s="149"/>
      <c r="C27" s="103"/>
      <c r="D27" s="173"/>
      <c r="E27" s="184"/>
      <c r="F27" s="173"/>
      <c r="G27" s="173"/>
      <c r="H27" s="184"/>
      <c r="I27" s="184"/>
      <c r="J27" s="173"/>
      <c r="K27" s="184"/>
      <c r="L27" s="184"/>
      <c r="M27" s="173"/>
      <c r="N27" s="185"/>
      <c r="O27" s="185"/>
      <c r="P27" s="183"/>
      <c r="Q27" s="183"/>
      <c r="R27" s="183"/>
      <c r="S27" s="173"/>
      <c r="T27" s="183"/>
      <c r="U27" s="183"/>
      <c r="V27" s="173"/>
      <c r="W27" s="183"/>
      <c r="X27" s="183"/>
      <c r="Y27" s="173"/>
      <c r="Z27" s="183"/>
      <c r="AA27" s="183"/>
      <c r="AB27" s="173"/>
      <c r="AC27" s="183"/>
      <c r="AD27" s="173"/>
      <c r="AE27" s="173"/>
      <c r="AF27" s="183"/>
      <c r="AG27" s="183"/>
      <c r="AH27" s="173"/>
      <c r="AI27" s="183"/>
      <c r="AJ27" s="183"/>
      <c r="AK27" s="173"/>
      <c r="AL27" s="183"/>
    </row>
    <row r="28" spans="2:38" x14ac:dyDescent="0.25">
      <c r="B28" s="148" t="s">
        <v>7</v>
      </c>
      <c r="C28" s="102"/>
      <c r="D28" s="173">
        <v>58722602.216376103</v>
      </c>
      <c r="E28" s="174">
        <v>100</v>
      </c>
      <c r="F28" s="173"/>
      <c r="G28" s="173">
        <v>17571884.546698801</v>
      </c>
      <c r="H28" s="174">
        <v>30.8345643542599</v>
      </c>
      <c r="I28" s="173"/>
      <c r="J28" s="173">
        <v>26650072.966892101</v>
      </c>
      <c r="K28" s="174">
        <v>46.771268593802397</v>
      </c>
      <c r="L28" s="173"/>
      <c r="M28" s="173">
        <v>55459475.909379601</v>
      </c>
      <c r="N28" s="174">
        <v>94.954896245561002</v>
      </c>
      <c r="O28" s="173"/>
      <c r="P28" s="173">
        <v>31539784.224373799</v>
      </c>
      <c r="Q28" s="174">
        <v>100</v>
      </c>
      <c r="R28" s="173"/>
      <c r="S28" s="173">
        <v>8780617.9065717291</v>
      </c>
      <c r="T28" s="174">
        <v>28.960933739115301</v>
      </c>
      <c r="U28" s="173"/>
      <c r="V28" s="173">
        <v>13088717.0542225</v>
      </c>
      <c r="W28" s="174">
        <v>43.206495817484999</v>
      </c>
      <c r="X28" s="173"/>
      <c r="Y28" s="173">
        <v>29966158.9770304</v>
      </c>
      <c r="Z28" s="174">
        <v>95.804204708339796</v>
      </c>
      <c r="AA28" s="173"/>
      <c r="AB28" s="173">
        <v>27745562.505176</v>
      </c>
      <c r="AC28" s="174">
        <v>100</v>
      </c>
      <c r="AD28" s="173"/>
      <c r="AE28" s="173">
        <v>9100208.6952811796</v>
      </c>
      <c r="AF28" s="174">
        <v>33.893945657430898</v>
      </c>
      <c r="AG28" s="173"/>
      <c r="AH28" s="173">
        <v>13930323.8363085</v>
      </c>
      <c r="AI28" s="174">
        <v>51.787315194747201</v>
      </c>
      <c r="AJ28" s="173"/>
      <c r="AK28" s="173">
        <v>26032396.645640299</v>
      </c>
      <c r="AL28" s="174">
        <v>94.5053870848879</v>
      </c>
    </row>
    <row r="29" spans="2:38" ht="6.95" customHeight="1" x14ac:dyDescent="0.25">
      <c r="B29" s="148"/>
      <c r="C29" s="102"/>
      <c r="D29" s="173"/>
      <c r="E29" s="175"/>
      <c r="F29" s="173"/>
      <c r="G29" s="173"/>
      <c r="H29" s="175"/>
      <c r="I29" s="176"/>
      <c r="J29" s="173"/>
      <c r="K29" s="175"/>
      <c r="L29" s="173"/>
      <c r="M29" s="173"/>
      <c r="N29" s="175"/>
      <c r="O29" s="176"/>
      <c r="P29" s="173"/>
      <c r="Q29" s="175"/>
      <c r="R29" s="173"/>
      <c r="S29" s="173"/>
      <c r="T29" s="175"/>
      <c r="U29" s="176"/>
      <c r="V29" s="173"/>
      <c r="W29" s="175"/>
      <c r="X29" s="173"/>
      <c r="Y29" s="173"/>
      <c r="Z29" s="175"/>
      <c r="AA29" s="173"/>
      <c r="AB29" s="173"/>
      <c r="AC29" s="175"/>
      <c r="AD29" s="173"/>
      <c r="AE29" s="173"/>
      <c r="AF29" s="175"/>
      <c r="AG29" s="176"/>
      <c r="AH29" s="173"/>
      <c r="AI29" s="175"/>
      <c r="AJ29" s="173"/>
      <c r="AK29" s="173"/>
      <c r="AL29" s="175"/>
    </row>
    <row r="30" spans="2:38" ht="22.5" x14ac:dyDescent="0.25">
      <c r="B30" s="49" t="s">
        <v>69</v>
      </c>
      <c r="C30" s="36"/>
      <c r="D30" s="176">
        <v>55422351.914489597</v>
      </c>
      <c r="E30" s="175">
        <v>94.983574946532002</v>
      </c>
      <c r="F30" s="176"/>
      <c r="G30" s="176">
        <v>2744996.2463595401</v>
      </c>
      <c r="H30" s="175">
        <v>5.12683796752692</v>
      </c>
      <c r="I30" s="176"/>
      <c r="J30" s="176">
        <v>9052818.7942016907</v>
      </c>
      <c r="K30" s="175">
        <v>16.9452614345001</v>
      </c>
      <c r="L30" s="176"/>
      <c r="M30" s="176">
        <v>52005603.111278601</v>
      </c>
      <c r="N30" s="175">
        <v>94.295014219412195</v>
      </c>
      <c r="O30" s="176"/>
      <c r="P30" s="176">
        <v>30006456.019774601</v>
      </c>
      <c r="Q30" s="175">
        <v>95.865308180918603</v>
      </c>
      <c r="R30" s="176"/>
      <c r="S30" s="176">
        <v>1441766.5564799099</v>
      </c>
      <c r="T30" s="175">
        <v>5.0113827139216003</v>
      </c>
      <c r="U30" s="176"/>
      <c r="V30" s="176">
        <v>4206881.6045431504</v>
      </c>
      <c r="W30" s="175">
        <v>14.696003094622499</v>
      </c>
      <c r="X30" s="176"/>
      <c r="Y30" s="176">
        <v>28421427.031256299</v>
      </c>
      <c r="Z30" s="175">
        <v>95.340732865980996</v>
      </c>
      <c r="AA30" s="176"/>
      <c r="AB30" s="176">
        <v>25965636.554025602</v>
      </c>
      <c r="AC30" s="175">
        <v>94.541157150696804</v>
      </c>
      <c r="AD30" s="176"/>
      <c r="AE30" s="176">
        <v>1429503.9240970199</v>
      </c>
      <c r="AF30" s="175">
        <v>5.7461535103383099</v>
      </c>
      <c r="AG30" s="176"/>
      <c r="AH30" s="176">
        <v>5040307.0025088703</v>
      </c>
      <c r="AI30" s="175">
        <v>20.2132085369817</v>
      </c>
      <c r="AJ30" s="176"/>
      <c r="AK30" s="176">
        <v>24116743.395872101</v>
      </c>
      <c r="AL30" s="175">
        <v>93.584666905013194</v>
      </c>
    </row>
    <row r="31" spans="2:38" s="68" customFormat="1" ht="45" customHeight="1" x14ac:dyDescent="0.25">
      <c r="B31" s="49" t="s">
        <v>70</v>
      </c>
      <c r="C31" s="49"/>
      <c r="D31" s="176">
        <v>52729499.645424902</v>
      </c>
      <c r="E31" s="175">
        <v>90.962530019269806</v>
      </c>
      <c r="F31" s="176"/>
      <c r="G31" s="176">
        <v>1919295.32279287</v>
      </c>
      <c r="H31" s="175">
        <v>3.75058412686109</v>
      </c>
      <c r="I31" s="176"/>
      <c r="J31" s="176">
        <v>22687356.781590201</v>
      </c>
      <c r="K31" s="175">
        <v>44.236366275626096</v>
      </c>
      <c r="L31" s="176"/>
      <c r="M31" s="176">
        <v>41029199.735145703</v>
      </c>
      <c r="N31" s="175">
        <v>78.507312292931005</v>
      </c>
      <c r="O31" s="176"/>
      <c r="P31" s="176">
        <v>28438448.010593299</v>
      </c>
      <c r="Q31" s="175">
        <v>91.786154990463999</v>
      </c>
      <c r="R31" s="176"/>
      <c r="S31" s="176">
        <v>997251.01156336302</v>
      </c>
      <c r="T31" s="175">
        <v>3.6377116149258502</v>
      </c>
      <c r="U31" s="176"/>
      <c r="V31" s="176">
        <v>11070392.9430039</v>
      </c>
      <c r="W31" s="175">
        <v>40.4683039853076</v>
      </c>
      <c r="X31" s="176"/>
      <c r="Y31" s="176">
        <v>22690205.7232126</v>
      </c>
      <c r="Z31" s="175">
        <v>80.728081724165406</v>
      </c>
      <c r="AA31" s="176"/>
      <c r="AB31" s="176">
        <v>24834466.7638532</v>
      </c>
      <c r="AC31" s="175">
        <v>90.827924610337206</v>
      </c>
      <c r="AD31" s="176"/>
      <c r="AE31" s="176">
        <v>1035077.65560153</v>
      </c>
      <c r="AF31" s="175">
        <v>4.3438352889438301</v>
      </c>
      <c r="AG31" s="176"/>
      <c r="AH31" s="176">
        <v>11954269.2939147</v>
      </c>
      <c r="AI31" s="175">
        <v>49.591537476876397</v>
      </c>
      <c r="AJ31" s="176"/>
      <c r="AK31" s="176">
        <v>18819421.996259701</v>
      </c>
      <c r="AL31" s="175">
        <v>76.802867902423401</v>
      </c>
    </row>
    <row r="32" spans="2:38" s="68" customFormat="1" ht="45" customHeight="1" x14ac:dyDescent="0.25">
      <c r="B32" s="49" t="s">
        <v>11</v>
      </c>
      <c r="C32" s="49"/>
      <c r="D32" s="176">
        <v>43602854.803837903</v>
      </c>
      <c r="E32" s="175">
        <v>75.377522310349306</v>
      </c>
      <c r="F32" s="176"/>
      <c r="G32" s="176">
        <v>8764324.3396084607</v>
      </c>
      <c r="H32" s="175">
        <v>20.754208213257701</v>
      </c>
      <c r="I32" s="176"/>
      <c r="J32" s="176">
        <v>9185714.3840163201</v>
      </c>
      <c r="K32" s="175">
        <v>21.799832688369001</v>
      </c>
      <c r="L32" s="176"/>
      <c r="M32" s="176">
        <v>33629783.384963296</v>
      </c>
      <c r="N32" s="175">
        <v>77.865489477666003</v>
      </c>
      <c r="O32" s="176"/>
      <c r="P32" s="176">
        <v>22602933.175499301</v>
      </c>
      <c r="Q32" s="175">
        <v>73.176934761309795</v>
      </c>
      <c r="R32" s="176"/>
      <c r="S32" s="176">
        <v>4341456.1339356601</v>
      </c>
      <c r="T32" s="175">
        <v>20.003609718181298</v>
      </c>
      <c r="U32" s="176"/>
      <c r="V32" s="176">
        <v>4066084.0432788101</v>
      </c>
      <c r="W32" s="175">
        <v>18.827224052717501</v>
      </c>
      <c r="X32" s="176"/>
      <c r="Y32" s="176">
        <v>17762505.052751001</v>
      </c>
      <c r="Z32" s="175">
        <v>79.685205983438195</v>
      </c>
      <c r="AA32" s="176"/>
      <c r="AB32" s="176">
        <v>21464166.914696202</v>
      </c>
      <c r="AC32" s="175">
        <v>78.916305110041705</v>
      </c>
      <c r="AD32" s="176"/>
      <c r="AE32" s="176">
        <v>4627080.7988313101</v>
      </c>
      <c r="AF32" s="175">
        <v>22.399423776995601</v>
      </c>
      <c r="AG32" s="176"/>
      <c r="AH32" s="176">
        <v>5344989.3700444996</v>
      </c>
      <c r="AI32" s="175">
        <v>25.850644225967802</v>
      </c>
      <c r="AJ32" s="176"/>
      <c r="AK32" s="176">
        <v>16259540.0282837</v>
      </c>
      <c r="AL32" s="175">
        <v>76.795369921494597</v>
      </c>
    </row>
    <row r="33" spans="2:38" s="68" customFormat="1" ht="45" customHeight="1" x14ac:dyDescent="0.25">
      <c r="B33" s="49" t="s">
        <v>41</v>
      </c>
      <c r="C33" s="49"/>
      <c r="D33" s="176">
        <v>39194527.250503503</v>
      </c>
      <c r="E33" s="175">
        <v>67.887220902827195</v>
      </c>
      <c r="F33" s="176"/>
      <c r="G33" s="176">
        <v>5222010.2803790998</v>
      </c>
      <c r="H33" s="175">
        <v>13.826648605267399</v>
      </c>
      <c r="I33" s="176"/>
      <c r="J33" s="176">
        <v>5915378.5510249203</v>
      </c>
      <c r="K33" s="175">
        <v>15.6944415326733</v>
      </c>
      <c r="L33" s="176"/>
      <c r="M33" s="176">
        <v>34984578.9298665</v>
      </c>
      <c r="N33" s="175">
        <v>89.965343815200001</v>
      </c>
      <c r="O33" s="176"/>
      <c r="P33" s="176">
        <v>21856053.168854401</v>
      </c>
      <c r="Q33" s="175">
        <v>70.792501167447696</v>
      </c>
      <c r="R33" s="176"/>
      <c r="S33" s="176">
        <v>2540839.6773248301</v>
      </c>
      <c r="T33" s="175">
        <v>12.187260225868</v>
      </c>
      <c r="U33" s="176"/>
      <c r="V33" s="176">
        <v>2872429.89832561</v>
      </c>
      <c r="W33" s="175">
        <v>13.792065512334799</v>
      </c>
      <c r="X33" s="176"/>
      <c r="Y33" s="176">
        <v>20013458.872259598</v>
      </c>
      <c r="Z33" s="175">
        <v>92.465736618462302</v>
      </c>
      <c r="AA33" s="176"/>
      <c r="AB33" s="176">
        <v>17822004.098824501</v>
      </c>
      <c r="AC33" s="175">
        <v>65.588892771114004</v>
      </c>
      <c r="AD33" s="176"/>
      <c r="AE33" s="176">
        <v>2826633.8851043298</v>
      </c>
      <c r="AF33" s="175">
        <v>16.657761005391301</v>
      </c>
      <c r="AG33" s="176"/>
      <c r="AH33" s="176">
        <v>3205022.61269509</v>
      </c>
      <c r="AI33" s="175">
        <v>18.870269871301499</v>
      </c>
      <c r="AJ33" s="176"/>
      <c r="AK33" s="176">
        <v>15423359.2498578</v>
      </c>
      <c r="AL33" s="175">
        <v>87.653111714631294</v>
      </c>
    </row>
    <row r="34" spans="2:38" s="68" customFormat="1" ht="45" customHeight="1" x14ac:dyDescent="0.25">
      <c r="B34" s="49" t="s">
        <v>71</v>
      </c>
      <c r="C34" s="49"/>
      <c r="D34" s="176">
        <v>21036789.669187199</v>
      </c>
      <c r="E34" s="175">
        <v>36.7399220449702</v>
      </c>
      <c r="F34" s="176"/>
      <c r="G34" s="176">
        <v>12427623.3106343</v>
      </c>
      <c r="H34" s="175">
        <v>60.553035068978303</v>
      </c>
      <c r="I34" s="176"/>
      <c r="J34" s="176">
        <v>7477071.4292435804</v>
      </c>
      <c r="K34" s="175">
        <v>36.894851692201399</v>
      </c>
      <c r="L34" s="176"/>
      <c r="M34" s="176">
        <v>4609342.6533353198</v>
      </c>
      <c r="N34" s="175">
        <v>22.5839206776634</v>
      </c>
      <c r="O34" s="176"/>
      <c r="P34" s="176">
        <v>10318579.0461907</v>
      </c>
      <c r="Q34" s="175">
        <v>33.844694328431899</v>
      </c>
      <c r="R34" s="176"/>
      <c r="S34" s="176">
        <v>6352817.1897406504</v>
      </c>
      <c r="T34" s="175">
        <v>63.596638756235599</v>
      </c>
      <c r="U34" s="176"/>
      <c r="V34" s="176">
        <v>3341289.3426360898</v>
      </c>
      <c r="W34" s="175">
        <v>33.970746968621</v>
      </c>
      <c r="X34" s="176"/>
      <c r="Y34" s="176">
        <v>2271272.4052968998</v>
      </c>
      <c r="Z34" s="175">
        <v>23.057798652031799</v>
      </c>
      <c r="AA34" s="176"/>
      <c r="AB34" s="176">
        <v>11032603.922195099</v>
      </c>
      <c r="AC34" s="175">
        <v>40.996745674876202</v>
      </c>
      <c r="AD34" s="176"/>
      <c r="AE34" s="176">
        <v>6340391.8638337897</v>
      </c>
      <c r="AF34" s="175">
        <v>59.425899725395603</v>
      </c>
      <c r="AG34" s="176"/>
      <c r="AH34" s="176">
        <v>4331218.9164894</v>
      </c>
      <c r="AI34" s="175">
        <v>41.146053309884401</v>
      </c>
      <c r="AJ34" s="176"/>
      <c r="AK34" s="176">
        <v>2498817.0254606199</v>
      </c>
      <c r="AL34" s="175">
        <v>23.5417344919843</v>
      </c>
    </row>
    <row r="35" spans="2:38" ht="6.95" customHeight="1" x14ac:dyDescent="0.25">
      <c r="B35" s="12"/>
      <c r="C35" s="12"/>
      <c r="D35" s="113"/>
      <c r="E35" s="13"/>
      <c r="F35" s="13"/>
      <c r="G35" s="113"/>
      <c r="H35" s="13"/>
      <c r="I35" s="13"/>
      <c r="J35" s="113"/>
      <c r="K35" s="13"/>
      <c r="L35" s="13"/>
      <c r="M35" s="113"/>
      <c r="N35" s="13"/>
      <c r="O35" s="13"/>
      <c r="P35" s="122"/>
      <c r="Q35" s="23"/>
      <c r="R35" s="23"/>
      <c r="S35" s="122"/>
      <c r="T35" s="23"/>
      <c r="U35" s="23"/>
      <c r="V35" s="122"/>
      <c r="W35" s="23"/>
      <c r="X35" s="23"/>
      <c r="Y35" s="122"/>
      <c r="Z35" s="23"/>
      <c r="AA35" s="23"/>
      <c r="AB35" s="122"/>
      <c r="AC35" s="23"/>
      <c r="AD35" s="23"/>
      <c r="AE35" s="122"/>
      <c r="AF35" s="23"/>
      <c r="AG35" s="23"/>
      <c r="AH35" s="122"/>
      <c r="AI35" s="23"/>
      <c r="AJ35" s="23"/>
      <c r="AK35" s="122"/>
      <c r="AL35" s="23"/>
    </row>
    <row r="36" spans="2:38" ht="6.95" customHeight="1" x14ac:dyDescent="0.25">
      <c r="B36" s="9"/>
      <c r="C36" s="9"/>
      <c r="D36" s="114"/>
      <c r="E36" s="8"/>
      <c r="F36" s="8"/>
      <c r="G36" s="114"/>
      <c r="H36" s="8"/>
      <c r="I36" s="8"/>
      <c r="J36" s="114"/>
      <c r="K36" s="8"/>
      <c r="L36" s="8"/>
      <c r="M36" s="114"/>
      <c r="N36" s="8"/>
      <c r="O36" s="8"/>
    </row>
    <row r="37" spans="2:38" ht="12" customHeight="1" x14ac:dyDescent="0.25">
      <c r="B37" s="89" t="s">
        <v>35</v>
      </c>
      <c r="C37" s="89"/>
      <c r="D37" s="135"/>
      <c r="E37" s="15"/>
      <c r="F37" s="15"/>
      <c r="G37" s="135"/>
      <c r="H37" s="15"/>
      <c r="I37" s="15"/>
      <c r="J37" s="135"/>
      <c r="K37" s="15"/>
      <c r="L37" s="15"/>
      <c r="M37" s="137"/>
      <c r="N37" s="16"/>
      <c r="O37" s="16"/>
    </row>
    <row r="38" spans="2:38" ht="12" customHeight="1" x14ac:dyDescent="0.25">
      <c r="B38" s="89" t="s">
        <v>36</v>
      </c>
      <c r="C38" s="89"/>
      <c r="D38" s="136"/>
      <c r="E38" s="17"/>
      <c r="F38" s="17"/>
      <c r="G38" s="136"/>
      <c r="H38" s="17"/>
      <c r="I38" s="17"/>
      <c r="J38" s="136"/>
      <c r="K38" s="17"/>
      <c r="L38" s="17"/>
      <c r="M38" s="136"/>
      <c r="N38" s="18"/>
      <c r="O38" s="18"/>
    </row>
    <row r="39" spans="2:38" ht="12" customHeight="1" x14ac:dyDescent="0.25">
      <c r="B39" s="210" t="s">
        <v>65</v>
      </c>
      <c r="C39" s="210"/>
      <c r="D39" s="210"/>
      <c r="E39" s="210"/>
      <c r="F39" s="210"/>
      <c r="G39" s="210"/>
      <c r="H39" s="19"/>
      <c r="I39" s="19"/>
      <c r="J39" s="115"/>
      <c r="K39" s="19"/>
      <c r="L39" s="19"/>
      <c r="M39" s="115"/>
      <c r="N39" s="2"/>
      <c r="O39" s="2"/>
    </row>
  </sheetData>
  <mergeCells count="20">
    <mergeCell ref="AK9:AL9"/>
    <mergeCell ref="V9:W9"/>
    <mergeCell ref="Y9:Z9"/>
    <mergeCell ref="AB7:AL7"/>
    <mergeCell ref="AB8:AC9"/>
    <mergeCell ref="AE8:AL8"/>
    <mergeCell ref="AE9:AF9"/>
    <mergeCell ref="B39:G39"/>
    <mergeCell ref="G9:H9"/>
    <mergeCell ref="J9:K9"/>
    <mergeCell ref="M9:N9"/>
    <mergeCell ref="AH9:AI9"/>
    <mergeCell ref="S9:T9"/>
    <mergeCell ref="B7:B10"/>
    <mergeCell ref="D7:N7"/>
    <mergeCell ref="P7:Z7"/>
    <mergeCell ref="P8:Q9"/>
    <mergeCell ref="S8:Z8"/>
    <mergeCell ref="D8:E9"/>
    <mergeCell ref="G8:N8"/>
  </mergeCells>
  <hyperlinks>
    <hyperlink ref="AL1" location="Índice!A1" tooltip="Ir a ÍNDICE" display="INDICE" xr:uid="{F774B8D1-8467-465E-9BF4-1720D8AE10F7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0D2E0-7998-415C-8CFB-EC1A6DCE8E0D}">
  <dimension ref="B1:K27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107" customWidth="1"/>
    <col min="5" max="5" width="15.7109375" customWidth="1"/>
    <col min="6" max="6" width="1.7109375" customWidth="1"/>
    <col min="7" max="7" width="15.7109375" style="107" customWidth="1"/>
    <col min="8" max="8" width="15.7109375" customWidth="1"/>
    <col min="9" max="9" width="1.7109375" customWidth="1"/>
    <col min="10" max="10" width="15.7109375" style="107" customWidth="1"/>
    <col min="11" max="11" width="15.7109375" customWidth="1"/>
  </cols>
  <sheetData>
    <row r="1" spans="2:11" x14ac:dyDescent="0.25">
      <c r="B1" s="229" t="s">
        <v>89</v>
      </c>
      <c r="C1" s="41"/>
      <c r="K1" s="50" t="s">
        <v>27</v>
      </c>
    </row>
    <row r="2" spans="2:11" ht="6.95" customHeight="1" x14ac:dyDescent="0.25"/>
    <row r="3" spans="2:11" x14ac:dyDescent="0.25">
      <c r="B3" s="41" t="s">
        <v>87</v>
      </c>
    </row>
    <row r="4" spans="2:11" ht="6.95" customHeight="1" x14ac:dyDescent="0.25">
      <c r="B4" s="24"/>
      <c r="C4" s="24"/>
      <c r="D4" s="124"/>
      <c r="E4" s="25"/>
      <c r="F4" s="25"/>
      <c r="G4" s="124"/>
      <c r="H4" s="26"/>
      <c r="I4" s="26"/>
      <c r="J4" s="128"/>
    </row>
    <row r="5" spans="2:11" ht="30" customHeight="1" x14ac:dyDescent="0.25">
      <c r="B5" s="221" t="s">
        <v>82</v>
      </c>
      <c r="C5" s="221"/>
      <c r="D5" s="221"/>
      <c r="E5" s="221"/>
      <c r="F5" s="221"/>
      <c r="G5" s="221"/>
      <c r="H5" s="221"/>
      <c r="I5" s="27"/>
      <c r="J5" s="129"/>
      <c r="K5" s="52" t="s">
        <v>46</v>
      </c>
    </row>
    <row r="6" spans="2:11" ht="6.95" customHeight="1" x14ac:dyDescent="0.25">
      <c r="B6" s="28"/>
      <c r="C6" s="28"/>
      <c r="D6" s="125"/>
      <c r="E6" s="54"/>
      <c r="F6" s="54"/>
      <c r="G6" s="125"/>
      <c r="H6" s="29"/>
      <c r="I6" s="29"/>
      <c r="J6" s="130"/>
      <c r="K6" s="29"/>
    </row>
    <row r="7" spans="2:11" ht="15" customHeight="1" x14ac:dyDescent="0.25">
      <c r="B7" s="215" t="s">
        <v>72</v>
      </c>
      <c r="C7" s="166"/>
      <c r="D7" s="218" t="s">
        <v>21</v>
      </c>
      <c r="E7" s="218"/>
      <c r="F7" s="159"/>
      <c r="G7" s="220" t="s">
        <v>83</v>
      </c>
      <c r="H7" s="220"/>
      <c r="I7" s="220"/>
      <c r="J7" s="220"/>
      <c r="K7" s="220"/>
    </row>
    <row r="8" spans="2:11" ht="15" customHeight="1" x14ac:dyDescent="0.25">
      <c r="B8" s="216"/>
      <c r="C8" s="167"/>
      <c r="D8" s="219"/>
      <c r="E8" s="219"/>
      <c r="F8" s="160"/>
      <c r="G8" s="219" t="s">
        <v>8</v>
      </c>
      <c r="H8" s="219"/>
      <c r="I8" s="160"/>
      <c r="J8" s="219" t="s">
        <v>5</v>
      </c>
      <c r="K8" s="219"/>
    </row>
    <row r="9" spans="2:11" ht="15" customHeight="1" x14ac:dyDescent="0.25">
      <c r="B9" s="217"/>
      <c r="C9" s="33"/>
      <c r="D9" s="161" t="s">
        <v>84</v>
      </c>
      <c r="E9" s="162" t="s">
        <v>26</v>
      </c>
      <c r="F9" s="163"/>
      <c r="G9" s="161" t="s">
        <v>84</v>
      </c>
      <c r="H9" s="162" t="s">
        <v>26</v>
      </c>
      <c r="I9" s="163"/>
      <c r="J9" s="161" t="s">
        <v>84</v>
      </c>
      <c r="K9" s="162" t="s">
        <v>26</v>
      </c>
    </row>
    <row r="10" spans="2:11" ht="6.95" customHeight="1" x14ac:dyDescent="0.25">
      <c r="B10" s="31"/>
      <c r="C10" s="31"/>
      <c r="D10" s="160"/>
      <c r="E10" s="164"/>
      <c r="F10" s="165"/>
      <c r="G10" s="160"/>
      <c r="H10" s="164"/>
      <c r="I10" s="165"/>
      <c r="J10" s="160"/>
      <c r="K10" s="164"/>
    </row>
    <row r="11" spans="2:11" x14ac:dyDescent="0.25">
      <c r="B11" s="55" t="s">
        <v>1</v>
      </c>
      <c r="C11" s="55"/>
      <c r="D11" s="173">
        <v>88168959.549554095</v>
      </c>
      <c r="E11" s="174">
        <v>100</v>
      </c>
      <c r="F11" s="173"/>
      <c r="G11" s="173">
        <v>47788866.463474698</v>
      </c>
      <c r="H11" s="174">
        <v>100</v>
      </c>
      <c r="I11" s="173"/>
      <c r="J11" s="173">
        <v>41315778.788891397</v>
      </c>
      <c r="K11" s="174">
        <v>100</v>
      </c>
    </row>
    <row r="12" spans="2:11" ht="6.95" customHeight="1" x14ac:dyDescent="0.25">
      <c r="B12" s="31"/>
      <c r="C12" s="31"/>
      <c r="D12" s="173"/>
      <c r="E12" s="175"/>
      <c r="F12" s="173"/>
      <c r="G12" s="173"/>
      <c r="H12" s="175"/>
      <c r="I12" s="176"/>
      <c r="J12" s="173"/>
      <c r="K12" s="175"/>
    </row>
    <row r="13" spans="2:11" ht="30" customHeight="1" x14ac:dyDescent="0.25">
      <c r="B13" s="154" t="s">
        <v>68</v>
      </c>
      <c r="C13" s="56"/>
      <c r="D13" s="176">
        <v>33504328.815333299</v>
      </c>
      <c r="E13" s="175">
        <v>38.556915730424201</v>
      </c>
      <c r="F13" s="173"/>
      <c r="G13" s="176">
        <v>16767274.6314092</v>
      </c>
      <c r="H13" s="175">
        <v>35.843662029486502</v>
      </c>
      <c r="I13" s="173"/>
      <c r="J13" s="176">
        <v>17176854.354953501</v>
      </c>
      <c r="K13" s="175">
        <v>42.484514774737299</v>
      </c>
    </row>
    <row r="14" spans="2:11" ht="30" customHeight="1" x14ac:dyDescent="0.25">
      <c r="B14" s="154" t="s">
        <v>48</v>
      </c>
      <c r="C14" s="58"/>
      <c r="D14" s="176">
        <v>55691342.049548201</v>
      </c>
      <c r="E14" s="175">
        <v>63.766976199749401</v>
      </c>
      <c r="F14" s="173"/>
      <c r="G14" s="176">
        <v>31625486.078394301</v>
      </c>
      <c r="H14" s="175">
        <v>67.045968468560801</v>
      </c>
      <c r="I14" s="173"/>
      <c r="J14" s="176">
        <v>24726376.080641899</v>
      </c>
      <c r="K14" s="175">
        <v>60.753254982984302</v>
      </c>
    </row>
    <row r="15" spans="2:11" ht="6.95" customHeight="1" x14ac:dyDescent="0.25">
      <c r="B15" s="151"/>
      <c r="C15" s="32"/>
      <c r="D15" s="173"/>
      <c r="E15" s="177"/>
      <c r="F15" s="178"/>
      <c r="G15" s="173"/>
      <c r="H15" s="177"/>
      <c r="I15" s="177"/>
      <c r="J15" s="173"/>
      <c r="K15" s="177"/>
    </row>
    <row r="16" spans="2:11" x14ac:dyDescent="0.25">
      <c r="B16" s="152" t="s">
        <v>6</v>
      </c>
      <c r="C16" s="98"/>
      <c r="D16" s="173">
        <v>31876327.629939102</v>
      </c>
      <c r="E16" s="174">
        <v>100</v>
      </c>
      <c r="F16" s="173"/>
      <c r="G16" s="173">
        <v>17557347.996399298</v>
      </c>
      <c r="H16" s="174">
        <v>100</v>
      </c>
      <c r="I16" s="173"/>
      <c r="J16" s="173">
        <v>14624214.675651999</v>
      </c>
      <c r="K16" s="174">
        <v>100</v>
      </c>
    </row>
    <row r="17" spans="2:11" ht="6.95" customHeight="1" x14ac:dyDescent="0.25">
      <c r="B17" s="152"/>
      <c r="C17" s="98"/>
      <c r="D17" s="173"/>
      <c r="E17" s="175"/>
      <c r="F17" s="173"/>
      <c r="G17" s="173"/>
      <c r="H17" s="175"/>
      <c r="I17" s="176"/>
      <c r="J17" s="173"/>
      <c r="K17" s="175"/>
    </row>
    <row r="18" spans="2:11" ht="30" customHeight="1" x14ac:dyDescent="0.25">
      <c r="B18" s="154" t="s">
        <v>68</v>
      </c>
      <c r="C18" s="56"/>
      <c r="D18" s="176">
        <v>7714601.6440055501</v>
      </c>
      <c r="E18" s="175">
        <v>25.027000627349299</v>
      </c>
      <c r="F18" s="173"/>
      <c r="G18" s="176">
        <v>4030233.7851014598</v>
      </c>
      <c r="H18" s="175">
        <v>23.9416286271722</v>
      </c>
      <c r="I18" s="173"/>
      <c r="J18" s="176">
        <v>3835665.3301929501</v>
      </c>
      <c r="K18" s="175">
        <v>27.342214399875299</v>
      </c>
    </row>
    <row r="19" spans="2:11" ht="30" customHeight="1" x14ac:dyDescent="0.25">
      <c r="B19" s="154" t="s">
        <v>48</v>
      </c>
      <c r="C19" s="56"/>
      <c r="D19" s="176">
        <v>24620472.232992198</v>
      </c>
      <c r="E19" s="175">
        <v>79.753760898280504</v>
      </c>
      <c r="F19" s="173"/>
      <c r="G19" s="176">
        <v>13845304.929415001</v>
      </c>
      <c r="H19" s="175">
        <v>81.599728016074096</v>
      </c>
      <c r="I19" s="173"/>
      <c r="J19" s="176">
        <v>11051101.762808399</v>
      </c>
      <c r="K19" s="175">
        <v>78.530184933050094</v>
      </c>
    </row>
    <row r="20" spans="2:11" ht="7.5" customHeight="1" x14ac:dyDescent="0.25">
      <c r="B20" s="153"/>
      <c r="C20" s="59"/>
      <c r="D20" s="173"/>
      <c r="E20" s="177"/>
      <c r="F20" s="178"/>
      <c r="G20" s="173"/>
      <c r="H20" s="177"/>
      <c r="I20" s="177"/>
      <c r="J20" s="173"/>
      <c r="K20" s="177"/>
    </row>
    <row r="21" spans="2:11" x14ac:dyDescent="0.25">
      <c r="B21" s="152" t="s">
        <v>7</v>
      </c>
      <c r="C21" s="98"/>
      <c r="D21" s="173">
        <v>58722602.216376103</v>
      </c>
      <c r="E21" s="174">
        <v>100</v>
      </c>
      <c r="F21" s="173"/>
      <c r="G21" s="173">
        <v>31539784.224373799</v>
      </c>
      <c r="H21" s="174">
        <v>100</v>
      </c>
      <c r="I21" s="173"/>
      <c r="J21" s="173">
        <v>27745562.505176</v>
      </c>
      <c r="K21" s="174">
        <v>100</v>
      </c>
    </row>
    <row r="22" spans="2:11" ht="7.5" customHeight="1" x14ac:dyDescent="0.25">
      <c r="B22" s="152"/>
      <c r="C22" s="98"/>
      <c r="D22" s="173"/>
      <c r="E22" s="175"/>
      <c r="F22" s="173"/>
      <c r="G22" s="173"/>
      <c r="H22" s="175"/>
      <c r="I22" s="176"/>
      <c r="J22" s="173"/>
      <c r="K22" s="175"/>
    </row>
    <row r="23" spans="2:11" ht="30" customHeight="1" x14ac:dyDescent="0.25">
      <c r="B23" s="154" t="s">
        <v>68</v>
      </c>
      <c r="C23" s="98"/>
      <c r="D23" s="176">
        <v>26698682.98559</v>
      </c>
      <c r="E23" s="175">
        <v>46.628501352012798</v>
      </c>
      <c r="F23" s="173"/>
      <c r="G23" s="176">
        <v>13244919.690673601</v>
      </c>
      <c r="H23" s="175">
        <v>43.385211939413701</v>
      </c>
      <c r="I23" s="173"/>
      <c r="J23" s="176">
        <v>13800063.8322227</v>
      </c>
      <c r="K23" s="175">
        <v>51.292541431989299</v>
      </c>
    </row>
    <row r="24" spans="2:11" ht="30" customHeight="1" x14ac:dyDescent="0.25">
      <c r="B24" s="154" t="s">
        <v>48</v>
      </c>
      <c r="C24" s="98"/>
      <c r="D24" s="176">
        <v>32614898.237880498</v>
      </c>
      <c r="E24" s="175">
        <v>56.280782026964403</v>
      </c>
      <c r="F24" s="173"/>
      <c r="G24" s="176">
        <v>18677427.381572999</v>
      </c>
      <c r="H24" s="175">
        <v>60.232173011470998</v>
      </c>
      <c r="I24" s="173"/>
      <c r="J24" s="176">
        <v>14367829.3424195</v>
      </c>
      <c r="K24" s="175">
        <v>52.789655425711103</v>
      </c>
    </row>
    <row r="25" spans="2:11" ht="6.95" customHeight="1" x14ac:dyDescent="0.25">
      <c r="B25" s="33"/>
      <c r="C25" s="33"/>
      <c r="D25" s="179"/>
      <c r="E25" s="179"/>
      <c r="F25" s="179"/>
      <c r="G25" s="179"/>
      <c r="H25" s="180"/>
      <c r="I25" s="180"/>
      <c r="J25" s="180"/>
      <c r="K25" s="179"/>
    </row>
    <row r="26" spans="2:11" ht="6.95" customHeight="1" x14ac:dyDescent="0.25">
      <c r="B26" s="31"/>
      <c r="C26" s="31"/>
      <c r="D26" s="127"/>
      <c r="E26" s="37"/>
      <c r="F26" s="37"/>
      <c r="G26" s="127"/>
      <c r="H26" s="31"/>
      <c r="I26" s="31"/>
      <c r="J26" s="131"/>
      <c r="K26" s="30"/>
    </row>
    <row r="27" spans="2:11" ht="12" customHeight="1" x14ac:dyDescent="0.25">
      <c r="B27" s="210" t="s">
        <v>65</v>
      </c>
      <c r="C27" s="210"/>
      <c r="D27" s="210"/>
      <c r="E27" s="210"/>
      <c r="F27" s="210"/>
      <c r="G27" s="210"/>
    </row>
  </sheetData>
  <mergeCells count="7">
    <mergeCell ref="B27:G27"/>
    <mergeCell ref="B5:H5"/>
    <mergeCell ref="B7:B9"/>
    <mergeCell ref="D7:E8"/>
    <mergeCell ref="G7:K7"/>
    <mergeCell ref="G8:H8"/>
    <mergeCell ref="J8:K8"/>
  </mergeCells>
  <hyperlinks>
    <hyperlink ref="K1" location="Índice!A1" tooltip="Ir a ÍNDICE" display="INDICE" xr:uid="{08A4242B-5C7B-4372-A56D-F99A3B3932D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B730B-9BB5-4492-8583-C34187A64110}">
  <dimension ref="B1:K39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35.7109375" customWidth="1"/>
    <col min="3" max="3" width="1.7109375" customWidth="1"/>
    <col min="4" max="4" width="15.7109375" style="107" customWidth="1"/>
    <col min="5" max="5" width="15.7109375" customWidth="1"/>
    <col min="6" max="6" width="1.7109375" customWidth="1"/>
    <col min="7" max="7" width="15.7109375" style="107" customWidth="1"/>
    <col min="8" max="8" width="15.7109375" customWidth="1"/>
    <col min="9" max="9" width="1.7109375" customWidth="1"/>
    <col min="10" max="10" width="15.7109375" style="107" customWidth="1"/>
    <col min="11" max="11" width="15.7109375" customWidth="1"/>
  </cols>
  <sheetData>
    <row r="1" spans="2:11" x14ac:dyDescent="0.25">
      <c r="B1" s="229" t="s">
        <v>89</v>
      </c>
      <c r="C1" s="41"/>
      <c r="K1" s="50" t="s">
        <v>27</v>
      </c>
    </row>
    <row r="2" spans="2:11" ht="6.95" customHeight="1" x14ac:dyDescent="0.25"/>
    <row r="3" spans="2:11" x14ac:dyDescent="0.25">
      <c r="B3" s="41" t="s">
        <v>87</v>
      </c>
    </row>
    <row r="4" spans="2:11" ht="6.95" customHeight="1" x14ac:dyDescent="0.25">
      <c r="B4" s="24"/>
      <c r="C4" s="24"/>
      <c r="D4" s="124"/>
      <c r="E4" s="25"/>
      <c r="F4" s="25"/>
      <c r="G4" s="124"/>
      <c r="H4" s="26"/>
      <c r="I4" s="26"/>
      <c r="J4" s="128"/>
    </row>
    <row r="5" spans="2:11" ht="30" customHeight="1" x14ac:dyDescent="0.25">
      <c r="B5" s="221" t="s">
        <v>81</v>
      </c>
      <c r="C5" s="221"/>
      <c r="D5" s="221"/>
      <c r="E5" s="221"/>
      <c r="F5" s="221"/>
      <c r="G5" s="221"/>
      <c r="H5" s="221"/>
      <c r="I5" s="27"/>
      <c r="J5" s="129"/>
      <c r="K5" s="52" t="s">
        <v>49</v>
      </c>
    </row>
    <row r="6" spans="2:11" ht="6.95" customHeight="1" x14ac:dyDescent="0.25">
      <c r="B6" s="28"/>
      <c r="C6" s="28"/>
      <c r="D6" s="125"/>
      <c r="E6" s="54"/>
      <c r="F6" s="54"/>
      <c r="G6" s="125"/>
      <c r="H6" s="29"/>
      <c r="I6" s="29"/>
      <c r="J6" s="130"/>
      <c r="K6" s="29"/>
    </row>
    <row r="7" spans="2:11" ht="15" customHeight="1" x14ac:dyDescent="0.25">
      <c r="B7" s="215" t="s">
        <v>73</v>
      </c>
      <c r="C7" s="166"/>
      <c r="D7" s="218" t="s">
        <v>21</v>
      </c>
      <c r="E7" s="218"/>
      <c r="F7" s="159"/>
      <c r="G7" s="220" t="s">
        <v>83</v>
      </c>
      <c r="H7" s="220"/>
      <c r="I7" s="220"/>
      <c r="J7" s="220"/>
      <c r="K7" s="220"/>
    </row>
    <row r="8" spans="2:11" x14ac:dyDescent="0.25">
      <c r="B8" s="216"/>
      <c r="C8" s="167"/>
      <c r="D8" s="219"/>
      <c r="E8" s="219"/>
      <c r="F8" s="160"/>
      <c r="G8" s="219" t="s">
        <v>8</v>
      </c>
      <c r="H8" s="219"/>
      <c r="I8" s="160"/>
      <c r="J8" s="219" t="s">
        <v>5</v>
      </c>
      <c r="K8" s="219"/>
    </row>
    <row r="9" spans="2:11" ht="15" customHeight="1" x14ac:dyDescent="0.25">
      <c r="B9" s="217"/>
      <c r="C9" s="33"/>
      <c r="D9" s="161" t="s">
        <v>84</v>
      </c>
      <c r="E9" s="162" t="s">
        <v>26</v>
      </c>
      <c r="F9" s="163"/>
      <c r="G9" s="161" t="s">
        <v>84</v>
      </c>
      <c r="H9" s="162" t="s">
        <v>26</v>
      </c>
      <c r="I9" s="163"/>
      <c r="J9" s="161" t="s">
        <v>84</v>
      </c>
      <c r="K9" s="162" t="s">
        <v>26</v>
      </c>
    </row>
    <row r="10" spans="2:11" ht="6.95" customHeight="1" x14ac:dyDescent="0.25">
      <c r="B10" s="31"/>
      <c r="C10" s="31"/>
      <c r="D10" s="160"/>
      <c r="E10" s="164"/>
      <c r="F10" s="165"/>
      <c r="G10" s="160"/>
      <c r="H10" s="164"/>
      <c r="I10" s="165"/>
      <c r="J10" s="160"/>
      <c r="K10" s="164"/>
    </row>
    <row r="11" spans="2:11" x14ac:dyDescent="0.25">
      <c r="B11" s="55" t="s">
        <v>1</v>
      </c>
      <c r="C11" s="55"/>
      <c r="D11" s="173">
        <v>88168959.549554095</v>
      </c>
      <c r="E11" s="174">
        <v>100</v>
      </c>
      <c r="F11" s="173"/>
      <c r="G11" s="173">
        <v>47788866.463474698</v>
      </c>
      <c r="H11" s="174">
        <v>100</v>
      </c>
      <c r="I11" s="173"/>
      <c r="J11" s="173">
        <v>41315778.788891397</v>
      </c>
      <c r="K11" s="174">
        <v>100</v>
      </c>
    </row>
    <row r="12" spans="2:11" ht="6.95" customHeight="1" x14ac:dyDescent="0.25">
      <c r="B12" s="31"/>
      <c r="C12" s="31"/>
      <c r="D12" s="173"/>
      <c r="E12" s="175"/>
      <c r="F12" s="173"/>
      <c r="G12" s="173"/>
      <c r="H12" s="175"/>
      <c r="I12" s="176"/>
      <c r="J12" s="173"/>
      <c r="K12" s="175"/>
    </row>
    <row r="13" spans="2:11" ht="15" customHeight="1" x14ac:dyDescent="0.25">
      <c r="B13" s="57" t="s">
        <v>74</v>
      </c>
      <c r="C13" s="31"/>
      <c r="D13" s="176">
        <v>40615332.613290899</v>
      </c>
      <c r="E13" s="175">
        <v>46.694537595819</v>
      </c>
      <c r="F13" s="173"/>
      <c r="G13" s="176">
        <v>20704101.777313702</v>
      </c>
      <c r="H13" s="175">
        <v>44.172826182188402</v>
      </c>
      <c r="I13" s="173"/>
      <c r="J13" s="176">
        <v>20438045.556324001</v>
      </c>
      <c r="K13" s="175">
        <v>50.529807752123503</v>
      </c>
    </row>
    <row r="14" spans="2:11" ht="15" customHeight="1" x14ac:dyDescent="0.25">
      <c r="B14" s="154" t="s">
        <v>52</v>
      </c>
      <c r="C14" s="56"/>
      <c r="D14" s="176">
        <v>28090939.4037796</v>
      </c>
      <c r="E14" s="175">
        <v>32.306762632990797</v>
      </c>
      <c r="F14" s="173"/>
      <c r="G14" s="176">
        <v>15772986.2786461</v>
      </c>
      <c r="H14" s="175">
        <v>33.676188471807997</v>
      </c>
      <c r="I14" s="173"/>
      <c r="J14" s="176">
        <v>12835061.1243868</v>
      </c>
      <c r="K14" s="175">
        <v>31.687460562469301</v>
      </c>
    </row>
    <row r="15" spans="2:11" ht="15" customHeight="1" x14ac:dyDescent="0.25">
      <c r="B15" s="154" t="s">
        <v>53</v>
      </c>
      <c r="C15" s="58"/>
      <c r="D15" s="176">
        <v>9183621.8810274396</v>
      </c>
      <c r="E15" s="175">
        <v>10.5556459934838</v>
      </c>
      <c r="F15" s="173"/>
      <c r="G15" s="176">
        <v>5293065.1326235598</v>
      </c>
      <c r="H15" s="175">
        <v>11.325249736501201</v>
      </c>
      <c r="I15" s="173"/>
      <c r="J15" s="176">
        <v>4076719.9990364001</v>
      </c>
      <c r="K15" s="175">
        <v>10.089965563877501</v>
      </c>
    </row>
    <row r="16" spans="2:11" ht="15" customHeight="1" x14ac:dyDescent="0.25">
      <c r="B16" s="154" t="s">
        <v>54</v>
      </c>
      <c r="C16" s="58"/>
      <c r="D16" s="176">
        <v>8121589.8695313903</v>
      </c>
      <c r="E16" s="175">
        <v>9.3490136573156999</v>
      </c>
      <c r="F16" s="173"/>
      <c r="G16" s="176">
        <v>5054943.4692088896</v>
      </c>
      <c r="H16" s="175">
        <v>10.821828545120599</v>
      </c>
      <c r="I16" s="173"/>
      <c r="J16" s="176">
        <v>3238809.6933798702</v>
      </c>
      <c r="K16" s="175">
        <v>8.0389251093327303</v>
      </c>
    </row>
    <row r="17" spans="2:11" ht="15" customHeight="1" x14ac:dyDescent="0.25">
      <c r="B17" s="154" t="s">
        <v>60</v>
      </c>
      <c r="C17" s="58"/>
      <c r="D17" s="176">
        <v>4628709.3631075704</v>
      </c>
      <c r="E17" s="175">
        <v>5.3408027400449098</v>
      </c>
      <c r="F17" s="173"/>
      <c r="G17" s="176">
        <v>2619239.7633988899</v>
      </c>
      <c r="H17" s="175">
        <v>5.6292852317489803</v>
      </c>
      <c r="I17" s="173"/>
      <c r="J17" s="176">
        <v>2135694.06646206</v>
      </c>
      <c r="K17" s="175">
        <v>5.3098345946628598</v>
      </c>
    </row>
    <row r="18" spans="2:11" ht="6.95" customHeight="1" x14ac:dyDescent="0.25">
      <c r="B18" s="151"/>
      <c r="C18" s="32"/>
      <c r="D18" s="173"/>
      <c r="E18" s="177"/>
      <c r="F18" s="178"/>
      <c r="G18" s="173"/>
      <c r="H18" s="177"/>
      <c r="I18" s="177"/>
      <c r="J18" s="173"/>
      <c r="K18" s="177"/>
    </row>
    <row r="19" spans="2:11" ht="15" customHeight="1" x14ac:dyDescent="0.25">
      <c r="B19" s="152" t="s">
        <v>6</v>
      </c>
      <c r="C19" s="98"/>
      <c r="D19" s="173">
        <v>31876327.629939102</v>
      </c>
      <c r="E19" s="174">
        <v>100</v>
      </c>
      <c r="F19" s="173"/>
      <c r="G19" s="173">
        <v>17557347.996399298</v>
      </c>
      <c r="H19" s="174">
        <v>100</v>
      </c>
      <c r="I19" s="173"/>
      <c r="J19" s="173">
        <v>14624214.675651999</v>
      </c>
      <c r="K19" s="174">
        <v>100</v>
      </c>
    </row>
    <row r="20" spans="2:11" ht="6.95" customHeight="1" x14ac:dyDescent="0.25">
      <c r="B20" s="152"/>
      <c r="C20" s="98"/>
      <c r="D20" s="173"/>
      <c r="E20" s="175"/>
      <c r="F20" s="173"/>
      <c r="G20" s="173"/>
      <c r="H20" s="175"/>
      <c r="I20" s="176"/>
      <c r="J20" s="173"/>
      <c r="K20" s="175"/>
    </row>
    <row r="21" spans="2:11" ht="15" customHeight="1" x14ac:dyDescent="0.25">
      <c r="B21" s="57" t="s">
        <v>74</v>
      </c>
      <c r="C21" s="98"/>
      <c r="D21" s="176">
        <v>8411709.9943282604</v>
      </c>
      <c r="E21" s="175">
        <v>27.300880092878099</v>
      </c>
      <c r="F21" s="173"/>
      <c r="G21" s="176">
        <v>4333401.7779253004</v>
      </c>
      <c r="H21" s="175">
        <v>25.785937966530899</v>
      </c>
      <c r="I21" s="173"/>
      <c r="J21" s="176">
        <v>4269051.9189545698</v>
      </c>
      <c r="K21" s="175">
        <v>30.572814642213</v>
      </c>
    </row>
    <row r="22" spans="2:11" ht="15" customHeight="1" x14ac:dyDescent="0.25">
      <c r="B22" s="154" t="s">
        <v>52</v>
      </c>
      <c r="C22" s="98"/>
      <c r="D22" s="176">
        <v>10852393.9376049</v>
      </c>
      <c r="E22" s="175">
        <v>35.277051963106601</v>
      </c>
      <c r="F22" s="173"/>
      <c r="G22" s="176">
        <v>6048455.4213364599</v>
      </c>
      <c r="H22" s="175">
        <v>35.930347094228097</v>
      </c>
      <c r="I22" s="173"/>
      <c r="J22" s="176">
        <v>5052603.5746187996</v>
      </c>
      <c r="K22" s="175">
        <v>36.268656649784802</v>
      </c>
    </row>
    <row r="23" spans="2:11" ht="15" customHeight="1" x14ac:dyDescent="0.25">
      <c r="B23" s="154" t="s">
        <v>53</v>
      </c>
      <c r="C23" s="98"/>
      <c r="D23" s="176">
        <v>4914259.74483856</v>
      </c>
      <c r="E23" s="175">
        <v>16.087245675695598</v>
      </c>
      <c r="F23" s="173"/>
      <c r="G23" s="176">
        <v>2677536.0416333601</v>
      </c>
      <c r="H23" s="175">
        <v>16.087558591128399</v>
      </c>
      <c r="I23" s="173"/>
      <c r="J23" s="176">
        <v>2341419.9599079899</v>
      </c>
      <c r="K23" s="175">
        <v>16.8312981545557</v>
      </c>
    </row>
    <row r="24" spans="2:11" ht="15" customHeight="1" x14ac:dyDescent="0.25">
      <c r="B24" s="154" t="s">
        <v>54</v>
      </c>
      <c r="C24" s="56"/>
      <c r="D24" s="176">
        <v>6502717.9163277997</v>
      </c>
      <c r="E24" s="175">
        <v>21.672122169665101</v>
      </c>
      <c r="F24" s="173"/>
      <c r="G24" s="176">
        <v>4065572.47833928</v>
      </c>
      <c r="H24" s="175">
        <v>24.618691476770199</v>
      </c>
      <c r="I24" s="173"/>
      <c r="J24" s="176">
        <v>2568597.6995088202</v>
      </c>
      <c r="K24" s="175">
        <v>18.869354740177702</v>
      </c>
    </row>
    <row r="25" spans="2:11" ht="15" customHeight="1" x14ac:dyDescent="0.25">
      <c r="B25" s="154" t="s">
        <v>60</v>
      </c>
      <c r="C25" s="56"/>
      <c r="D25" s="176">
        <v>2577705.0891209901</v>
      </c>
      <c r="E25" s="175">
        <v>8.5886981350523204</v>
      </c>
      <c r="F25" s="173"/>
      <c r="G25" s="176">
        <v>1412636.0059700501</v>
      </c>
      <c r="H25" s="175">
        <v>8.6271679561137997</v>
      </c>
      <c r="I25" s="173"/>
      <c r="J25" s="176">
        <v>1238731.26615871</v>
      </c>
      <c r="K25" s="175">
        <v>9.0673624693326307</v>
      </c>
    </row>
    <row r="26" spans="2:11" ht="6.95" customHeight="1" x14ac:dyDescent="0.25">
      <c r="B26" s="153"/>
      <c r="C26" s="59"/>
      <c r="D26" s="173"/>
      <c r="E26" s="177"/>
      <c r="F26" s="178"/>
      <c r="G26" s="173"/>
      <c r="H26" s="177"/>
      <c r="I26" s="177"/>
      <c r="J26" s="173"/>
      <c r="K26" s="177"/>
    </row>
    <row r="27" spans="2:11" x14ac:dyDescent="0.25">
      <c r="B27" s="152" t="s">
        <v>7</v>
      </c>
      <c r="C27" s="98"/>
      <c r="D27" s="173">
        <v>58722602.216376103</v>
      </c>
      <c r="E27" s="174">
        <v>100</v>
      </c>
      <c r="F27" s="173"/>
      <c r="G27" s="173">
        <v>31539784.224373799</v>
      </c>
      <c r="H27" s="174">
        <v>100</v>
      </c>
      <c r="I27" s="173"/>
      <c r="J27" s="173">
        <v>27745562.505176</v>
      </c>
      <c r="K27" s="174">
        <v>100</v>
      </c>
    </row>
    <row r="28" spans="2:11" ht="7.5" customHeight="1" x14ac:dyDescent="0.25">
      <c r="B28" s="152"/>
      <c r="C28" s="98"/>
      <c r="D28" s="173"/>
      <c r="E28" s="175"/>
      <c r="F28" s="173"/>
      <c r="G28" s="173"/>
      <c r="H28" s="175"/>
      <c r="I28" s="176"/>
      <c r="J28" s="173"/>
      <c r="K28" s="175"/>
    </row>
    <row r="29" spans="2:11" ht="15" customHeight="1" x14ac:dyDescent="0.25">
      <c r="B29" s="57" t="s">
        <v>74</v>
      </c>
      <c r="C29" s="98"/>
      <c r="D29" s="176">
        <v>33098099.8874445</v>
      </c>
      <c r="E29" s="175">
        <v>57.843911559314797</v>
      </c>
      <c r="F29" s="173"/>
      <c r="G29" s="176">
        <v>16870725.995149899</v>
      </c>
      <c r="H29" s="175">
        <v>55.323776927945403</v>
      </c>
      <c r="I29" s="173"/>
      <c r="J29" s="176">
        <v>16653152.395405401</v>
      </c>
      <c r="K29" s="175">
        <v>61.705232179748101</v>
      </c>
    </row>
    <row r="30" spans="2:11" ht="15" customHeight="1" x14ac:dyDescent="0.25">
      <c r="B30" s="154" t="s">
        <v>52</v>
      </c>
      <c r="C30" s="98"/>
      <c r="D30" s="176">
        <v>18157906.0700063</v>
      </c>
      <c r="E30" s="175">
        <v>31.470062304670002</v>
      </c>
      <c r="F30" s="173"/>
      <c r="G30" s="176">
        <v>10292345.974669799</v>
      </c>
      <c r="H30" s="175">
        <v>33.489624108947602</v>
      </c>
      <c r="I30" s="173"/>
      <c r="J30" s="176">
        <v>8203809.0782179302</v>
      </c>
      <c r="K30" s="175">
        <v>30.282201754641001</v>
      </c>
    </row>
    <row r="31" spans="2:11" ht="15" customHeight="1" x14ac:dyDescent="0.25">
      <c r="B31" s="154" t="s">
        <v>53</v>
      </c>
      <c r="C31" s="98"/>
      <c r="D31" s="176">
        <v>4661369.8045234699</v>
      </c>
      <c r="E31" s="175">
        <v>8.1337371963269405</v>
      </c>
      <c r="F31" s="173"/>
      <c r="G31" s="176">
        <v>2866901.2956295498</v>
      </c>
      <c r="H31" s="175">
        <v>9.3944319771640803</v>
      </c>
      <c r="I31" s="173"/>
      <c r="J31" s="176">
        <v>1929506.63470411</v>
      </c>
      <c r="K31" s="175">
        <v>7.2050985322098802</v>
      </c>
    </row>
    <row r="32" spans="2:11" ht="15" customHeight="1" x14ac:dyDescent="0.25">
      <c r="B32" s="154" t="s">
        <v>54</v>
      </c>
      <c r="C32" s="98"/>
      <c r="D32" s="176">
        <v>1898327.1689150799</v>
      </c>
      <c r="E32" s="175">
        <v>3.3150140484670598</v>
      </c>
      <c r="F32" s="173"/>
      <c r="G32" s="176">
        <v>1193241.21235522</v>
      </c>
      <c r="H32" s="175">
        <v>3.9067989072963099</v>
      </c>
      <c r="I32" s="173"/>
      <c r="J32" s="176">
        <v>812851.10292939295</v>
      </c>
      <c r="K32" s="175">
        <v>3.0431989714074201</v>
      </c>
    </row>
    <row r="33" spans="2:11" ht="15" customHeight="1" x14ac:dyDescent="0.25">
      <c r="B33" s="154" t="s">
        <v>60</v>
      </c>
      <c r="C33" s="98"/>
      <c r="D33" s="176">
        <v>2263290.17439614</v>
      </c>
      <c r="E33" s="175">
        <v>3.98078262639963</v>
      </c>
      <c r="F33" s="173"/>
      <c r="G33" s="176">
        <v>1345111.3369956401</v>
      </c>
      <c r="H33" s="175">
        <v>4.4525466155873703</v>
      </c>
      <c r="I33" s="173"/>
      <c r="J33" s="176">
        <v>1027078.4285502</v>
      </c>
      <c r="K33" s="175">
        <v>3.8469633762486901</v>
      </c>
    </row>
    <row r="34" spans="2:11" ht="7.5" customHeight="1" x14ac:dyDescent="0.25">
      <c r="B34" s="33"/>
      <c r="C34" s="33"/>
      <c r="D34" s="179"/>
      <c r="E34" s="179"/>
      <c r="F34" s="179"/>
      <c r="G34" s="179"/>
      <c r="H34" s="180"/>
      <c r="I34" s="180"/>
      <c r="J34" s="180"/>
      <c r="K34" s="179"/>
    </row>
    <row r="35" spans="2:11" ht="6.95" customHeight="1" x14ac:dyDescent="0.25">
      <c r="B35" s="31"/>
      <c r="C35" s="31"/>
      <c r="D35" s="127"/>
      <c r="E35" s="37"/>
      <c r="F35" s="37"/>
      <c r="G35" s="127"/>
      <c r="H35" s="31"/>
      <c r="I35" s="31"/>
      <c r="J35" s="131"/>
      <c r="K35" s="30"/>
    </row>
    <row r="36" spans="2:11" ht="12" customHeight="1" x14ac:dyDescent="0.25">
      <c r="B36" s="210" t="s">
        <v>65</v>
      </c>
      <c r="C36" s="210"/>
      <c r="D36" s="210"/>
      <c r="E36" s="210"/>
      <c r="F36" s="210"/>
      <c r="G36" s="210"/>
    </row>
    <row r="37" spans="2:11" ht="12" customHeight="1" x14ac:dyDescent="0.25"/>
    <row r="38" spans="2:11" ht="12" customHeight="1" x14ac:dyDescent="0.25"/>
    <row r="39" spans="2:11" ht="12" customHeight="1" x14ac:dyDescent="0.25"/>
  </sheetData>
  <mergeCells count="7">
    <mergeCell ref="B36:G36"/>
    <mergeCell ref="B5:H5"/>
    <mergeCell ref="B7:B9"/>
    <mergeCell ref="D7:E8"/>
    <mergeCell ref="G7:K7"/>
    <mergeCell ref="G8:H8"/>
    <mergeCell ref="J8:K8"/>
  </mergeCells>
  <hyperlinks>
    <hyperlink ref="K1" location="Índice!A1" tooltip="Ir a ÍNDICE" display="INDICE" xr:uid="{5EA4B987-4A98-49E8-A0C3-4E3957E847D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420D5-B5FD-492A-8731-18B1040CBA7C}">
  <dimension ref="B1:K28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107" customWidth="1"/>
    <col min="5" max="5" width="15.7109375" customWidth="1"/>
    <col min="6" max="6" width="1.7109375" customWidth="1"/>
    <col min="7" max="7" width="15.7109375" style="107" customWidth="1"/>
    <col min="8" max="8" width="15.7109375" customWidth="1"/>
    <col min="9" max="9" width="1.7109375" customWidth="1"/>
    <col min="10" max="10" width="15.7109375" style="107" customWidth="1"/>
    <col min="11" max="11" width="15.7109375" customWidth="1"/>
  </cols>
  <sheetData>
    <row r="1" spans="2:11" x14ac:dyDescent="0.25">
      <c r="B1" s="229" t="s">
        <v>89</v>
      </c>
      <c r="C1" s="41"/>
      <c r="K1" s="50" t="s">
        <v>27</v>
      </c>
    </row>
    <row r="2" spans="2:11" ht="6.95" customHeight="1" x14ac:dyDescent="0.25"/>
    <row r="3" spans="2:11" x14ac:dyDescent="0.25">
      <c r="B3" s="41" t="s">
        <v>87</v>
      </c>
    </row>
    <row r="4" spans="2:11" ht="6.95" customHeight="1" x14ac:dyDescent="0.25">
      <c r="B4" s="24"/>
      <c r="C4" s="24"/>
      <c r="D4" s="124"/>
      <c r="E4" s="25"/>
      <c r="F4" s="25"/>
      <c r="G4" s="124"/>
      <c r="H4" s="26"/>
      <c r="I4" s="26"/>
      <c r="J4" s="128"/>
    </row>
    <row r="5" spans="2:11" x14ac:dyDescent="0.25">
      <c r="B5" s="53" t="s">
        <v>80</v>
      </c>
      <c r="C5" s="53"/>
      <c r="D5" s="124"/>
      <c r="E5" s="25"/>
      <c r="F5" s="25"/>
      <c r="G5" s="124"/>
      <c r="H5" s="27"/>
      <c r="I5" s="27"/>
      <c r="J5" s="129"/>
      <c r="K5" s="52" t="s">
        <v>50</v>
      </c>
    </row>
    <row r="6" spans="2:11" ht="6.95" customHeight="1" x14ac:dyDescent="0.25">
      <c r="B6" s="28"/>
      <c r="C6" s="28"/>
      <c r="D6" s="125"/>
      <c r="E6" s="54"/>
      <c r="F6" s="54"/>
      <c r="G6" s="125"/>
      <c r="H6" s="29"/>
      <c r="I6" s="29"/>
      <c r="J6" s="130"/>
      <c r="K6" s="29"/>
    </row>
    <row r="7" spans="2:11" ht="15" customHeight="1" x14ac:dyDescent="0.25">
      <c r="B7" s="215" t="s">
        <v>67</v>
      </c>
      <c r="C7" s="166"/>
      <c r="D7" s="218" t="s">
        <v>21</v>
      </c>
      <c r="E7" s="218"/>
      <c r="F7" s="159"/>
      <c r="G7" s="220" t="s">
        <v>83</v>
      </c>
      <c r="H7" s="220"/>
      <c r="I7" s="220"/>
      <c r="J7" s="220"/>
      <c r="K7" s="220"/>
    </row>
    <row r="8" spans="2:11" x14ac:dyDescent="0.25">
      <c r="B8" s="216"/>
      <c r="C8" s="167"/>
      <c r="D8" s="219"/>
      <c r="E8" s="219"/>
      <c r="F8" s="160"/>
      <c r="G8" s="219" t="s">
        <v>8</v>
      </c>
      <c r="H8" s="219"/>
      <c r="I8" s="160"/>
      <c r="J8" s="219" t="s">
        <v>5</v>
      </c>
      <c r="K8" s="219"/>
    </row>
    <row r="9" spans="2:11" ht="15" customHeight="1" x14ac:dyDescent="0.25">
      <c r="B9" s="217"/>
      <c r="C9" s="33"/>
      <c r="D9" s="161" t="s">
        <v>84</v>
      </c>
      <c r="E9" s="162" t="s">
        <v>26</v>
      </c>
      <c r="F9" s="163"/>
      <c r="G9" s="161" t="s">
        <v>84</v>
      </c>
      <c r="H9" s="162" t="s">
        <v>26</v>
      </c>
      <c r="I9" s="163"/>
      <c r="J9" s="161" t="s">
        <v>84</v>
      </c>
      <c r="K9" s="162" t="s">
        <v>26</v>
      </c>
    </row>
    <row r="10" spans="2:11" ht="6.95" customHeight="1" x14ac:dyDescent="0.25">
      <c r="B10" s="31"/>
      <c r="C10" s="31"/>
      <c r="D10" s="160"/>
      <c r="E10" s="164"/>
      <c r="F10" s="165"/>
      <c r="G10" s="160"/>
      <c r="H10" s="164"/>
      <c r="I10" s="165"/>
      <c r="J10" s="160"/>
      <c r="K10" s="164"/>
    </row>
    <row r="11" spans="2:11" x14ac:dyDescent="0.25">
      <c r="B11" s="55" t="s">
        <v>1</v>
      </c>
      <c r="C11" s="55"/>
      <c r="D11" s="173">
        <v>88168959.549554095</v>
      </c>
      <c r="E11" s="174">
        <v>100</v>
      </c>
      <c r="F11" s="173"/>
      <c r="G11" s="173">
        <v>47788866.463474698</v>
      </c>
      <c r="H11" s="174">
        <v>100</v>
      </c>
      <c r="I11" s="173"/>
      <c r="J11" s="173">
        <v>41315778.788891397</v>
      </c>
      <c r="K11" s="174">
        <v>100</v>
      </c>
    </row>
    <row r="12" spans="2:11" ht="6.95" customHeight="1" x14ac:dyDescent="0.25">
      <c r="B12" s="31"/>
      <c r="C12" s="31"/>
      <c r="D12" s="173"/>
      <c r="E12" s="175"/>
      <c r="F12" s="173"/>
      <c r="G12" s="173"/>
      <c r="H12" s="175"/>
      <c r="I12" s="176"/>
      <c r="J12" s="173"/>
      <c r="K12" s="175"/>
    </row>
    <row r="13" spans="2:11" x14ac:dyDescent="0.25">
      <c r="B13" s="150" t="s">
        <v>44</v>
      </c>
      <c r="C13" s="56"/>
      <c r="D13" s="176">
        <v>2053045.55410271</v>
      </c>
      <c r="E13" s="175">
        <v>2.3703726095109001</v>
      </c>
      <c r="F13" s="173"/>
      <c r="G13" s="176">
        <v>563863.62999151705</v>
      </c>
      <c r="H13" s="175">
        <v>1.21313967101363</v>
      </c>
      <c r="I13" s="173"/>
      <c r="J13" s="176">
        <v>1577342.05875091</v>
      </c>
      <c r="K13" s="175">
        <v>3.9331456362975499</v>
      </c>
    </row>
    <row r="14" spans="2:11" x14ac:dyDescent="0.25">
      <c r="B14" s="150" t="s">
        <v>45</v>
      </c>
      <c r="C14" s="58"/>
      <c r="D14" s="176">
        <v>86375449.839788198</v>
      </c>
      <c r="E14" s="175">
        <v>98.214838894798504</v>
      </c>
      <c r="F14" s="173"/>
      <c r="G14" s="176">
        <v>47341269.422796302</v>
      </c>
      <c r="H14" s="175">
        <v>99.287577957248303</v>
      </c>
      <c r="I14" s="173"/>
      <c r="J14" s="176">
        <v>39971443.918408699</v>
      </c>
      <c r="K14" s="175">
        <v>97.194448628563805</v>
      </c>
    </row>
    <row r="15" spans="2:11" ht="6.95" customHeight="1" x14ac:dyDescent="0.25">
      <c r="B15" s="151"/>
      <c r="C15" s="32"/>
      <c r="D15" s="173"/>
      <c r="E15" s="177"/>
      <c r="F15" s="178"/>
      <c r="G15" s="173"/>
      <c r="H15" s="177"/>
      <c r="I15" s="177"/>
      <c r="J15" s="173"/>
      <c r="K15" s="177"/>
    </row>
    <row r="16" spans="2:11" x14ac:dyDescent="0.25">
      <c r="B16" s="152" t="s">
        <v>6</v>
      </c>
      <c r="C16" s="98"/>
      <c r="D16" s="173">
        <v>31876327.629939102</v>
      </c>
      <c r="E16" s="174">
        <v>100</v>
      </c>
      <c r="F16" s="173"/>
      <c r="G16" s="173">
        <v>17557347.996399298</v>
      </c>
      <c r="H16" s="174">
        <v>100</v>
      </c>
      <c r="I16" s="173"/>
      <c r="J16" s="173">
        <v>14624214.675651999</v>
      </c>
      <c r="K16" s="174">
        <v>100</v>
      </c>
    </row>
    <row r="17" spans="2:11" ht="6.95" customHeight="1" x14ac:dyDescent="0.25">
      <c r="B17" s="152"/>
      <c r="C17" s="98"/>
      <c r="D17" s="173"/>
      <c r="E17" s="175"/>
      <c r="F17" s="173"/>
      <c r="G17" s="173"/>
      <c r="H17" s="175"/>
      <c r="I17" s="176"/>
      <c r="J17" s="173"/>
      <c r="K17" s="175"/>
    </row>
    <row r="18" spans="2:11" x14ac:dyDescent="0.25">
      <c r="B18" s="150" t="s">
        <v>44</v>
      </c>
      <c r="C18" s="56"/>
      <c r="D18" s="176">
        <v>382876.07751281501</v>
      </c>
      <c r="E18" s="175">
        <v>1.28126461615033</v>
      </c>
      <c r="F18" s="173"/>
      <c r="G18" s="176">
        <v>103244.236183756</v>
      </c>
      <c r="H18" s="175">
        <v>0.63031628091511005</v>
      </c>
      <c r="I18" s="173"/>
      <c r="J18" s="176">
        <v>304940.02084166597</v>
      </c>
      <c r="K18" s="175">
        <v>2.2582680041030501</v>
      </c>
    </row>
    <row r="19" spans="2:11" x14ac:dyDescent="0.25">
      <c r="B19" s="150" t="s">
        <v>45</v>
      </c>
      <c r="C19" s="56"/>
      <c r="D19" s="176">
        <v>31589795.5807859</v>
      </c>
      <c r="E19" s="175">
        <v>99.401952548226703</v>
      </c>
      <c r="F19" s="173"/>
      <c r="G19" s="176">
        <v>17488670.066784501</v>
      </c>
      <c r="H19" s="175">
        <v>99.829058004672802</v>
      </c>
      <c r="I19" s="173"/>
      <c r="J19" s="176">
        <v>14408932.501682401</v>
      </c>
      <c r="K19" s="175">
        <v>99.077501023861998</v>
      </c>
    </row>
    <row r="20" spans="2:11" ht="7.5" customHeight="1" x14ac:dyDescent="0.25">
      <c r="B20" s="153"/>
      <c r="C20" s="59"/>
      <c r="D20" s="173"/>
      <c r="E20" s="177"/>
      <c r="F20" s="178"/>
      <c r="G20" s="173"/>
      <c r="H20" s="177"/>
      <c r="I20" s="177"/>
      <c r="J20" s="173"/>
      <c r="K20" s="177"/>
    </row>
    <row r="21" spans="2:11" x14ac:dyDescent="0.25">
      <c r="B21" s="152" t="s">
        <v>7</v>
      </c>
      <c r="C21" s="98"/>
      <c r="D21" s="173">
        <v>58722602.216376103</v>
      </c>
      <c r="E21" s="174">
        <v>100</v>
      </c>
      <c r="F21" s="173"/>
      <c r="G21" s="173">
        <v>31539784.224373799</v>
      </c>
      <c r="H21" s="174">
        <v>100</v>
      </c>
      <c r="I21" s="173"/>
      <c r="J21" s="173">
        <v>27745562.505176</v>
      </c>
      <c r="K21" s="174">
        <v>100</v>
      </c>
    </row>
    <row r="22" spans="2:11" ht="7.5" customHeight="1" x14ac:dyDescent="0.25">
      <c r="B22" s="152"/>
      <c r="C22" s="98"/>
      <c r="D22" s="173"/>
      <c r="E22" s="175"/>
      <c r="F22" s="173"/>
      <c r="G22" s="173"/>
      <c r="H22" s="175"/>
      <c r="I22" s="176"/>
      <c r="J22" s="173"/>
      <c r="K22" s="175"/>
    </row>
    <row r="23" spans="2:11" x14ac:dyDescent="0.25">
      <c r="B23" s="150" t="s">
        <v>44</v>
      </c>
      <c r="C23" s="98"/>
      <c r="D23" s="176">
        <v>1751698.4537482101</v>
      </c>
      <c r="E23" s="175">
        <v>3.08188229393966</v>
      </c>
      <c r="F23" s="173"/>
      <c r="G23" s="176">
        <v>492308.55619372299</v>
      </c>
      <c r="H23" s="175">
        <v>1.63146739711999</v>
      </c>
      <c r="I23" s="173"/>
      <c r="J23" s="176">
        <v>1343449.14324288</v>
      </c>
      <c r="K23" s="175">
        <v>5.0465961215163997</v>
      </c>
    </row>
    <row r="24" spans="2:11" x14ac:dyDescent="0.25">
      <c r="B24" s="150" t="s">
        <v>45</v>
      </c>
      <c r="C24" s="98"/>
      <c r="D24" s="176">
        <v>57175029.673517399</v>
      </c>
      <c r="E24" s="175">
        <v>97.726588599895194</v>
      </c>
      <c r="F24" s="173"/>
      <c r="G24" s="176">
        <v>31149150.4679236</v>
      </c>
      <c r="H24" s="175">
        <v>99.095840274482796</v>
      </c>
      <c r="I24" s="173"/>
      <c r="J24" s="176">
        <v>26595280.082045</v>
      </c>
      <c r="K24" s="175">
        <v>96.495211759626699</v>
      </c>
    </row>
    <row r="25" spans="2:11" ht="6.95" customHeight="1" x14ac:dyDescent="0.25">
      <c r="B25" s="33"/>
      <c r="C25" s="33"/>
      <c r="D25" s="126"/>
      <c r="E25" s="34"/>
      <c r="F25" s="34"/>
      <c r="G25" s="126"/>
      <c r="H25" s="33"/>
      <c r="I25" s="33"/>
      <c r="J25" s="132"/>
      <c r="K25" s="35"/>
    </row>
    <row r="26" spans="2:11" ht="6.95" customHeight="1" x14ac:dyDescent="0.25">
      <c r="B26" s="31"/>
      <c r="C26" s="31"/>
      <c r="D26" s="127"/>
      <c r="E26" s="37"/>
      <c r="F26" s="37"/>
      <c r="G26" s="127"/>
      <c r="H26" s="31"/>
      <c r="I26" s="31"/>
      <c r="J26" s="131"/>
      <c r="K26" s="30"/>
    </row>
    <row r="27" spans="2:11" x14ac:dyDescent="0.25">
      <c r="B27" s="88" t="s">
        <v>51</v>
      </c>
      <c r="C27" s="31"/>
      <c r="D27" s="127"/>
      <c r="E27" s="37"/>
      <c r="F27" s="37"/>
      <c r="G27" s="127"/>
      <c r="H27" s="31"/>
      <c r="I27" s="31"/>
      <c r="J27" s="131"/>
      <c r="K27" s="30"/>
    </row>
    <row r="28" spans="2:11" ht="12" customHeight="1" x14ac:dyDescent="0.25">
      <c r="B28" s="210" t="s">
        <v>65</v>
      </c>
      <c r="C28" s="210"/>
      <c r="D28" s="210"/>
      <c r="E28" s="210"/>
      <c r="F28" s="210"/>
      <c r="G28" s="210"/>
    </row>
  </sheetData>
  <mergeCells count="6">
    <mergeCell ref="B28:G28"/>
    <mergeCell ref="B7:B9"/>
    <mergeCell ref="D7:E8"/>
    <mergeCell ref="G7:K7"/>
    <mergeCell ref="G8:H8"/>
    <mergeCell ref="J8:K8"/>
  </mergeCells>
  <hyperlinks>
    <hyperlink ref="K1" location="Índice!A1" tooltip="Ir a ÍNDICE" display="INDICE" xr:uid="{D7F466B8-F769-43AF-A858-715EDD0135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ÍNDICE</vt:lpstr>
      <vt:lpstr>Cuadro 7.1</vt:lpstr>
      <vt:lpstr>Cuadro 7.2</vt:lpstr>
      <vt:lpstr>Cuadro 7.3</vt:lpstr>
      <vt:lpstr>Cuadro 7.4</vt:lpstr>
      <vt:lpstr>Cuadro 7.5</vt:lpstr>
      <vt:lpstr>Cuadro 7.6</vt:lpstr>
      <vt:lpstr>Cuadro 7.7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ENIF 2024. Tabulados básicos. Población de 18 a 70 años.</dc:title>
  <dc:creator>INEGI</dc:creator>
  <cp:keywords>actividad, ahorro, aseguradora, banca, beneficio, bienes, compra, crédito, dinero, divisa, empresa, financiación, garantía, gestión, ingreso, institución, inversión, patrimonio, recursos, remesas, servicio, seguros</cp:keywords>
  <dcterms:created xsi:type="dcterms:W3CDTF">2021-07-28T19:11:12Z</dcterms:created>
  <dcterms:modified xsi:type="dcterms:W3CDTF">2025-03-11T17:32:58Z</dcterms:modified>
</cp:coreProperties>
</file>